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genta-my.sharepoint.com/personal/rezwan_ullah_syngenta_com/Documents/Projects/12 Month Shelf Life/Data Files Shared with Me/"/>
    </mc:Choice>
  </mc:AlternateContent>
  <xr:revisionPtr revIDLastSave="772" documentId="8_{94158D20-D648-4F91-BAAB-3442DCD2D902}" xr6:coauthVersionLast="47" xr6:coauthVersionMax="47" xr10:uidLastSave="{DBAF9108-2623-4E04-B590-23C9405796A1}"/>
  <bookViews>
    <workbookView xWindow="-110" yWindow="-110" windowWidth="19420" windowHeight="10300" activeTab="3" xr2:uid="{00000000-000D-0000-FFFF-FFFF00000000}"/>
  </bookViews>
  <sheets>
    <sheet name="Clean_System Data" sheetId="6" r:id="rId1"/>
    <sheet name="Clean Data" sheetId="3" state="hidden" r:id="rId2"/>
    <sheet name="PhysicalData_1" sheetId="5" r:id="rId3"/>
    <sheet name="SKU" sheetId="7" r:id="rId4"/>
    <sheet name="Physical Data" sheetId="4" r:id="rId5"/>
    <sheet name="Data" sheetId="1" r:id="rId6"/>
    <sheet name="Check" sheetId="2" state="hidden" r:id="rId7"/>
  </sheets>
  <definedNames>
    <definedName name="_xlnm._FilterDatabase" localSheetId="6" hidden="1">Check!$A$1:$E$229</definedName>
    <definedName name="_xlnm._FilterDatabase" localSheetId="5" hidden="1">Data!$A$2:$AG$230</definedName>
    <definedName name="ExternalData_1" localSheetId="1" hidden="1">'Clean Data'!$A$2:$F$115</definedName>
    <definedName name="ExternalData_1" localSheetId="0" hidden="1">'Clean_System Data'!$A$1:$H$114</definedName>
    <definedName name="ExternalData_1" localSheetId="2" hidden="1">PhysicalData_1!$A$1:$E$85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6" l="1"/>
  <c r="J2" i="6" s="1"/>
  <c r="I3" i="6"/>
  <c r="I4" i="6"/>
  <c r="J4" i="6" s="1"/>
  <c r="I5" i="6"/>
  <c r="J5" i="6" s="1"/>
  <c r="I6" i="6"/>
  <c r="J6" i="6" s="1"/>
  <c r="I7" i="6"/>
  <c r="J7" i="6" s="1"/>
  <c r="I8" i="6"/>
  <c r="J8" i="6" s="1"/>
  <c r="I9" i="6"/>
  <c r="J9" i="6" s="1"/>
  <c r="I10" i="6"/>
  <c r="J10" i="6" s="1"/>
  <c r="I11" i="6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K19" i="6" s="1"/>
  <c r="L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J33" i="6" s="1"/>
  <c r="I34" i="6"/>
  <c r="J34" i="6" s="1"/>
  <c r="I35" i="6"/>
  <c r="I36" i="6"/>
  <c r="J36" i="6" s="1"/>
  <c r="I37" i="6"/>
  <c r="J37" i="6" s="1"/>
  <c r="I38" i="6"/>
  <c r="J38" i="6" s="1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J45" i="6" s="1"/>
  <c r="I46" i="6"/>
  <c r="J46" i="6" s="1"/>
  <c r="I47" i="6"/>
  <c r="J47" i="6" s="1"/>
  <c r="I48" i="6"/>
  <c r="J48" i="6" s="1"/>
  <c r="I49" i="6"/>
  <c r="J49" i="6" s="1"/>
  <c r="I50" i="6"/>
  <c r="J50" i="6" s="1"/>
  <c r="I51" i="6"/>
  <c r="J51" i="6" s="1"/>
  <c r="I52" i="6"/>
  <c r="J52" i="6" s="1"/>
  <c r="I53" i="6"/>
  <c r="J53" i="6" s="1"/>
  <c r="I54" i="6"/>
  <c r="J54" i="6" s="1"/>
  <c r="I55" i="6"/>
  <c r="J55" i="6" s="1"/>
  <c r="I56" i="6"/>
  <c r="J56" i="6" s="1"/>
  <c r="I57" i="6"/>
  <c r="J57" i="6" s="1"/>
  <c r="I58" i="6"/>
  <c r="J58" i="6" s="1"/>
  <c r="I59" i="6"/>
  <c r="J59" i="6" s="1"/>
  <c r="I60" i="6"/>
  <c r="J60" i="6" s="1"/>
  <c r="I61" i="6"/>
  <c r="J61" i="6" s="1"/>
  <c r="I62" i="6"/>
  <c r="J62" i="6" s="1"/>
  <c r="I63" i="6"/>
  <c r="J63" i="6" s="1"/>
  <c r="I64" i="6"/>
  <c r="J64" i="6" s="1"/>
  <c r="I65" i="6"/>
  <c r="J65" i="6" s="1"/>
  <c r="I66" i="6"/>
  <c r="J66" i="6" s="1"/>
  <c r="I67" i="6"/>
  <c r="I68" i="6"/>
  <c r="J68" i="6" s="1"/>
  <c r="I69" i="6"/>
  <c r="J69" i="6" s="1"/>
  <c r="I70" i="6"/>
  <c r="J70" i="6" s="1"/>
  <c r="I71" i="6"/>
  <c r="J71" i="6" s="1"/>
  <c r="I72" i="6"/>
  <c r="J72" i="6" s="1"/>
  <c r="I73" i="6"/>
  <c r="J73" i="6" s="1"/>
  <c r="I74" i="6"/>
  <c r="J74" i="6" s="1"/>
  <c r="I75" i="6"/>
  <c r="I76" i="6"/>
  <c r="J76" i="6" s="1"/>
  <c r="I77" i="6"/>
  <c r="J77" i="6" s="1"/>
  <c r="I78" i="6"/>
  <c r="J78" i="6" s="1"/>
  <c r="K78" i="6" s="1"/>
  <c r="L78" i="6" s="1"/>
  <c r="I79" i="6"/>
  <c r="J79" i="6" s="1"/>
  <c r="I80" i="6"/>
  <c r="J80" i="6" s="1"/>
  <c r="I81" i="6"/>
  <c r="J81" i="6" s="1"/>
  <c r="I82" i="6"/>
  <c r="J82" i="6" s="1"/>
  <c r="I83" i="6"/>
  <c r="K83" i="6" s="1"/>
  <c r="L83" i="6" s="1"/>
  <c r="I84" i="6"/>
  <c r="J84" i="6" s="1"/>
  <c r="I85" i="6"/>
  <c r="J85" i="6" s="1"/>
  <c r="I86" i="6"/>
  <c r="J86" i="6" s="1"/>
  <c r="I87" i="6"/>
  <c r="J87" i="6" s="1"/>
  <c r="I88" i="6"/>
  <c r="J88" i="6" s="1"/>
  <c r="I89" i="6"/>
  <c r="J89" i="6" s="1"/>
  <c r="I90" i="6"/>
  <c r="J90" i="6" s="1"/>
  <c r="I91" i="6"/>
  <c r="J91" i="6" s="1"/>
  <c r="I92" i="6"/>
  <c r="J92" i="6" s="1"/>
  <c r="I93" i="6"/>
  <c r="J93" i="6" s="1"/>
  <c r="I94" i="6"/>
  <c r="J94" i="6" s="1"/>
  <c r="I95" i="6"/>
  <c r="J95" i="6" s="1"/>
  <c r="I96" i="6"/>
  <c r="J96" i="6" s="1"/>
  <c r="I97" i="6"/>
  <c r="J97" i="6" s="1"/>
  <c r="I98" i="6"/>
  <c r="J98" i="6" s="1"/>
  <c r="I99" i="6"/>
  <c r="I100" i="6"/>
  <c r="J100" i="6" s="1"/>
  <c r="I101" i="6"/>
  <c r="J101" i="6" s="1"/>
  <c r="I102" i="6"/>
  <c r="J102" i="6" s="1"/>
  <c r="I103" i="6"/>
  <c r="J103" i="6" s="1"/>
  <c r="I104" i="6"/>
  <c r="J104" i="6" s="1"/>
  <c r="I105" i="6"/>
  <c r="J105" i="6" s="1"/>
  <c r="I106" i="6"/>
  <c r="J106" i="6" s="1"/>
  <c r="I107" i="6"/>
  <c r="J107" i="6" s="1"/>
  <c r="I108" i="6"/>
  <c r="J108" i="6" s="1"/>
  <c r="I109" i="6"/>
  <c r="J109" i="6" s="1"/>
  <c r="I110" i="6"/>
  <c r="J110" i="6" s="1"/>
  <c r="K110" i="6" s="1"/>
  <c r="L110" i="6" s="1"/>
  <c r="I111" i="6"/>
  <c r="J111" i="6" s="1"/>
  <c r="I112" i="6"/>
  <c r="J112" i="6" s="1"/>
  <c r="I113" i="6"/>
  <c r="J113" i="6" s="1"/>
  <c r="I114" i="6"/>
  <c r="J114" i="6" s="1"/>
  <c r="AH3" i="1"/>
  <c r="AH4" i="1"/>
  <c r="AH5" i="1"/>
  <c r="AH6" i="1"/>
  <c r="AH7" i="1"/>
  <c r="AH8" i="1"/>
  <c r="AH9" i="1"/>
  <c r="AH10" i="1"/>
  <c r="AH11" i="1"/>
  <c r="G88" i="3" s="1"/>
  <c r="AH12" i="1"/>
  <c r="G89" i="3" s="1"/>
  <c r="AH13" i="1"/>
  <c r="G90" i="3" s="1"/>
  <c r="AH14" i="1"/>
  <c r="G91" i="3" s="1"/>
  <c r="AH15" i="1"/>
  <c r="AH16" i="1"/>
  <c r="G82" i="3" s="1"/>
  <c r="AH17" i="1"/>
  <c r="G78" i="3" s="1"/>
  <c r="AH18" i="1"/>
  <c r="G79" i="3" s="1"/>
  <c r="AH19" i="1"/>
  <c r="G83" i="3" s="1"/>
  <c r="AH20" i="1"/>
  <c r="G84" i="3" s="1"/>
  <c r="AH21" i="1"/>
  <c r="G80" i="3" s="1"/>
  <c r="AH22" i="1"/>
  <c r="G81" i="3" s="1"/>
  <c r="AH23" i="1"/>
  <c r="AH24" i="1"/>
  <c r="AH25" i="1"/>
  <c r="AH26" i="1"/>
  <c r="AH27" i="1"/>
  <c r="AH28" i="1"/>
  <c r="AH29" i="1"/>
  <c r="AH30" i="1"/>
  <c r="AH31" i="1"/>
  <c r="AH32" i="1"/>
  <c r="AH33" i="1"/>
  <c r="G53" i="3" s="1"/>
  <c r="AH34" i="1"/>
  <c r="G54" i="3" s="1"/>
  <c r="AH35" i="1"/>
  <c r="G55" i="3" s="1"/>
  <c r="AH36" i="1"/>
  <c r="G56" i="3" s="1"/>
  <c r="AH37" i="1"/>
  <c r="AH38" i="1"/>
  <c r="G74" i="3" s="1"/>
  <c r="AH39" i="1"/>
  <c r="G75" i="3" s="1"/>
  <c r="AH40" i="1"/>
  <c r="G76" i="3" s="1"/>
  <c r="AH41" i="1"/>
  <c r="G77" i="3" s="1"/>
  <c r="AH42" i="1"/>
  <c r="G72" i="3" s="1"/>
  <c r="AH43" i="1"/>
  <c r="G73" i="3" s="1"/>
  <c r="AH44" i="1"/>
  <c r="AH45" i="1"/>
  <c r="AH46" i="1"/>
  <c r="AH47" i="1"/>
  <c r="AH48" i="1"/>
  <c r="AH49" i="1"/>
  <c r="AH50" i="1"/>
  <c r="AH51" i="1"/>
  <c r="AH52" i="1"/>
  <c r="AH53" i="1"/>
  <c r="AH54" i="1"/>
  <c r="G113" i="3" s="1"/>
  <c r="AH55" i="1"/>
  <c r="G114" i="3" s="1"/>
  <c r="AH56" i="1"/>
  <c r="G115" i="3" s="1"/>
  <c r="AH57" i="1"/>
  <c r="AH58" i="1"/>
  <c r="AH59" i="1"/>
  <c r="AH60" i="1"/>
  <c r="AH61" i="1"/>
  <c r="G25" i="3" s="1"/>
  <c r="AH62" i="1"/>
  <c r="G26" i="3" s="1"/>
  <c r="AH63" i="1"/>
  <c r="G27" i="3" s="1"/>
  <c r="AH64" i="1"/>
  <c r="AH65" i="1"/>
  <c r="AH66" i="1"/>
  <c r="AH67" i="1"/>
  <c r="AH68" i="1"/>
  <c r="AH69" i="1"/>
  <c r="AH70" i="1"/>
  <c r="AH71" i="1"/>
  <c r="AH72" i="1"/>
  <c r="AH73" i="1"/>
  <c r="AH74" i="1"/>
  <c r="AH75" i="1"/>
  <c r="G28" i="3" s="1"/>
  <c r="AH76" i="1"/>
  <c r="G29" i="3" s="1"/>
  <c r="AH77" i="1"/>
  <c r="AH78" i="1"/>
  <c r="AH79" i="1"/>
  <c r="G22" i="3" s="1"/>
  <c r="AH80" i="1"/>
  <c r="G23" i="3" s="1"/>
  <c r="AH81" i="1"/>
  <c r="G24" i="3" s="1"/>
  <c r="AH82" i="1"/>
  <c r="AH83" i="1"/>
  <c r="G92" i="3" s="1"/>
  <c r="AH84" i="1"/>
  <c r="G71" i="3" s="1"/>
  <c r="AH85" i="1"/>
  <c r="G43" i="3" s="1"/>
  <c r="AH86" i="1"/>
  <c r="G44" i="3" s="1"/>
  <c r="AH87" i="1"/>
  <c r="G45" i="3" s="1"/>
  <c r="AH88" i="1"/>
  <c r="G46" i="3" s="1"/>
  <c r="AH89" i="1"/>
  <c r="G95" i="3" s="1"/>
  <c r="AH90" i="1"/>
  <c r="G98" i="3" s="1"/>
  <c r="AH91" i="1"/>
  <c r="G96" i="3" s="1"/>
  <c r="AH92" i="1"/>
  <c r="G97" i="3" s="1"/>
  <c r="AH93" i="1"/>
  <c r="G47" i="3" s="1"/>
  <c r="AH94" i="1"/>
  <c r="G48" i="3" s="1"/>
  <c r="AH95" i="1"/>
  <c r="G49" i="3" s="1"/>
  <c r="AH96" i="1"/>
  <c r="G50" i="3" s="1"/>
  <c r="AH97" i="1"/>
  <c r="G51" i="3" s="1"/>
  <c r="AH98" i="1"/>
  <c r="G52" i="3" s="1"/>
  <c r="AH99" i="1"/>
  <c r="AH100" i="1"/>
  <c r="AH101" i="1"/>
  <c r="AH102" i="1"/>
  <c r="AH103" i="1"/>
  <c r="AH104" i="1"/>
  <c r="G65" i="3" s="1"/>
  <c r="AH105" i="1"/>
  <c r="AH106" i="1"/>
  <c r="AH107" i="1"/>
  <c r="AH108" i="1"/>
  <c r="G103" i="3" s="1"/>
  <c r="AH109" i="1"/>
  <c r="G100" i="3" s="1"/>
  <c r="AH110" i="1"/>
  <c r="G101" i="3" s="1"/>
  <c r="AH111" i="1"/>
  <c r="G102" i="3" s="1"/>
  <c r="AH112" i="1"/>
  <c r="G99" i="3" s="1"/>
  <c r="AH113" i="1"/>
  <c r="AH114" i="1"/>
  <c r="AH115" i="1"/>
  <c r="AH116" i="1"/>
  <c r="AH117" i="1"/>
  <c r="AH118" i="1"/>
  <c r="AH119" i="1"/>
  <c r="G67" i="3" s="1"/>
  <c r="AH120" i="1"/>
  <c r="G68" i="3" s="1"/>
  <c r="AH121" i="1"/>
  <c r="AH122" i="1"/>
  <c r="AH123" i="1"/>
  <c r="AH124" i="1"/>
  <c r="G4" i="3" s="1"/>
  <c r="AH125" i="1"/>
  <c r="AH126" i="1"/>
  <c r="AH127" i="1"/>
  <c r="G69" i="3" s="1"/>
  <c r="AH128" i="1"/>
  <c r="G105" i="3" s="1"/>
  <c r="AH129" i="1"/>
  <c r="G106" i="3" s="1"/>
  <c r="AH130" i="1"/>
  <c r="G107" i="3" s="1"/>
  <c r="AH131" i="1"/>
  <c r="G108" i="3" s="1"/>
  <c r="AH132" i="1"/>
  <c r="G109" i="3" s="1"/>
  <c r="AH133" i="1"/>
  <c r="G110" i="3" s="1"/>
  <c r="AH134" i="1"/>
  <c r="G111" i="3" s="1"/>
  <c r="AH135" i="1"/>
  <c r="G112" i="3" s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G41" i="3" s="1"/>
  <c r="AH148" i="1"/>
  <c r="G35" i="3" s="1"/>
  <c r="AH149" i="1"/>
  <c r="G36" i="3" s="1"/>
  <c r="AH150" i="1"/>
  <c r="G37" i="3" s="1"/>
  <c r="AH151" i="1"/>
  <c r="AH152" i="1"/>
  <c r="AH153" i="1"/>
  <c r="AH154" i="1"/>
  <c r="AH155" i="1"/>
  <c r="G62" i="3" s="1"/>
  <c r="AH156" i="1"/>
  <c r="G63" i="3" s="1"/>
  <c r="AH157" i="1"/>
  <c r="G64" i="3" s="1"/>
  <c r="AH158" i="1"/>
  <c r="G61" i="3" s="1"/>
  <c r="AH159" i="1"/>
  <c r="AH160" i="1"/>
  <c r="G104" i="3" s="1"/>
  <c r="AH161" i="1"/>
  <c r="G17" i="3" s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G3" i="3" s="1"/>
  <c r="AH186" i="1"/>
  <c r="G21" i="3" s="1"/>
  <c r="AH187" i="1"/>
  <c r="G20" i="3" s="1"/>
  <c r="AH188" i="1"/>
  <c r="G18" i="3" s="1"/>
  <c r="AH189" i="1"/>
  <c r="AH190" i="1"/>
  <c r="G38" i="3" s="1"/>
  <c r="AH191" i="1"/>
  <c r="G39" i="3" s="1"/>
  <c r="AH192" i="1"/>
  <c r="G40" i="3" s="1"/>
  <c r="AH193" i="1"/>
  <c r="AH194" i="1"/>
  <c r="G42" i="3" s="1"/>
  <c r="AH195" i="1"/>
  <c r="AH196" i="1"/>
  <c r="AH197" i="1"/>
  <c r="AH198" i="1"/>
  <c r="AH199" i="1"/>
  <c r="AH200" i="1"/>
  <c r="AH201" i="1"/>
  <c r="AH202" i="1"/>
  <c r="G5" i="3" s="1"/>
  <c r="AH203" i="1"/>
  <c r="G6" i="3" s="1"/>
  <c r="AH204" i="1"/>
  <c r="G7" i="3" s="1"/>
  <c r="AH205" i="1"/>
  <c r="G8" i="3" s="1"/>
  <c r="AH206" i="1"/>
  <c r="G9" i="3" s="1"/>
  <c r="AH207" i="1"/>
  <c r="G10" i="3" s="1"/>
  <c r="AH208" i="1"/>
  <c r="G11" i="3" s="1"/>
  <c r="AH209" i="1"/>
  <c r="G12" i="3" s="1"/>
  <c r="AH210" i="1"/>
  <c r="G13" i="3" s="1"/>
  <c r="AH211" i="1"/>
  <c r="G14" i="3" s="1"/>
  <c r="AH212" i="1"/>
  <c r="G15" i="3" s="1"/>
  <c r="AH213" i="1"/>
  <c r="G16" i="3" s="1"/>
  <c r="AH214" i="1"/>
  <c r="G57" i="3" s="1"/>
  <c r="AH215" i="1"/>
  <c r="G58" i="3" s="1"/>
  <c r="AH216" i="1"/>
  <c r="G59" i="3" s="1"/>
  <c r="AH217" i="1"/>
  <c r="AH218" i="1"/>
  <c r="G94" i="3" s="1"/>
  <c r="AH219" i="1"/>
  <c r="AH220" i="1"/>
  <c r="G32" i="3" s="1"/>
  <c r="AH221" i="1"/>
  <c r="G33" i="3" s="1"/>
  <c r="AH222" i="1"/>
  <c r="G30" i="3" s="1"/>
  <c r="AH223" i="1"/>
  <c r="G31" i="3" s="1"/>
  <c r="AH224" i="1"/>
  <c r="AH225" i="1"/>
  <c r="AH226" i="1"/>
  <c r="AH227" i="1"/>
  <c r="AH228" i="1"/>
  <c r="AH229" i="1"/>
  <c r="AH230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" i="2"/>
  <c r="M110" i="6" l="1"/>
  <c r="M78" i="6"/>
  <c r="K46" i="6"/>
  <c r="K14" i="6"/>
  <c r="M83" i="6"/>
  <c r="M19" i="6"/>
  <c r="K96" i="6"/>
  <c r="K64" i="6"/>
  <c r="K32" i="6"/>
  <c r="K94" i="6"/>
  <c r="K62" i="6"/>
  <c r="K30" i="6"/>
  <c r="K88" i="6"/>
  <c r="K56" i="6"/>
  <c r="K24" i="6"/>
  <c r="K86" i="6"/>
  <c r="K54" i="6"/>
  <c r="K22" i="6"/>
  <c r="K80" i="6"/>
  <c r="K48" i="6"/>
  <c r="K16" i="6"/>
  <c r="K104" i="6"/>
  <c r="K72" i="6"/>
  <c r="K40" i="6"/>
  <c r="K8" i="6"/>
  <c r="K112" i="6"/>
  <c r="K107" i="6"/>
  <c r="K91" i="6"/>
  <c r="K43" i="6"/>
  <c r="K27" i="6"/>
  <c r="K102" i="6"/>
  <c r="K70" i="6"/>
  <c r="K38" i="6"/>
  <c r="K6" i="6"/>
  <c r="J99" i="6"/>
  <c r="K99" i="6" s="1"/>
  <c r="J35" i="6"/>
  <c r="K35" i="6" s="1"/>
  <c r="K111" i="6"/>
  <c r="K103" i="6"/>
  <c r="K95" i="6"/>
  <c r="K87" i="6"/>
  <c r="K79" i="6"/>
  <c r="K71" i="6"/>
  <c r="K63" i="6"/>
  <c r="K55" i="6"/>
  <c r="K47" i="6"/>
  <c r="K39" i="6"/>
  <c r="K31" i="6"/>
  <c r="K23" i="6"/>
  <c r="K15" i="6"/>
  <c r="K7" i="6"/>
  <c r="J83" i="6"/>
  <c r="J19" i="6"/>
  <c r="K109" i="6"/>
  <c r="K101" i="6"/>
  <c r="K93" i="6"/>
  <c r="K85" i="6"/>
  <c r="K77" i="6"/>
  <c r="K69" i="6"/>
  <c r="K61" i="6"/>
  <c r="K53" i="6"/>
  <c r="K45" i="6"/>
  <c r="K37" i="6"/>
  <c r="K29" i="6"/>
  <c r="K21" i="6"/>
  <c r="K13" i="6"/>
  <c r="K5" i="6"/>
  <c r="J75" i="6"/>
  <c r="K75" i="6" s="1"/>
  <c r="J11" i="6"/>
  <c r="K11" i="6" s="1"/>
  <c r="K108" i="6"/>
  <c r="K100" i="6"/>
  <c r="K92" i="6"/>
  <c r="K84" i="6"/>
  <c r="K76" i="6"/>
  <c r="K68" i="6"/>
  <c r="K60" i="6"/>
  <c r="K52" i="6"/>
  <c r="K44" i="6"/>
  <c r="K36" i="6"/>
  <c r="K28" i="6"/>
  <c r="K20" i="6"/>
  <c r="K12" i="6"/>
  <c r="K4" i="6"/>
  <c r="J67" i="6"/>
  <c r="K67" i="6" s="1"/>
  <c r="J3" i="6"/>
  <c r="K3" i="6" s="1"/>
  <c r="K59" i="6"/>
  <c r="K51" i="6"/>
  <c r="K114" i="6"/>
  <c r="K106" i="6"/>
  <c r="K98" i="6"/>
  <c r="K90" i="6"/>
  <c r="K82" i="6"/>
  <c r="K74" i="6"/>
  <c r="K66" i="6"/>
  <c r="K58" i="6"/>
  <c r="K50" i="6"/>
  <c r="K42" i="6"/>
  <c r="K34" i="6"/>
  <c r="K26" i="6"/>
  <c r="K18" i="6"/>
  <c r="K10" i="6"/>
  <c r="K2" i="6"/>
  <c r="K113" i="6"/>
  <c r="K105" i="6"/>
  <c r="K97" i="6"/>
  <c r="K89" i="6"/>
  <c r="K81" i="6"/>
  <c r="K73" i="6"/>
  <c r="K65" i="6"/>
  <c r="K57" i="6"/>
  <c r="K49" i="6"/>
  <c r="K41" i="6"/>
  <c r="K33" i="6"/>
  <c r="K25" i="6"/>
  <c r="K17" i="6"/>
  <c r="K9" i="6"/>
  <c r="G87" i="3"/>
  <c r="G34" i="3"/>
  <c r="G86" i="3"/>
  <c r="G19" i="3"/>
  <c r="G70" i="3"/>
  <c r="G93" i="3"/>
  <c r="G85" i="3"/>
  <c r="G66" i="3"/>
  <c r="G60" i="3"/>
  <c r="L3" i="6" l="1"/>
  <c r="M3" i="6"/>
  <c r="L11" i="6"/>
  <c r="M11" i="6"/>
  <c r="L105" i="6"/>
  <c r="M105" i="6"/>
  <c r="L114" i="6"/>
  <c r="M114" i="6"/>
  <c r="L92" i="6"/>
  <c r="M92" i="6"/>
  <c r="L93" i="6"/>
  <c r="M93" i="6"/>
  <c r="L95" i="6"/>
  <c r="M95" i="6"/>
  <c r="L8" i="6"/>
  <c r="M8" i="6"/>
  <c r="L49" i="6"/>
  <c r="M49" i="6"/>
  <c r="L113" i="6"/>
  <c r="M113" i="6"/>
  <c r="L58" i="6"/>
  <c r="M58" i="6"/>
  <c r="L51" i="6"/>
  <c r="M51" i="6"/>
  <c r="L36" i="6"/>
  <c r="M36" i="6"/>
  <c r="L100" i="6"/>
  <c r="M100" i="6"/>
  <c r="L37" i="6"/>
  <c r="M37" i="6"/>
  <c r="L101" i="6"/>
  <c r="M101" i="6"/>
  <c r="L39" i="6"/>
  <c r="M39" i="6"/>
  <c r="L103" i="6"/>
  <c r="M103" i="6"/>
  <c r="L70" i="6"/>
  <c r="M70" i="6"/>
  <c r="L40" i="6"/>
  <c r="M40" i="6"/>
  <c r="L86" i="6"/>
  <c r="M86" i="6"/>
  <c r="L64" i="6"/>
  <c r="M64" i="6"/>
  <c r="L57" i="6"/>
  <c r="M57" i="6"/>
  <c r="L2" i="6"/>
  <c r="M2" i="6"/>
  <c r="L66" i="6"/>
  <c r="M66" i="6"/>
  <c r="L59" i="6"/>
  <c r="M59" i="6"/>
  <c r="L44" i="6"/>
  <c r="M44" i="6"/>
  <c r="L108" i="6"/>
  <c r="M108" i="6"/>
  <c r="L45" i="6"/>
  <c r="M45" i="6"/>
  <c r="L109" i="6"/>
  <c r="M109" i="6"/>
  <c r="L47" i="6"/>
  <c r="M47" i="6"/>
  <c r="L111" i="6"/>
  <c r="M111" i="6"/>
  <c r="L102" i="6"/>
  <c r="M102" i="6"/>
  <c r="L72" i="6"/>
  <c r="M72" i="6"/>
  <c r="L24" i="6"/>
  <c r="M24" i="6"/>
  <c r="L96" i="6"/>
  <c r="M96" i="6"/>
  <c r="L35" i="6"/>
  <c r="M35" i="6"/>
  <c r="L104" i="6"/>
  <c r="M104" i="6"/>
  <c r="L9" i="6"/>
  <c r="M9" i="6"/>
  <c r="L67" i="6"/>
  <c r="M67" i="6"/>
  <c r="L60" i="6"/>
  <c r="M60" i="6"/>
  <c r="L99" i="6"/>
  <c r="M99" i="6"/>
  <c r="L43" i="6"/>
  <c r="M43" i="6"/>
  <c r="L16" i="6"/>
  <c r="M16" i="6"/>
  <c r="L88" i="6"/>
  <c r="M88" i="6"/>
  <c r="L53" i="6"/>
  <c r="M53" i="6"/>
  <c r="L73" i="6"/>
  <c r="M73" i="6"/>
  <c r="L18" i="6"/>
  <c r="M18" i="6"/>
  <c r="L82" i="6"/>
  <c r="M82" i="6"/>
  <c r="L75" i="6"/>
  <c r="M75" i="6"/>
  <c r="L61" i="6"/>
  <c r="M61" i="6"/>
  <c r="L63" i="6"/>
  <c r="M63" i="6"/>
  <c r="L17" i="6"/>
  <c r="M17" i="6"/>
  <c r="L81" i="6"/>
  <c r="M81" i="6"/>
  <c r="L26" i="6"/>
  <c r="M26" i="6"/>
  <c r="L90" i="6"/>
  <c r="M90" i="6"/>
  <c r="L4" i="6"/>
  <c r="M4" i="6"/>
  <c r="L68" i="6"/>
  <c r="M68" i="6"/>
  <c r="L5" i="6"/>
  <c r="M5" i="6"/>
  <c r="L69" i="6"/>
  <c r="M69" i="6"/>
  <c r="L7" i="6"/>
  <c r="M7" i="6"/>
  <c r="L71" i="6"/>
  <c r="M71" i="6"/>
  <c r="L91" i="6"/>
  <c r="M91" i="6"/>
  <c r="L48" i="6"/>
  <c r="M48" i="6"/>
  <c r="L30" i="6"/>
  <c r="M30" i="6"/>
  <c r="L14" i="6"/>
  <c r="M14" i="6"/>
  <c r="L27" i="6"/>
  <c r="M27" i="6"/>
  <c r="L25" i="6"/>
  <c r="M25" i="6"/>
  <c r="L34" i="6"/>
  <c r="M34" i="6"/>
  <c r="L12" i="6"/>
  <c r="M12" i="6"/>
  <c r="L13" i="6"/>
  <c r="M13" i="6"/>
  <c r="L15" i="6"/>
  <c r="M15" i="6"/>
  <c r="L107" i="6"/>
  <c r="M107" i="6"/>
  <c r="L80" i="6"/>
  <c r="M80" i="6"/>
  <c r="L62" i="6"/>
  <c r="M62" i="6"/>
  <c r="L46" i="6"/>
  <c r="M46" i="6"/>
  <c r="L65" i="6"/>
  <c r="M65" i="6"/>
  <c r="L10" i="6"/>
  <c r="M10" i="6"/>
  <c r="L74" i="6"/>
  <c r="M74" i="6"/>
  <c r="L52" i="6"/>
  <c r="M52" i="6"/>
  <c r="L55" i="6"/>
  <c r="M55" i="6"/>
  <c r="L56" i="6"/>
  <c r="M56" i="6"/>
  <c r="L89" i="6"/>
  <c r="M89" i="6"/>
  <c r="L98" i="6"/>
  <c r="M98" i="6"/>
  <c r="L76" i="6"/>
  <c r="M76" i="6"/>
  <c r="L77" i="6"/>
  <c r="M77" i="6"/>
  <c r="L79" i="6"/>
  <c r="M79" i="6"/>
  <c r="L33" i="6"/>
  <c r="M33" i="6"/>
  <c r="L97" i="6"/>
  <c r="M97" i="6"/>
  <c r="L42" i="6"/>
  <c r="M42" i="6"/>
  <c r="L106" i="6"/>
  <c r="M106" i="6"/>
  <c r="L20" i="6"/>
  <c r="M20" i="6"/>
  <c r="L84" i="6"/>
  <c r="M84" i="6"/>
  <c r="L21" i="6"/>
  <c r="M21" i="6"/>
  <c r="L85" i="6"/>
  <c r="M85" i="6"/>
  <c r="L23" i="6"/>
  <c r="M23" i="6"/>
  <c r="L87" i="6"/>
  <c r="M87" i="6"/>
  <c r="L6" i="6"/>
  <c r="M6" i="6"/>
  <c r="L112" i="6"/>
  <c r="M112" i="6"/>
  <c r="L22" i="6"/>
  <c r="M22" i="6"/>
  <c r="L94" i="6"/>
  <c r="M94" i="6"/>
  <c r="L41" i="6"/>
  <c r="M41" i="6"/>
  <c r="L50" i="6"/>
  <c r="M50" i="6"/>
  <c r="L28" i="6"/>
  <c r="M28" i="6"/>
  <c r="L29" i="6"/>
  <c r="M29" i="6"/>
  <c r="L31" i="6"/>
  <c r="M31" i="6"/>
  <c r="L38" i="6"/>
  <c r="M38" i="6"/>
  <c r="L54" i="6"/>
  <c r="M54" i="6"/>
  <c r="L32" i="6"/>
  <c r="M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19A51-F898-4AF9-9DC5-C2589020F885}" keepAlive="1" name="Query - CleanData" description="Connection to the 'CleanData' query in the workbook." type="5" refreshedVersion="8" background="1" saveData="1">
    <dbPr connection="Provider=Microsoft.Mashup.OleDb.1;Data Source=$Workbook$;Location=CleanData;Extended Properties=&quot;&quot;" command="SELECT * FROM [CleanData]"/>
  </connection>
  <connection id="2" xr16:uid="{E43E2217-91D2-421E-A0DF-79EC65BEBBDF}" keepAlive="1" name="Query - PhysicalData" description="Connection to the 'PhysicalData' query in the workbook." type="5" refreshedVersion="8" background="1" saveData="1">
    <dbPr connection="Provider=Microsoft.Mashup.OleDb.1;Data Source=$Workbook$;Location=PhysicalData;Extended Properties=&quot;&quot;" command="SELECT * FROM [PhysicalData]"/>
  </connection>
</connections>
</file>

<file path=xl/sharedStrings.xml><?xml version="1.0" encoding="utf-8"?>
<sst xmlns="http://schemas.openxmlformats.org/spreadsheetml/2006/main" count="5664" uniqueCount="981">
  <si>
    <t>Material</t>
  </si>
  <si>
    <t>Description</t>
  </si>
  <si>
    <t>Plant</t>
  </si>
  <si>
    <t>SLoc</t>
  </si>
  <si>
    <t>Batch</t>
  </si>
  <si>
    <t>Production Date</t>
  </si>
  <si>
    <t>Good receipt Date</t>
  </si>
  <si>
    <t>Last change Date</t>
  </si>
  <si>
    <t>Next Inspection Date</t>
  </si>
  <si>
    <t>Country Expiry Date</t>
  </si>
  <si>
    <t>Actual Batch Expiry Date</t>
  </si>
  <si>
    <t>Tropical Expiry Date</t>
  </si>
  <si>
    <t>Special Stock</t>
  </si>
  <si>
    <t>Spcl. stock num.</t>
  </si>
  <si>
    <t>Material type</t>
  </si>
  <si>
    <t>UoM</t>
  </si>
  <si>
    <t>Unrestricted</t>
  </si>
  <si>
    <t>Value Unrestricted</t>
  </si>
  <si>
    <t>Currency</t>
  </si>
  <si>
    <t>Transit &amp; transfer</t>
  </si>
  <si>
    <t>Val. in Trans./Tfr</t>
  </si>
  <si>
    <t>In Quality Insp.</t>
  </si>
  <si>
    <t>Value in Qual Insp.</t>
  </si>
  <si>
    <t>Restricted Use Stock</t>
  </si>
  <si>
    <t>Value Restricted</t>
  </si>
  <si>
    <t>Blocked</t>
  </si>
  <si>
    <t>Value Blocked Stock</t>
  </si>
  <si>
    <t>Returns</t>
  </si>
  <si>
    <t>Value Rets Blocked</t>
  </si>
  <si>
    <t>Temperate Expiry Date</t>
  </si>
  <si>
    <t>Presentation specific expiry Date</t>
  </si>
  <si>
    <t>Re-analysis date</t>
  </si>
  <si>
    <t>Original SLED</t>
  </si>
  <si>
    <t>0022486</t>
  </si>
  <si>
    <t>SHOBICRON 425 EC 200 L BDA</t>
  </si>
  <si>
    <t>4073</t>
  </si>
  <si>
    <t>0001</t>
  </si>
  <si>
    <t>SIA6C158</t>
  </si>
  <si>
    <t/>
  </si>
  <si>
    <t>FERT</t>
  </si>
  <si>
    <t>L</t>
  </si>
  <si>
    <t>BDT</t>
  </si>
  <si>
    <t>SHOBICRON 425 EC 200 L BDA</t>
  </si>
  <si>
    <t>SIA6C159</t>
  </si>
  <si>
    <t>SHOBICRON 425 EC 200 L BDA</t>
  </si>
  <si>
    <t>SIA6C160</t>
  </si>
  <si>
    <t>SHOBICRON 425 EC 200 L BDA</t>
  </si>
  <si>
    <t>SIA6C161</t>
  </si>
  <si>
    <t>SHOBICRON 425 EC 200 L BDA</t>
  </si>
  <si>
    <t>SIA6E130</t>
  </si>
  <si>
    <t>SHOBICRON 425 EC 200 L BDA</t>
  </si>
  <si>
    <t>SIA6E131</t>
  </si>
  <si>
    <t>SHOBICRON 425 EC 200 L BDA</t>
  </si>
  <si>
    <t>SIA6E132</t>
  </si>
  <si>
    <t>SHOBICRON 425 EC 200 L BDA</t>
  </si>
  <si>
    <t>SIA6E133</t>
  </si>
  <si>
    <t>0029568</t>
  </si>
  <si>
    <t>SHOBICRON 425 EC 20X50 ML BDA</t>
  </si>
  <si>
    <t>SCH5I132</t>
  </si>
  <si>
    <t>SHOBICRON 425 EC 20X50 ML BDA</t>
  </si>
  <si>
    <t>SCH6A122</t>
  </si>
  <si>
    <t>SHOBICRON 425 EC 20X50 ML BDA</t>
  </si>
  <si>
    <t>SCH6A124</t>
  </si>
  <si>
    <t>SHOBICRON 425 EC 20X50 ML BDA</t>
  </si>
  <si>
    <t>SCH6A125</t>
  </si>
  <si>
    <t>0029570</t>
  </si>
  <si>
    <t>SHOBICRON 425 EC 10X500 ML BDA</t>
  </si>
  <si>
    <t>0030593</t>
  </si>
  <si>
    <t>SCORE 20X100 ML BDA</t>
  </si>
  <si>
    <t>SCH6E2015</t>
  </si>
  <si>
    <t>0030688</t>
  </si>
  <si>
    <t>RIFIT 500 EC 10X500 ML BDA</t>
  </si>
  <si>
    <t>SCH6B2E002</t>
  </si>
  <si>
    <t>RIFIT 500 EC 10X500 ML BDA</t>
  </si>
  <si>
    <t>SCH6D2E003</t>
  </si>
  <si>
    <t>0034001</t>
  </si>
  <si>
    <t>SCORE 250 EC 10x500 ML               BDA</t>
  </si>
  <si>
    <t>SCH6E2016</t>
  </si>
  <si>
    <t>0034002</t>
  </si>
  <si>
    <t>SCORE 250 EC 20X50 ML                BDA</t>
  </si>
  <si>
    <t>SCH6E2014</t>
  </si>
  <si>
    <t>0035348</t>
  </si>
  <si>
    <t>RIFIT 500 EC 20X100 ML BDA</t>
  </si>
  <si>
    <t>SCH6D2E004</t>
  </si>
  <si>
    <t>RIFIT 500 EC 20X100 ML BDA</t>
  </si>
  <si>
    <t>SCH6D2E005</t>
  </si>
  <si>
    <t>0035452</t>
  </si>
  <si>
    <t>GROZIN (Zinc Sulphate Mono) 25 KG BDA</t>
  </si>
  <si>
    <t>20260328</t>
  </si>
  <si>
    <t>KG</t>
  </si>
  <si>
    <t>GROZIN (Zinc Sulphate Mono) 25 KG BDA</t>
  </si>
  <si>
    <t>20260406</t>
  </si>
  <si>
    <t>GROZIN (Zinc Sulphate Mono) 25 KG BDA</t>
  </si>
  <si>
    <t>20260416</t>
  </si>
  <si>
    <t>GROZIN (Zinc Sulphate Mono) 25 KG BDA</t>
  </si>
  <si>
    <t>KY20260319</t>
  </si>
  <si>
    <t>GROZIN (Zinc Sulphate Mono) 25 KG BDA</t>
  </si>
  <si>
    <t>KY20260384</t>
  </si>
  <si>
    <t>GROZIN (Zinc Sulphate Mono) 25 KG BDA</t>
  </si>
  <si>
    <t>KY20260385</t>
  </si>
  <si>
    <t>GROZIN (Zinc Sulphate Mono) 25 KG BDA</t>
  </si>
  <si>
    <t>KY20260386</t>
  </si>
  <si>
    <t>GROZIN (Zinc Sulphate Mono) 25 KG BDA</t>
  </si>
  <si>
    <t>KY20260517</t>
  </si>
  <si>
    <t>GROZIN (Zinc Sulphate Mono) 25 KG BDA</t>
  </si>
  <si>
    <t>0777</t>
  </si>
  <si>
    <t>KY20250741</t>
  </si>
  <si>
    <t>GROZIN (Zinc Sulphate Mono) 25 KG BDA</t>
  </si>
  <si>
    <t>KY20250932</t>
  </si>
  <si>
    <t>0035723</t>
  </si>
  <si>
    <t>LANIRAT CONC. 0.25% CB 40X100 G      BDA</t>
  </si>
  <si>
    <t>SCH6C009</t>
  </si>
  <si>
    <t>LANIRAT CONC. 0.25% CB 40X100 G      BDA</t>
  </si>
  <si>
    <t>SCH6C010</t>
  </si>
  <si>
    <t>LANIRAT CONC. 0.25% CB 40X100 G      BDA</t>
  </si>
  <si>
    <t>SCH6F018</t>
  </si>
  <si>
    <t>LANIRAT CONC. 0.25% CB 40X100 G      BDA</t>
  </si>
  <si>
    <t>SCH6F019</t>
  </si>
  <si>
    <t>0038747</t>
  </si>
  <si>
    <t>SOLVESSO 100 1 KG PKA</t>
  </si>
  <si>
    <t>SV38022519</t>
  </si>
  <si>
    <t>0038775</t>
  </si>
  <si>
    <t>RIDOMIL GOLD MZ 68 WG 30X100 G       BDA</t>
  </si>
  <si>
    <t>SCH5F140RM</t>
  </si>
  <si>
    <t>RIDOMIL GOLD MZ 68 WG 30X100 G       BDA</t>
  </si>
  <si>
    <t>SCH5F162RM</t>
  </si>
  <si>
    <t>RIDOMIL GOLD MZ 68 WG 30X100 G       BDA</t>
  </si>
  <si>
    <t>SCH5F165RM</t>
  </si>
  <si>
    <t>RIDOMIL GOLD MZ 68 WG 30X100 G       BDA</t>
  </si>
  <si>
    <t>SCH5F166RM</t>
  </si>
  <si>
    <t>0038776</t>
  </si>
  <si>
    <t>RIDOMIL GOLD MZ 68 WG 10X500 G       BDA</t>
  </si>
  <si>
    <t>SCH5E100RM</t>
  </si>
  <si>
    <t>RIDOMIL GOLD MZ 68 WG 10X500 G       BDA</t>
  </si>
  <si>
    <t>SCH5F136RM</t>
  </si>
  <si>
    <t>0040951</t>
  </si>
  <si>
    <t>MAGMA (Magnesium Sulphate) 25 KG BDA</t>
  </si>
  <si>
    <t>20260419</t>
  </si>
  <si>
    <t>MAGMA (Magnesium Sulphate) 25 KG BDA</t>
  </si>
  <si>
    <t>AB2070279</t>
  </si>
  <si>
    <t>MAGMA (Magnesium Sulphate) 25 KG BDA</t>
  </si>
  <si>
    <t>AB2070280</t>
  </si>
  <si>
    <t>0040952</t>
  </si>
  <si>
    <t>BINGO (Solubor Boron) 20 KG BDA</t>
  </si>
  <si>
    <t>F060126015</t>
  </si>
  <si>
    <t>BINGO (Solubor Boron) 20 KG BDA</t>
  </si>
  <si>
    <t>F060126016</t>
  </si>
  <si>
    <t>BINGO (Solubor Boron) 20 KG BDA</t>
  </si>
  <si>
    <t>F060126018</t>
  </si>
  <si>
    <t>0042123</t>
  </si>
  <si>
    <t>SHOBICRON 425 EC 20X100 ML BDA</t>
  </si>
  <si>
    <t>SHOBICRON 425 EC 20X100 ML BDA</t>
  </si>
  <si>
    <t>0043868</t>
  </si>
  <si>
    <t>LASER 10 WP 4x30X25 G                BDA</t>
  </si>
  <si>
    <t>RB20250703</t>
  </si>
  <si>
    <t>LASER 10 WP 4x30X25 G                BDA</t>
  </si>
  <si>
    <t>RB20250704</t>
  </si>
  <si>
    <t>0043978</t>
  </si>
  <si>
    <t>VOLIAM FLEXI 300 SC 20X50 ML         BDA</t>
  </si>
  <si>
    <t>SCH5GS2066</t>
  </si>
  <si>
    <t>VOLIAM FLEXI 300 SC 20X50 ML         BDA</t>
  </si>
  <si>
    <t>SCH6AS2023</t>
  </si>
  <si>
    <t>VOLIAM FLEXI 300 SC 20X50 ML         BDA</t>
  </si>
  <si>
    <t>SCH6AS2025</t>
  </si>
  <si>
    <t>0043994</t>
  </si>
  <si>
    <t>RIFIT 500 EC 200 L BDA</t>
  </si>
  <si>
    <t>SAP6D2E007</t>
  </si>
  <si>
    <t>RIFIT 500 EC 200 L BDA</t>
  </si>
  <si>
    <t>SAP6D2E008</t>
  </si>
  <si>
    <t>RIFIT 500 EC 200 L BDA</t>
  </si>
  <si>
    <t>SAP6D2E009</t>
  </si>
  <si>
    <t>0045144</t>
  </si>
  <si>
    <t>JAZZ 80 WP 10X1 KG BDA</t>
  </si>
  <si>
    <t>DKC-1498</t>
  </si>
  <si>
    <t>0046420</t>
  </si>
  <si>
    <t>FILIA 525 SE 20X100 ML               BDA</t>
  </si>
  <si>
    <t>SCH6BS2011</t>
  </si>
  <si>
    <t>FILIA 525 SE 20X100 ML               BDA</t>
  </si>
  <si>
    <t>SCH6BS2012</t>
  </si>
  <si>
    <t>FILIA 525 SE 20X100 ML               BDA</t>
  </si>
  <si>
    <t>SCH6BS2015</t>
  </si>
  <si>
    <t>0052537</t>
  </si>
  <si>
    <t>JAZZ 80 WP 10X500 G BDA</t>
  </si>
  <si>
    <t>DKC-1355</t>
  </si>
  <si>
    <t>JAZZ 80 WP 10X500 G BDA</t>
  </si>
  <si>
    <t>DKC-1356</t>
  </si>
  <si>
    <t>0052539</t>
  </si>
  <si>
    <t>JAZZ 80 WP 30X100 G BDA</t>
  </si>
  <si>
    <t>DKC-1461</t>
  </si>
  <si>
    <t>0053429</t>
  </si>
  <si>
    <t>FILIA 525 SE 200 L BDA</t>
  </si>
  <si>
    <t>SIK6DS2019</t>
  </si>
  <si>
    <t>FILIA 525 SE 200 L BDA</t>
  </si>
  <si>
    <t>SIK6DS2020</t>
  </si>
  <si>
    <t>FILIA 525 SE 200 L BDA</t>
  </si>
  <si>
    <t>SIK6DS2021</t>
  </si>
  <si>
    <t>FILIA 525 SE 200 L BDA</t>
  </si>
  <si>
    <t>SIK6DS2022</t>
  </si>
  <si>
    <t>FILIA 525 SE 200 L BDA</t>
  </si>
  <si>
    <t>SIK6DS2023</t>
  </si>
  <si>
    <t>FILIA 525 SE 200 L BDA</t>
  </si>
  <si>
    <t>SIK6DS2024</t>
  </si>
  <si>
    <t>0053649</t>
  </si>
  <si>
    <t>REVUS 250 SC 200 L BDA</t>
  </si>
  <si>
    <t>SPL5D2E009</t>
  </si>
  <si>
    <t>0055321</t>
  </si>
  <si>
    <t>CASTOR OIL POLYGLYCOL 36-37</t>
  </si>
  <si>
    <t>CNP1045990</t>
  </si>
  <si>
    <t>ROH</t>
  </si>
  <si>
    <t>0055458</t>
  </si>
  <si>
    <t>FILIA 525 SE 20X50 ML                BDA</t>
  </si>
  <si>
    <t>SCH6AS2002</t>
  </si>
  <si>
    <t>FILIA 525 SE 20X50 ML                BDA</t>
  </si>
  <si>
    <t>SCH6BS2013</t>
  </si>
  <si>
    <t>0057566</t>
  </si>
  <si>
    <t>PROPICONAZOLE TECHNICAL 220 KG       22D</t>
  </si>
  <si>
    <t>SMO6C6588</t>
  </si>
  <si>
    <t>PROPICONAZOLE TECHNICAL 220 KG       22D</t>
  </si>
  <si>
    <t>SMO6C6589</t>
  </si>
  <si>
    <t>0057918</t>
  </si>
  <si>
    <t>FILIA 10X500 ML                      BDA</t>
  </si>
  <si>
    <t>SCH6BS2009</t>
  </si>
  <si>
    <t>FILIA 10X500 ML                      BDA</t>
  </si>
  <si>
    <t>SCH6BS2017</t>
  </si>
  <si>
    <t>FILIA 10X500 ML                      BDA</t>
  </si>
  <si>
    <t>SCH6BS2018</t>
  </si>
  <si>
    <t>0058299</t>
  </si>
  <si>
    <t>LAMBDA-CYHALOTHRIN 200 KG            22D</t>
  </si>
  <si>
    <t>HUD5H9676</t>
  </si>
  <si>
    <t>0058337</t>
  </si>
  <si>
    <t>SILIKA 10X1 KG BDA</t>
  </si>
  <si>
    <t>SCH6B26B08</t>
  </si>
  <si>
    <t>0058513</t>
  </si>
  <si>
    <t>REVUS 250 SC 20X50 ML                BDA</t>
  </si>
  <si>
    <t>SCH5D2E008</t>
  </si>
  <si>
    <t>0058886</t>
  </si>
  <si>
    <t>KARATE 2.5 EC 10X500 ML              BDA</t>
  </si>
  <si>
    <t>SCH6B019A</t>
  </si>
  <si>
    <t>KARATE 2.5 EC 10X500 ML              BDA</t>
  </si>
  <si>
    <t>SCH6B020A</t>
  </si>
  <si>
    <t>KARATE 2.5 EC 10X500 ML              BDA</t>
  </si>
  <si>
    <t>SCH6E033A</t>
  </si>
  <si>
    <t>KARATE 2.5 EC 10X500 ML              BDA</t>
  </si>
  <si>
    <t>SCH6F034A</t>
  </si>
  <si>
    <t>0058887</t>
  </si>
  <si>
    <t>TILT 250 EC 10X500 ML BDA</t>
  </si>
  <si>
    <t>SCH6E010B</t>
  </si>
  <si>
    <t>0058888</t>
  </si>
  <si>
    <t>TILT 250 EC 20X50 ML BDA</t>
  </si>
  <si>
    <t>SCH6D009B</t>
  </si>
  <si>
    <t>0058889</t>
  </si>
  <si>
    <t>TILT 250 EC 20X100 ML BDA</t>
  </si>
  <si>
    <t>SCH6E011B</t>
  </si>
  <si>
    <t>TILT 250 EC 20X100 ML BDA</t>
  </si>
  <si>
    <t>SCH6F012B</t>
  </si>
  <si>
    <t>0058890</t>
  </si>
  <si>
    <t>KARATE 2.5 EC 50X100 ML              BDA</t>
  </si>
  <si>
    <t>SCH6B015A</t>
  </si>
  <si>
    <t>KARATE 2.5 EC 50X100 ML              BDA</t>
  </si>
  <si>
    <t>SCH6E027A</t>
  </si>
  <si>
    <t>KARATE 2.5 EC 50X100 ML              BDA</t>
  </si>
  <si>
    <t>SCH6E028A</t>
  </si>
  <si>
    <t>KARATE 2.5 EC 50X100 ML              BDA</t>
  </si>
  <si>
    <t>SCH6E029A</t>
  </si>
  <si>
    <t>0058896</t>
  </si>
  <si>
    <t>KARATE 2.5 EC 50X50 ML               BDA</t>
  </si>
  <si>
    <t>SCH6C023A</t>
  </si>
  <si>
    <t>KARATE 2.5 EC 50X50 ML               BDA</t>
  </si>
  <si>
    <t>SCH6E025A</t>
  </si>
  <si>
    <t>0059703</t>
  </si>
  <si>
    <t>PROTOZIM 40X50 ML BDA</t>
  </si>
  <si>
    <t>BWL25LG036</t>
  </si>
  <si>
    <t>0059704</t>
  </si>
  <si>
    <t>PROTOZIM 20X100 ML BDA</t>
  </si>
  <si>
    <t>BWL25LL068</t>
  </si>
  <si>
    <t>PROTOZIM 20X100 ML BDA</t>
  </si>
  <si>
    <t>BWL25LL070</t>
  </si>
  <si>
    <t>0059769</t>
  </si>
  <si>
    <t>PROTOZIM 10X500 ML BDA</t>
  </si>
  <si>
    <t>BWL25LL065</t>
  </si>
  <si>
    <t>PROTOZIM 10X500 ML BDA</t>
  </si>
  <si>
    <t>BWL25LL066</t>
  </si>
  <si>
    <t>0061124</t>
  </si>
  <si>
    <t>PEGASUS 20X100 ML                    BDA</t>
  </si>
  <si>
    <t>SCH5ES1012</t>
  </si>
  <si>
    <t>0061485</t>
  </si>
  <si>
    <t>CASTOR OIL ETHOXYLATED (SERVI 1 KG BDA</t>
  </si>
  <si>
    <t>5500B33470</t>
  </si>
  <si>
    <t>0061486</t>
  </si>
  <si>
    <t>POLYOXYETHYLENE SORBITAN MONO OLEATE(TWE</t>
  </si>
  <si>
    <t>0002514955</t>
  </si>
  <si>
    <t>0061490</t>
  </si>
  <si>
    <t>1-METHYL-2-PYRROLIDONE 1 KG BDA</t>
  </si>
  <si>
    <t>SG251205U0</t>
  </si>
  <si>
    <t>0063105</t>
  </si>
  <si>
    <t>VERTIMEC 1.8 EC 20x50 ML BDA</t>
  </si>
  <si>
    <t>SCH6F024C</t>
  </si>
  <si>
    <t>0063106</t>
  </si>
  <si>
    <t>VERTIMEC 1.8 EC 20x100 ML BDA</t>
  </si>
  <si>
    <t>SCH6F025C</t>
  </si>
  <si>
    <t>VERTIMEC 1.8 EC 20x100 ML BDA</t>
  </si>
  <si>
    <t>SCH6F026C</t>
  </si>
  <si>
    <t>VERTIMEC 1.8 EC 20x100 ML BDA</t>
  </si>
  <si>
    <t>SCH6F027C</t>
  </si>
  <si>
    <t>0063107</t>
  </si>
  <si>
    <t>VERTIMEC 1.8 EC 10x500 ML BDA</t>
  </si>
  <si>
    <t>SCH6C022C</t>
  </si>
  <si>
    <t>0063913</t>
  </si>
  <si>
    <t>CRUISER 70 WS 2x25X20 G              BDA</t>
  </si>
  <si>
    <t>SPL6B2E019</t>
  </si>
  <si>
    <t>CRUISER 70 WS 2x25X20 G              BDA</t>
  </si>
  <si>
    <t>SPL6C2E034</t>
  </si>
  <si>
    <t>CRUISER 70 WS 2x25X20 G              BDA</t>
  </si>
  <si>
    <t>SPL6C2E035</t>
  </si>
  <si>
    <t>CRUISER 70 WS 2x25X20 G              BDA</t>
  </si>
  <si>
    <t>SPL6C2E036</t>
  </si>
  <si>
    <t>CRUISER 70 WS 2x25X20 G              BDA</t>
  </si>
  <si>
    <t>SPL6C2E037</t>
  </si>
  <si>
    <t>CRUISER 70 WS 2x25X20 G              BDA</t>
  </si>
  <si>
    <t>SPL6D2E038</t>
  </si>
  <si>
    <t>0064213</t>
  </si>
  <si>
    <t>PLENUM 50 WG 4X10X50 G BDA</t>
  </si>
  <si>
    <t>SCH6DW1037</t>
  </si>
  <si>
    <t>PLENUM 50 WG 4X10X50 G BDA</t>
  </si>
  <si>
    <t>SCH6EW1046</t>
  </si>
  <si>
    <t>0066917</t>
  </si>
  <si>
    <t>PLENUM 50 WG 2X10X100 G BDA</t>
  </si>
  <si>
    <t>0068507</t>
  </si>
  <si>
    <t>CALIBER 50 WP 30X100 G BDA</t>
  </si>
  <si>
    <t>EC260409</t>
  </si>
  <si>
    <t>0069037</t>
  </si>
  <si>
    <t>GAYLE 18WP 30X100 G                  BDA</t>
  </si>
  <si>
    <t>BG2510205</t>
  </si>
  <si>
    <t>0069667</t>
  </si>
  <si>
    <t>ALIKA 24.7 ZC 20X50 ML               BDA</t>
  </si>
  <si>
    <t>SCH6B2E008</t>
  </si>
  <si>
    <t>0070283</t>
  </si>
  <si>
    <t>CALIBER 50 WP 10X500 G BDA</t>
  </si>
  <si>
    <t>0070333</t>
  </si>
  <si>
    <t>PROCLAIM 05 SG 45 KG BDA</t>
  </si>
  <si>
    <t>SIK6DW3003</t>
  </si>
  <si>
    <t>0070897</t>
  </si>
  <si>
    <t>PROCLAIM 5 SG 2X10X30 G BDA</t>
  </si>
  <si>
    <t>SCH5DW3005</t>
  </si>
  <si>
    <t>0072597</t>
  </si>
  <si>
    <t>VIRTAKO 40 WG 2X10X30 G              BDA</t>
  </si>
  <si>
    <t>SCH6DW2018</t>
  </si>
  <si>
    <t>0072598</t>
  </si>
  <si>
    <t>VIRTAKO 40 WG 4X10X10 G              BDA</t>
  </si>
  <si>
    <t>SCH6CW2012</t>
  </si>
  <si>
    <t>VIRTAKO 40 WG 4X10X10 G              BDA</t>
  </si>
  <si>
    <t>SCH6CW2013</t>
  </si>
  <si>
    <t>VIRTAKO 40 WG 4X10X10 G              BDA</t>
  </si>
  <si>
    <t>SCH6CW2014</t>
  </si>
  <si>
    <t>VIRTAKO 40 WG 4X10X10 G              BDA</t>
  </si>
  <si>
    <t>SCH6CW2015</t>
  </si>
  <si>
    <t>VIRTAKO 40 WG 4X10X10 G              BDA</t>
  </si>
  <si>
    <t>SCH6CW2016</t>
  </si>
  <si>
    <t>VIRTAKO 40 WG 4X10X10 G              BDA</t>
  </si>
  <si>
    <t>SCH6CW2017</t>
  </si>
  <si>
    <t>VIRTAKO 40 WG 4X10X10 G              BDA</t>
  </si>
  <si>
    <t>SCH6DW2019</t>
  </si>
  <si>
    <t>0072736</t>
  </si>
  <si>
    <t>RIDOMIL GOLD MZ 68WG 600 KG BDA</t>
  </si>
  <si>
    <t>IPT5F164RM</t>
  </si>
  <si>
    <t>RIDOMIL GOLD MZ 68WG 600 KG BDA</t>
  </si>
  <si>
    <t>IPT5F165RM</t>
  </si>
  <si>
    <t>RIDOMIL GOLD MZ 68WG 600 KG BDA</t>
  </si>
  <si>
    <t>IPT5F166RM</t>
  </si>
  <si>
    <t>RIDOMIL GOLD MZ 68WG 600 KG BDA</t>
  </si>
  <si>
    <t>IPT6A259RM</t>
  </si>
  <si>
    <t>RIDOMIL GOLD MZ 68WG 600 KG BDA</t>
  </si>
  <si>
    <t>IPT6A260RM</t>
  </si>
  <si>
    <t>RIDOMIL GOLD MZ 68WG 600 KG BDA</t>
  </si>
  <si>
    <t>IPT6A261RM</t>
  </si>
  <si>
    <t>RIDOMIL GOLD MZ 68WG 600 KG BDA</t>
  </si>
  <si>
    <t>IPT6A262RM</t>
  </si>
  <si>
    <t>RIDOMIL GOLD MZ 68WG 600 KG BDA</t>
  </si>
  <si>
    <t>IPT6B301RM</t>
  </si>
  <si>
    <t>RIDOMIL GOLD MZ 68WG 600 KG BDA</t>
  </si>
  <si>
    <t>IPT6B302RM</t>
  </si>
  <si>
    <t>RIDOMIL GOLD MZ 68WG 600 KG BDA</t>
  </si>
  <si>
    <t>IPT6B303RM</t>
  </si>
  <si>
    <t>0074330</t>
  </si>
  <si>
    <t>ARMURE 30EC 200 L BDA</t>
  </si>
  <si>
    <t>BPO6E2082</t>
  </si>
  <si>
    <t>0075229</t>
  </si>
  <si>
    <t>INCIPIO 20SC 20x100 ML               BDA</t>
  </si>
  <si>
    <t>SCH6BS1031</t>
  </si>
  <si>
    <t>INCIPIO 20SC 20x100 ML               BDA</t>
  </si>
  <si>
    <t>SCH6BS1032</t>
  </si>
  <si>
    <t>INCIPIO 20SC 20x100 ML               BDA</t>
  </si>
  <si>
    <t>SCH6BS1033</t>
  </si>
  <si>
    <t>INCIPIO 20SC 20x100 ML               BDA</t>
  </si>
  <si>
    <t>SCH6CS2067</t>
  </si>
  <si>
    <t>0080310</t>
  </si>
  <si>
    <t>MIRAVIS DUO 20SC 200 L BDA</t>
  </si>
  <si>
    <t>GRA5G00116</t>
  </si>
  <si>
    <t>MIRAVIS DUO 20SC 200 L BDA</t>
  </si>
  <si>
    <t>GRA5H00001</t>
  </si>
  <si>
    <t>MIRAVIS DUO 20SC 200 L BDA</t>
  </si>
  <si>
    <t>GRA5H00005</t>
  </si>
  <si>
    <t>MIRAVIS DUO 20SC 200 L BDA</t>
  </si>
  <si>
    <t>GRA5H00008</t>
  </si>
  <si>
    <t>0080927</t>
  </si>
  <si>
    <t>MIRAVIS DUO 20SC 20x50 ML            BDA</t>
  </si>
  <si>
    <t>SCH5F00021</t>
  </si>
  <si>
    <t>MIRAVIS DUO 20SC 20x50 ML            BDA</t>
  </si>
  <si>
    <t>SCH5F00065</t>
  </si>
  <si>
    <t>MIRAVIS DUO 20SC 20x50 ML            BDA</t>
  </si>
  <si>
    <t>SCH5F00076</t>
  </si>
  <si>
    <t>0081359</t>
  </si>
  <si>
    <t>MIRAVIS DUO 20SC 20x100 ML           BDA</t>
  </si>
  <si>
    <t>SCH5G00116</t>
  </si>
  <si>
    <t>0082461</t>
  </si>
  <si>
    <t>ACTARA 25 WG 40 KG BDA</t>
  </si>
  <si>
    <t>SIK5FW2012</t>
  </si>
  <si>
    <t>0084793</t>
  </si>
  <si>
    <t>VESTORIA 20WG 25x15 G                BDA</t>
  </si>
  <si>
    <t>SCH6CVC056</t>
  </si>
  <si>
    <t>0085250</t>
  </si>
  <si>
    <t>ARMURE 30EC 20x100 ML                BDA</t>
  </si>
  <si>
    <t>SCH5E2093</t>
  </si>
  <si>
    <t>0085448</t>
  </si>
  <si>
    <t>CARIAL FLEX 43WG 600 KG BDA</t>
  </si>
  <si>
    <t>SSP5A2500</t>
  </si>
  <si>
    <t>CARIAL FLEX 43WG 600 KG BDA</t>
  </si>
  <si>
    <t>SSP5A2501</t>
  </si>
  <si>
    <t>0086840</t>
  </si>
  <si>
    <t>ABAMECTIN TECHNICAL II 15 KG BDA</t>
  </si>
  <si>
    <t>NAD50516LL</t>
  </si>
  <si>
    <t>ABAMECTIN TECHNICAL II 15 KG BDA</t>
  </si>
  <si>
    <t>NAD50517LL</t>
  </si>
  <si>
    <t>0086986</t>
  </si>
  <si>
    <t>AMISTAR TOP 325 SC 200 L BDA</t>
  </si>
  <si>
    <t>AAJ6D00001</t>
  </si>
  <si>
    <t>AMISTAR TOP 325 SC 200 L BDA</t>
  </si>
  <si>
    <t>AAJ6D00002</t>
  </si>
  <si>
    <t>AMISTAR TOP 325 SC 200 L BDA</t>
  </si>
  <si>
    <t>AAJ6D00003</t>
  </si>
  <si>
    <t>AMISTAR TOP 325 SC 200 L BDA</t>
  </si>
  <si>
    <t>AAJ6D00004</t>
  </si>
  <si>
    <t>AMISTAR TOP 325 SC 200 L BDA</t>
  </si>
  <si>
    <t>AAJ6D00005</t>
  </si>
  <si>
    <t>AMISTAR TOP 325 SC 200 L BDA</t>
  </si>
  <si>
    <t>AAJ6D00006</t>
  </si>
  <si>
    <t>AMISTAR TOP 325 SC 200 L BDA</t>
  </si>
  <si>
    <t>AAJ6D00007</t>
  </si>
  <si>
    <t>AMISTAR TOP 325 SC 200 L BDA</t>
  </si>
  <si>
    <t>AAJ6D00008</t>
  </si>
  <si>
    <t>AMISTAR TOP 325 SC 200 L BDA</t>
  </si>
  <si>
    <t>AAJ6D00009</t>
  </si>
  <si>
    <t>AMISTAR TOP 325 SC 200 L BDA</t>
  </si>
  <si>
    <t>AAJ6D00010</t>
  </si>
  <si>
    <t>AMISTAR TOP 325 SC 200 L BDA</t>
  </si>
  <si>
    <t>AAJ6D00011</t>
  </si>
  <si>
    <t>AMISTAR TOP 325 SC 200 L BDA</t>
  </si>
  <si>
    <t>AAJ6D00012</t>
  </si>
  <si>
    <t>AMISTAR TOP 325 SC 200 L BDA</t>
  </si>
  <si>
    <t>AAJ6D00013</t>
  </si>
  <si>
    <t>AMISTAR TOP 325 SC 200 L BDA</t>
  </si>
  <si>
    <t>AAJ6D00014</t>
  </si>
  <si>
    <t>AMISTAR TOP 325 SC 200 L BDA</t>
  </si>
  <si>
    <t>AAJ6D00015</t>
  </si>
  <si>
    <t>AMISTAR TOP 325 SC 200 L BDA</t>
  </si>
  <si>
    <t>AAJ6D00016</t>
  </si>
  <si>
    <t>AMISTAR TOP 325 SC 200 L BDA</t>
  </si>
  <si>
    <t>AAJ6D00017</t>
  </si>
  <si>
    <t>AMISTAR TOP 325 SC 200 L BDA</t>
  </si>
  <si>
    <t>AAJ6D00018</t>
  </si>
  <si>
    <t>0087199</t>
  </si>
  <si>
    <t>PROCLAIM 05 SG 4x12x10 G             BDA</t>
  </si>
  <si>
    <t>0087221</t>
  </si>
  <si>
    <t>ACTARA 25WG 20x12x5 G                BDA</t>
  </si>
  <si>
    <t>SCH5FW2012</t>
  </si>
  <si>
    <t>0087224</t>
  </si>
  <si>
    <t>DENIM FIT 50WG 4x12x10 G             BDA</t>
  </si>
  <si>
    <t>SCH5D2003</t>
  </si>
  <si>
    <t>0087269</t>
  </si>
  <si>
    <t>BINGO 30x100 G                       BDA</t>
  </si>
  <si>
    <t>SCH6D014</t>
  </si>
  <si>
    <t>0087848</t>
  </si>
  <si>
    <t>BINGO 20x500 G                       BDA</t>
  </si>
  <si>
    <t>SCH6D012</t>
  </si>
  <si>
    <t>BINGO 20x500 G                       BDA</t>
  </si>
  <si>
    <t>0087913</t>
  </si>
  <si>
    <t>INCIPIO 20SC 25x40 ML                BDA</t>
  </si>
  <si>
    <t>SCH6BS1027</t>
  </si>
  <si>
    <t>INCIPIO 20SC 25x40 ML                BDA</t>
  </si>
  <si>
    <t>SCH6BS1028</t>
  </si>
  <si>
    <t>INCIPIO 20SC 25x40 ML                BDA</t>
  </si>
  <si>
    <t>SCH6BS1030</t>
  </si>
  <si>
    <t>INCIPIO 20SC 25x40 ML                BDA</t>
  </si>
  <si>
    <t>INCIPIO 20SC 25x40 ML                BDA</t>
  </si>
  <si>
    <t>SCH6DS2126</t>
  </si>
  <si>
    <t>0088294</t>
  </si>
  <si>
    <t>ATRESIA 10DC 100x50 ML BDA</t>
  </si>
  <si>
    <t>JAK6A27018</t>
  </si>
  <si>
    <t>0088547</t>
  </si>
  <si>
    <t>INCIPIO 20 SC 200 L BDA</t>
  </si>
  <si>
    <t>SIK6DS2130</t>
  </si>
  <si>
    <t>INCIPIO 20 SC 200 L BDA</t>
  </si>
  <si>
    <t>SIK6DS2131</t>
  </si>
  <si>
    <t>INCIPIO 20 SC 200 L BDA</t>
  </si>
  <si>
    <t>SIK6DS2132</t>
  </si>
  <si>
    <t>INCIPIO 20 SC 200 L BDA</t>
  </si>
  <si>
    <t>SIK6DS2133</t>
  </si>
  <si>
    <t>INCIPIO 20 SC 200 L BDA</t>
  </si>
  <si>
    <t>SIK6DS2134</t>
  </si>
  <si>
    <t>INCIPIO 20 SC 200 L BDA</t>
  </si>
  <si>
    <t>SIK6DS2135</t>
  </si>
  <si>
    <t>0088626</t>
  </si>
  <si>
    <t>AMISTAR TOP 325SC 10x500 ML BDA</t>
  </si>
  <si>
    <t>SCH6C00006</t>
  </si>
  <si>
    <t>AMISTAR TOP 325SC 10x500 ML BDA</t>
  </si>
  <si>
    <t>SCH6C00007</t>
  </si>
  <si>
    <t>AMISTAR TOP 325SC 10x500 ML BDA</t>
  </si>
  <si>
    <t>SCH6C00010</t>
  </si>
  <si>
    <t>AMISTAR TOP 325SC 10x500 ML BDA</t>
  </si>
  <si>
    <t>SCH6C00011</t>
  </si>
  <si>
    <t>0088630</t>
  </si>
  <si>
    <t>AMISTAR TOP 325SC 20x100 ML BDA</t>
  </si>
  <si>
    <t>SCH6A00007</t>
  </si>
  <si>
    <t>AMISTAR TOP 325SC 20x100 ML BDA</t>
  </si>
  <si>
    <t>SCH6A00008</t>
  </si>
  <si>
    <t>AMISTAR TOP 325SC 20x100 ML BDA</t>
  </si>
  <si>
    <t>SCH6C00002</t>
  </si>
  <si>
    <t>AMISTAR TOP 325SC 20x100 ML BDA</t>
  </si>
  <si>
    <t>SCH6C00003</t>
  </si>
  <si>
    <t>AMISTAR TOP 325SC 20x100 ML BDA</t>
  </si>
  <si>
    <t>SCH6C00004</t>
  </si>
  <si>
    <t>0088631</t>
  </si>
  <si>
    <t>AMISTAR TOP 325SC 20x50 ML BDA</t>
  </si>
  <si>
    <t>SCH5J00038</t>
  </si>
  <si>
    <t>AMISTAR TOP 325SC 20x50 ML BDA</t>
  </si>
  <si>
    <t>SCH6A00012</t>
  </si>
  <si>
    <t>AMISTAR TOP 325SC 20x50 ML BDA</t>
  </si>
  <si>
    <t>SCH6A00013</t>
  </si>
  <si>
    <t>0090521</t>
  </si>
  <si>
    <t>MAGMA 10x1 KG BDA</t>
  </si>
  <si>
    <t>SCH5L259</t>
  </si>
  <si>
    <t>MAGMA 10x1 KG BDA</t>
  </si>
  <si>
    <t>SCH6C272</t>
  </si>
  <si>
    <t>MAGMA 10x1 KG BDA</t>
  </si>
  <si>
    <t>SCH6D279</t>
  </si>
  <si>
    <t>0090556</t>
  </si>
  <si>
    <t>MAGMA 5x2 KG BDA</t>
  </si>
  <si>
    <t>0092795</t>
  </si>
  <si>
    <t>THIOVIT 80 WG 6x2 KG BDA</t>
  </si>
  <si>
    <t>SCH5K24802</t>
  </si>
  <si>
    <t>0092798</t>
  </si>
  <si>
    <t>THIOVIT 80 WG 12x1 KG BDA</t>
  </si>
  <si>
    <t>0093171</t>
  </si>
  <si>
    <t>GROZIN 5x2 KG BDA</t>
  </si>
  <si>
    <t>SCH6C0316</t>
  </si>
  <si>
    <t>GROZIN 5x2 KG BDA</t>
  </si>
  <si>
    <t>SCH6C0326</t>
  </si>
  <si>
    <t>0093175</t>
  </si>
  <si>
    <t>GROZIN 10x1 KG BDA</t>
  </si>
  <si>
    <t>SCH6C0318</t>
  </si>
  <si>
    <t>GROZIN 10x1 KG BDA</t>
  </si>
  <si>
    <t>SCH6C0384</t>
  </si>
  <si>
    <t>0137736</t>
  </si>
  <si>
    <t>SYNPERONIC OP 10 / TERIC X10</t>
  </si>
  <si>
    <t>523821</t>
  </si>
  <si>
    <t>SYNPERONIC OP 10 / TERIC X10</t>
  </si>
  <si>
    <t>523822</t>
  </si>
  <si>
    <t>SYNPERONIC OP 10 / TERIC X10</t>
  </si>
  <si>
    <t>523823</t>
  </si>
  <si>
    <t>0169663</t>
  </si>
  <si>
    <t>SOLVESSO 150</t>
  </si>
  <si>
    <t>SV36502603</t>
  </si>
  <si>
    <t>0170739</t>
  </si>
  <si>
    <t>PHENYL SULPHONATE CAL</t>
  </si>
  <si>
    <t>IDAA141202</t>
  </si>
  <si>
    <t>4088738</t>
  </si>
  <si>
    <t>1-HEXANOL BDA 170KG</t>
  </si>
  <si>
    <t>96158</t>
  </si>
  <si>
    <t>HALB</t>
  </si>
  <si>
    <t>4157909</t>
  </si>
  <si>
    <t>PARACOS KF-70 (WHITE MINERAL OIL) BDA</t>
  </si>
  <si>
    <t>JD20251208</t>
  </si>
  <si>
    <t>Production Month 
Accoridng To System</t>
  </si>
  <si>
    <t>Match?</t>
  </si>
  <si>
    <t>NO</t>
  </si>
  <si>
    <t>YES</t>
  </si>
  <si>
    <t>Batch Month</t>
  </si>
  <si>
    <t>September</t>
  </si>
  <si>
    <t>February</t>
  </si>
  <si>
    <t>January</t>
  </si>
  <si>
    <t>May</t>
  </si>
  <si>
    <t>July</t>
  </si>
  <si>
    <t>March</t>
  </si>
  <si>
    <t>June</t>
  </si>
  <si>
    <t>April</t>
  </si>
  <si>
    <t>November</t>
  </si>
  <si>
    <t>October</t>
  </si>
  <si>
    <t>December</t>
  </si>
  <si>
    <t>SAP Production Month (System)</t>
  </si>
  <si>
    <t>Actual Expiry Month (System)</t>
  </si>
  <si>
    <t>Grand Total</t>
  </si>
  <si>
    <t>Physical Expiry</t>
  </si>
  <si>
    <t>Actara 5g</t>
  </si>
  <si>
    <t>SCH5FW2011</t>
  </si>
  <si>
    <t>Batch Code</t>
  </si>
  <si>
    <t>Amistar 50ml</t>
  </si>
  <si>
    <t>SCH6A00003</t>
  </si>
  <si>
    <t>2027 May</t>
  </si>
  <si>
    <t>2027 Dec</t>
  </si>
  <si>
    <t>Amistar 100ml</t>
  </si>
  <si>
    <t>SCH6A00006</t>
  </si>
  <si>
    <t>SCH6C00001</t>
  </si>
  <si>
    <t>2028 Dec</t>
  </si>
  <si>
    <t>Amistar 500ml</t>
  </si>
  <si>
    <t>2028 Feb</t>
  </si>
  <si>
    <t>Atresia 50ml</t>
  </si>
  <si>
    <t>2028 Jan</t>
  </si>
  <si>
    <t>Armure 100ml</t>
  </si>
  <si>
    <t>2027 April</t>
  </si>
  <si>
    <t>Alika 50ml</t>
  </si>
  <si>
    <t>SCH6B2E011</t>
  </si>
  <si>
    <t>Bingo 100g</t>
  </si>
  <si>
    <t>SCH6A003</t>
  </si>
  <si>
    <t>SCH6B008</t>
  </si>
  <si>
    <t>2028 Mar</t>
  </si>
  <si>
    <t>Bingo 500g</t>
  </si>
  <si>
    <t>SCH6C011</t>
  </si>
  <si>
    <t>Cuiser 20g</t>
  </si>
  <si>
    <t>SPL5K2E156</t>
  </si>
  <si>
    <t>2027 Nov</t>
  </si>
  <si>
    <t>SPL6B2E007</t>
  </si>
  <si>
    <t>Denim Fit 10g</t>
  </si>
  <si>
    <t>2027 Mar</t>
  </si>
  <si>
    <t>Caliber 100g</t>
  </si>
  <si>
    <t>2028 Apr</t>
  </si>
  <si>
    <t>Caliber 500g</t>
  </si>
  <si>
    <t>EC269409</t>
  </si>
  <si>
    <t>Filia 50ml</t>
  </si>
  <si>
    <t>SCH5DS2002</t>
  </si>
  <si>
    <t>Filia 100ml</t>
  </si>
  <si>
    <t>Filia 500ml</t>
  </si>
  <si>
    <t>SCH6BS2008</t>
  </si>
  <si>
    <t>Gayle 100g</t>
  </si>
  <si>
    <t>Grozin 1kg</t>
  </si>
  <si>
    <t>SCH6B317</t>
  </si>
  <si>
    <t>Grozin 2kg</t>
  </si>
  <si>
    <t>SCH6C0306</t>
  </si>
  <si>
    <t>Incipio 40ml</t>
  </si>
  <si>
    <t>SCH5JS2307</t>
  </si>
  <si>
    <t>2027 Sept</t>
  </si>
  <si>
    <t>SCH6BS1026</t>
  </si>
  <si>
    <t>Incipio 100ml</t>
  </si>
  <si>
    <t>SCH6CS2066</t>
  </si>
  <si>
    <t>Jazz 100g</t>
  </si>
  <si>
    <t>DKC1461</t>
  </si>
  <si>
    <t>Jazz 500g</t>
  </si>
  <si>
    <t>DKC1328</t>
  </si>
  <si>
    <t>2027 Jul</t>
  </si>
  <si>
    <t>DKC1356</t>
  </si>
  <si>
    <t>Jazz 1kg</t>
  </si>
  <si>
    <t>DKC1462</t>
  </si>
  <si>
    <t>Karate 50ml</t>
  </si>
  <si>
    <t>SCH6C022A</t>
  </si>
  <si>
    <t>Karate 100ml</t>
  </si>
  <si>
    <t>SCH6A008A</t>
  </si>
  <si>
    <t>Karate 500ml</t>
  </si>
  <si>
    <t>SCH6B017A</t>
  </si>
  <si>
    <t>2028 jan</t>
  </si>
  <si>
    <t>Lanirat 100g</t>
  </si>
  <si>
    <t>SCH6B006</t>
  </si>
  <si>
    <t>Laser 25g</t>
  </si>
  <si>
    <t>2027 Jun</t>
  </si>
  <si>
    <t>Magma 1kg</t>
  </si>
  <si>
    <t>SCH6A106</t>
  </si>
  <si>
    <t>Magma 2kg</t>
  </si>
  <si>
    <t>SCH5L256</t>
  </si>
  <si>
    <t>Miravis Duo 50ml</t>
  </si>
  <si>
    <t>Miravis Duo 100ml</t>
  </si>
  <si>
    <t>Pegasus 50ml</t>
  </si>
  <si>
    <t>Pegasus 100ml</t>
  </si>
  <si>
    <t>SCH5ES1011</t>
  </si>
  <si>
    <t>Proclaim 10g</t>
  </si>
  <si>
    <t>SCH5DW3004</t>
  </si>
  <si>
    <t>Proclaim 30g</t>
  </si>
  <si>
    <t>Protozim 50ml</t>
  </si>
  <si>
    <t>2030 July</t>
  </si>
  <si>
    <t>Protozim 100ml</t>
  </si>
  <si>
    <t>2030 Dec</t>
  </si>
  <si>
    <t>Protozim 500ml</t>
  </si>
  <si>
    <t>2030 Nov</t>
  </si>
  <si>
    <t>PJ-16</t>
  </si>
  <si>
    <t>XP-16</t>
  </si>
  <si>
    <t>Revus 50ml</t>
  </si>
  <si>
    <t>SCH5D2E007</t>
  </si>
  <si>
    <t>Revus 100ml</t>
  </si>
  <si>
    <t>Ridomil 100g</t>
  </si>
  <si>
    <t>SCH5F135Rm</t>
  </si>
  <si>
    <t>Ridomil 500g</t>
  </si>
  <si>
    <t>Rifit 100ml</t>
  </si>
  <si>
    <t>SCH5L2E032</t>
  </si>
  <si>
    <t>Rifit 500ml</t>
  </si>
  <si>
    <t>SCH5I2E027</t>
  </si>
  <si>
    <t>2027 Aug</t>
  </si>
  <si>
    <t>SCH5L2E030</t>
  </si>
  <si>
    <t>SCH6B2E001</t>
  </si>
  <si>
    <t>Score 500ml</t>
  </si>
  <si>
    <t>Score 50ml</t>
  </si>
  <si>
    <t>Score 100ml</t>
  </si>
  <si>
    <t>Shobicron 50ml</t>
  </si>
  <si>
    <t>Shobicron 100ml</t>
  </si>
  <si>
    <t>SCH6A123</t>
  </si>
  <si>
    <t>Shobicron 500ml</t>
  </si>
  <si>
    <t>Silika 1kg</t>
  </si>
  <si>
    <t>SCH6B26B01</t>
  </si>
  <si>
    <t>Silika 2kg</t>
  </si>
  <si>
    <t>SCH6B26B04</t>
  </si>
  <si>
    <t>Not Filled</t>
  </si>
  <si>
    <t>Thiovit 1kg</t>
  </si>
  <si>
    <t>SCH5G22916</t>
  </si>
  <si>
    <t>2027 Oct</t>
  </si>
  <si>
    <t>Thiovit 2kg</t>
  </si>
  <si>
    <t>Tilt 50ml</t>
  </si>
  <si>
    <t>SCH6D008B</t>
  </si>
  <si>
    <t>Tilt 100ml</t>
  </si>
  <si>
    <t>SCH6A002B</t>
  </si>
  <si>
    <t>Tilt 500ml</t>
  </si>
  <si>
    <t>SCH6D007B</t>
  </si>
  <si>
    <t>Vestoria 15g</t>
  </si>
  <si>
    <t>Vertimec 50ml</t>
  </si>
  <si>
    <t>SCH6C019C</t>
  </si>
  <si>
    <t>SCH6E023C</t>
  </si>
  <si>
    <t>2028 May</t>
  </si>
  <si>
    <t>Vertimec 100ml</t>
  </si>
  <si>
    <t>SCH6C021C</t>
  </si>
  <si>
    <t>Vertimec 500ml</t>
  </si>
  <si>
    <t>SCH6D022C</t>
  </si>
  <si>
    <t>Virtako 10g</t>
  </si>
  <si>
    <t>Virtako 30g</t>
  </si>
  <si>
    <t>Voliam 50ml</t>
  </si>
  <si>
    <t>SCH5GS2064</t>
  </si>
  <si>
    <t>Plenum 50g</t>
  </si>
  <si>
    <t>Name of Product &amp; Pack Size</t>
  </si>
  <si>
    <t>This Data is According to System</t>
  </si>
  <si>
    <t>This Data Taken Physically Going to Warehouse and checking on inventory at the end of month</t>
  </si>
  <si>
    <t>This Data was exported from the SAP system</t>
  </si>
  <si>
    <t>Total Quantity (system)</t>
  </si>
  <si>
    <t>Quantity (physical)</t>
  </si>
  <si>
    <t>Physical Expiry Month</t>
  </si>
  <si>
    <t>ACTARA 5G</t>
  </si>
  <si>
    <t>ALIKA 50ML</t>
  </si>
  <si>
    <t>AMISTAR 500ML</t>
  </si>
  <si>
    <t>AMISTAR 100ML</t>
  </si>
  <si>
    <t>AMISTAR 50ML</t>
  </si>
  <si>
    <t>ARMURE 100ML</t>
  </si>
  <si>
    <t>BINGO 500G</t>
  </si>
  <si>
    <t>BINGO 100G</t>
  </si>
  <si>
    <t>DENIM FIT 10G</t>
  </si>
  <si>
    <t>FILIA 500ML</t>
  </si>
  <si>
    <t>FILIA 100ML</t>
  </si>
  <si>
    <t>FILIA 50ML</t>
  </si>
  <si>
    <t>GROZIN 1KG</t>
  </si>
  <si>
    <t>GROZIN 2KG</t>
  </si>
  <si>
    <t>INCIPIO 100ML</t>
  </si>
  <si>
    <t>INCIPIO 40ML</t>
  </si>
  <si>
    <t>KARATE 500ML</t>
  </si>
  <si>
    <t>KARATE 100ML</t>
  </si>
  <si>
    <t>KARATE 50ML</t>
  </si>
  <si>
    <t>LANIRAT 100G</t>
  </si>
  <si>
    <t>MAGMA 1KG</t>
  </si>
  <si>
    <t>MAGMA 2KG</t>
  </si>
  <si>
    <t>MIRAVIS DUO 100ML</t>
  </si>
  <si>
    <t>MIRAVIS DUO 50ML</t>
  </si>
  <si>
    <t>PEGASUS 100ML</t>
  </si>
  <si>
    <t>PLENUM 100G</t>
  </si>
  <si>
    <t>PLENUM 50G</t>
  </si>
  <si>
    <t>PROCLAIM 10G</t>
  </si>
  <si>
    <t>PROCLAIM 30G</t>
  </si>
  <si>
    <t>REVUS 50ML</t>
  </si>
  <si>
    <t>RIDOMIL 500G</t>
  </si>
  <si>
    <t>RIDOMIL 100G</t>
  </si>
  <si>
    <t>RIFIT 500ML</t>
  </si>
  <si>
    <t>RIFIT 100ML</t>
  </si>
  <si>
    <t>SCORE 100ML</t>
  </si>
  <si>
    <t>SCORE 500ML</t>
  </si>
  <si>
    <t>SCORE 50ML</t>
  </si>
  <si>
    <t>SHOBICRON 500ML</t>
  </si>
  <si>
    <t>SHOBICRON 100ML</t>
  </si>
  <si>
    <t>SHOBICRON 50ML</t>
  </si>
  <si>
    <t>SILIKA 1KG</t>
  </si>
  <si>
    <t>THIOVIT 1KG</t>
  </si>
  <si>
    <t>THIOVIT 2KG</t>
  </si>
  <si>
    <t>TILT 500ML</t>
  </si>
  <si>
    <t>TILT 100ML</t>
  </si>
  <si>
    <t>TILT 50ML</t>
  </si>
  <si>
    <t>VERTIMEC 500ML</t>
  </si>
  <si>
    <t>VERTIMEC 100ML</t>
  </si>
  <si>
    <t>VERTIMEC 50ML</t>
  </si>
  <si>
    <t>VESTORIA 15G</t>
  </si>
  <si>
    <t>VIRTAKO 30G</t>
  </si>
  <si>
    <t>VIRTAKO 10G</t>
  </si>
  <si>
    <t>VOLIAM 50ML</t>
  </si>
  <si>
    <t>PEGASUS 50ML</t>
  </si>
  <si>
    <t>REVUS 100ML</t>
  </si>
  <si>
    <t>SILIKA 2KG</t>
  </si>
  <si>
    <t>Physical Match Key</t>
  </si>
  <si>
    <t>ACTARA 5G | SCH5FW2011</t>
  </si>
  <si>
    <t>AMISTAR 50ML | SCH6A00003</t>
  </si>
  <si>
    <t>AMISTAR 100ML | SCH6A00006</t>
  </si>
  <si>
    <t>AMISTAR 100ML | SCH6C00001</t>
  </si>
  <si>
    <t>AMISTAR 500ML | SCH6A00007</t>
  </si>
  <si>
    <t>AMISTAR 500ML | SCH6C00006</t>
  </si>
  <si>
    <t>ARMURE 100ML | SCH5E2093</t>
  </si>
  <si>
    <t>ALIKA 50ML | SCH6B2E011</t>
  </si>
  <si>
    <t>BINGO 100G | SCH6A003</t>
  </si>
  <si>
    <t>BINGO 100G | SCH6B008</t>
  </si>
  <si>
    <t>BINGO 100G | SCH6D014</t>
  </si>
  <si>
    <t>BINGO 500G | SCH6C011</t>
  </si>
  <si>
    <t>BINGO 500G | SCH6D012</t>
  </si>
  <si>
    <t>DENIM FIT 10G | SCH5D2003</t>
  </si>
  <si>
    <t>FILIA 50ML | SCH5DS2002</t>
  </si>
  <si>
    <t>FILIA 50ML | SCH6BS2013</t>
  </si>
  <si>
    <t>FILIA 100ML | SCH6BS2013</t>
  </si>
  <si>
    <t>FILIA 500ML | SCH6BS2008</t>
  </si>
  <si>
    <t>GROZIN 1KG | SCH6C0318</t>
  </si>
  <si>
    <t>GROZIN 1KG | SCH6B317</t>
  </si>
  <si>
    <t>GROZIN 2KG | SCH6C0306</t>
  </si>
  <si>
    <t>INCIPIO 40ML | SCH5JS2307</t>
  </si>
  <si>
    <t>INCIPIO 40ML | SCH6BS1026</t>
  </si>
  <si>
    <t>INCIPIO 100ML | SCH6BS1032</t>
  </si>
  <si>
    <t>INCIPIO 100ML | SCH6CS2066</t>
  </si>
  <si>
    <t>KARATE 50ML | SCH6C022A</t>
  </si>
  <si>
    <t>KARATE 50ML | SCH6E025A</t>
  </si>
  <si>
    <t>KARATE 100ML | SCH6A008A</t>
  </si>
  <si>
    <t>KARATE 100ML | SCH6E028A</t>
  </si>
  <si>
    <t>KARATE 500ML | SCH6B017A</t>
  </si>
  <si>
    <t>KARATE 500ML | SCH6E033A</t>
  </si>
  <si>
    <t>LANIRAT 100G | SCH6B006</t>
  </si>
  <si>
    <t>LANIRAT 100G | SCH6C010</t>
  </si>
  <si>
    <t>MAGMA 1KG | SCH5L259</t>
  </si>
  <si>
    <t>MAGMA 1KG | SCH6A106</t>
  </si>
  <si>
    <t>MAGMA 1KG | SCH6C272</t>
  </si>
  <si>
    <t>MAGMA 1KG | SCH6D279</t>
  </si>
  <si>
    <t>MAGMA 2KG | SCH5L256</t>
  </si>
  <si>
    <t>MAGMA 2KG | SCH6C272</t>
  </si>
  <si>
    <t>MIRAVIS DUO 50ML | SCH5F00076</t>
  </si>
  <si>
    <t>MIRAVIS DUO 100ML | SCH5G00116</t>
  </si>
  <si>
    <t>PEGASUS 50ML | SCH5ES1012</t>
  </si>
  <si>
    <t>PEGASUS 100ML | SCH5ES1011</t>
  </si>
  <si>
    <t>PROCLAIM 10G | SCH5DW3004</t>
  </si>
  <si>
    <t>PROCLAIM 30G | SCH5DW3005</t>
  </si>
  <si>
    <t>REVUS 50ML | SCH5D2E007</t>
  </si>
  <si>
    <t>REVUS 100ML | SCH5D2E007</t>
  </si>
  <si>
    <t>RIDOMIL 100G | SCH5F135Rm</t>
  </si>
  <si>
    <t>RIDOMIL 500G | SCH5F135Rm</t>
  </si>
  <si>
    <t>RIFIT 100ML | SCH5L2E032</t>
  </si>
  <si>
    <t>RIFIT 100ML | SCH6D2E004</t>
  </si>
  <si>
    <t>RIFIT 500ML | SCH5I2E027</t>
  </si>
  <si>
    <t>RIFIT 500ML | SCH5L2E030</t>
  </si>
  <si>
    <t>RIFIT 500ML | SCH6B2E001</t>
  </si>
  <si>
    <t>SCORE 50ML | SCH6E2014</t>
  </si>
  <si>
    <t>SCORE 100ML | SCH6E2014</t>
  </si>
  <si>
    <t>SCORE 500ML | SCH6E2016</t>
  </si>
  <si>
    <t>SHOBICRON 50ML | SCH6A122</t>
  </si>
  <si>
    <t>SHOBICRON 100ML | SCH6A123</t>
  </si>
  <si>
    <t>SHOBICRON 500ML | SCH5I132</t>
  </si>
  <si>
    <t>SHOBICRON 500ML | SCH6A122</t>
  </si>
  <si>
    <t>SILIKA 1KG | SCH6B26B01</t>
  </si>
  <si>
    <t>SILIKA 2KG | SCH6B26B04</t>
  </si>
  <si>
    <t>THIOVIT 1KG | SCH5G22916</t>
  </si>
  <si>
    <t>THIOVIT 1KG | SCH5K24802</t>
  </si>
  <si>
    <t>THIOVIT 2KG | SCH5K24802</t>
  </si>
  <si>
    <t>TILT 50ML | SCH6D008B</t>
  </si>
  <si>
    <t>TILT 100ML | SCH6A002B</t>
  </si>
  <si>
    <t>TILT 100ML | SCH6E011B</t>
  </si>
  <si>
    <t>TILT 500ML | SCH6D007B</t>
  </si>
  <si>
    <t>TILT 500ML | SCH6E010B</t>
  </si>
  <si>
    <t>VESTORIA 15G | SCH6CVC056</t>
  </si>
  <si>
    <t>VERTIMEC 50ML | SCH6C019C</t>
  </si>
  <si>
    <t>VERTIMEC 50ML | SCH6E023C</t>
  </si>
  <si>
    <t>VERTIMEC 50ML | SCH6F024C</t>
  </si>
  <si>
    <t>VERTIMEC 100ML | SCH6C021C</t>
  </si>
  <si>
    <t>VERTIMEC 100ML | SCH6F024C</t>
  </si>
  <si>
    <t>VERTIMEC 500ML | SCH6D022C</t>
  </si>
  <si>
    <t>VIRTAKO 10G | SCH6CW2012</t>
  </si>
  <si>
    <t>VIRTAKO 30G | SCH6CW2013</t>
  </si>
  <si>
    <t>VIRTAKO 30G | SCH6DW2018</t>
  </si>
  <si>
    <t>VOLIAM 50ML | SCH5GS2064</t>
  </si>
  <si>
    <t>VOLIAM 50ML | SCH6AS2023</t>
  </si>
  <si>
    <t>PLENUM 50G | SCH6DW1037</t>
  </si>
  <si>
    <t>SAP Match Key</t>
  </si>
  <si>
    <t>ACTARA 5G | SCH5FW2012</t>
  </si>
  <si>
    <t>ALIKA 50ML | SCH6B2E008</t>
  </si>
  <si>
    <t>AMISTAR 500ML | SCH6C00007</t>
  </si>
  <si>
    <t>AMISTAR 500ML | SCH6C00010</t>
  </si>
  <si>
    <t>AMISTAR 500ML | SCH6C00011</t>
  </si>
  <si>
    <t>AMISTAR 100ML | SCH6A00007</t>
  </si>
  <si>
    <t>AMISTAR 100ML | SCH6A00008</t>
  </si>
  <si>
    <t>AMISTAR 100ML | SCH6C00002</t>
  </si>
  <si>
    <t>AMISTAR 100ML | SCH6C00003</t>
  </si>
  <si>
    <t>AMISTAR 100ML | SCH6C00004</t>
  </si>
  <si>
    <t>AMISTAR 50ML | SCH5J00038</t>
  </si>
  <si>
    <t>AMISTAR 50ML | SCH6A00012</t>
  </si>
  <si>
    <t>AMISTAR 50ML | SCH6A00013</t>
  </si>
  <si>
    <t>BINGO 500G | SCH6D014</t>
  </si>
  <si>
    <t>FILIA 500ML | SCH6BS2009</t>
  </si>
  <si>
    <t>FILIA 500ML | SCH6BS2017</t>
  </si>
  <si>
    <t>FILIA 500ML | SCH6BS2018</t>
  </si>
  <si>
    <t>FILIA 100ML | SCH6BS2011</t>
  </si>
  <si>
    <t>FILIA 100ML | SCH6BS2012</t>
  </si>
  <si>
    <t>FILIA 100ML | SCH6BS2015</t>
  </si>
  <si>
    <t>FILIA 50ML | SCH6AS2002</t>
  </si>
  <si>
    <t>GROZIN 1KG | SCH6C0384</t>
  </si>
  <si>
    <t>GROZIN 2KG | SCH6C0316</t>
  </si>
  <si>
    <t>GROZIN 2KG | SCH6C0326</t>
  </si>
  <si>
    <t>INCIPIO 100ML | SCH6BS1031</t>
  </si>
  <si>
    <t>INCIPIO 100ML | SCH6BS1033</t>
  </si>
  <si>
    <t>INCIPIO 100ML | SCH6CS2067</t>
  </si>
  <si>
    <t>INCIPIO 40ML | SCH6BS1027</t>
  </si>
  <si>
    <t>INCIPIO 40ML | SCH6BS1028</t>
  </si>
  <si>
    <t>INCIPIO 40ML | SCH6BS1030</t>
  </si>
  <si>
    <t>INCIPIO 40ML | SCH6BS1031</t>
  </si>
  <si>
    <t>INCIPIO 40ML | SCH6DS2126</t>
  </si>
  <si>
    <t>KARATE 500ML | SCH6B019A</t>
  </si>
  <si>
    <t>KARATE 500ML | SCH6B020A</t>
  </si>
  <si>
    <t>KARATE 500ML | SCH6F034A</t>
  </si>
  <si>
    <t>KARATE 100ML | SCH6B015A</t>
  </si>
  <si>
    <t>KARATE 100ML | SCH6E027A</t>
  </si>
  <si>
    <t>KARATE 100ML | SCH6E029A</t>
  </si>
  <si>
    <t>KARATE 50ML | SCH6C023A</t>
  </si>
  <si>
    <t>LANIRAT 100G | SCH6C009</t>
  </si>
  <si>
    <t>LANIRAT 100G | SCH6F018</t>
  </si>
  <si>
    <t>LANIRAT 100G | SCH6F019</t>
  </si>
  <si>
    <t>MIRAVIS DUO 50ML | SCH5F00021</t>
  </si>
  <si>
    <t>MIRAVIS DUO 50ML | SCH5F00065</t>
  </si>
  <si>
    <t>PEGASUS 100ML | SCH5ES1012</t>
  </si>
  <si>
    <t>PLENUM 100G | SCH6EW1046</t>
  </si>
  <si>
    <t>PLENUM 50G | SCH6EW1046</t>
  </si>
  <si>
    <t>PROCLAIM 10G | SCH5DW3005</t>
  </si>
  <si>
    <t>REVUS 50ML | SCH5D2E008</t>
  </si>
  <si>
    <t>RIDOMIL 500G | SCH5E100RM</t>
  </si>
  <si>
    <t>RIDOMIL 500G | SCH5F136RM</t>
  </si>
  <si>
    <t>RIDOMIL 100G | SCH5F140RM</t>
  </si>
  <si>
    <t>RIDOMIL 100G | SCH5F162RM</t>
  </si>
  <si>
    <t>RIDOMIL 100G | SCH5F165RM</t>
  </si>
  <si>
    <t>RIDOMIL 100G | SCH5F166RM</t>
  </si>
  <si>
    <t>RIFIT 500ML | SCH6B2E002</t>
  </si>
  <si>
    <t>RIFIT 500ML | SCH6D2E003</t>
  </si>
  <si>
    <t>RIFIT 100ML | SCH6D2E005</t>
  </si>
  <si>
    <t>SCORE 100ML | SCH6E2015</t>
  </si>
  <si>
    <t>SHOBICRON 100ML | SCH6A124</t>
  </si>
  <si>
    <t>SHOBICRON 100ML | SCH6A125</t>
  </si>
  <si>
    <t>SHOBICRON 50ML | SCH5I132</t>
  </si>
  <si>
    <t>SHOBICRON 50ML | SCH6A124</t>
  </si>
  <si>
    <t>SHOBICRON 50ML | SCH6A125</t>
  </si>
  <si>
    <t>SILIKA 1KG | SCH6B26B08</t>
  </si>
  <si>
    <t>TILT 100ML | SCH6F012B</t>
  </si>
  <si>
    <t>TILT 50ML | SCH6D009B</t>
  </si>
  <si>
    <t>VERTIMEC 500ML | SCH6C022C</t>
  </si>
  <si>
    <t>VERTIMEC 100ML | SCH6F025C</t>
  </si>
  <si>
    <t>VERTIMEC 100ML | SCH6F026C</t>
  </si>
  <si>
    <t>VERTIMEC 100ML | SCH6F027C</t>
  </si>
  <si>
    <t>VIRTAKO 10G | SCH6CW2013</t>
  </si>
  <si>
    <t>VIRTAKO 10G | SCH6CW2014</t>
  </si>
  <si>
    <t>VIRTAKO 10G | SCH6CW2015</t>
  </si>
  <si>
    <t>VIRTAKO 10G | SCH6CW2016</t>
  </si>
  <si>
    <t>VIRTAKO 10G | SCH6CW2017</t>
  </si>
  <si>
    <t>VIRTAKO 10G | SCH6DW2019</t>
  </si>
  <si>
    <t>VOLIAM 50ML | SCH5GS2066</t>
  </si>
  <si>
    <t>VOLIAM 50ML | SCH6AS2025</t>
  </si>
  <si>
    <t xml:space="preserve">SAP vs Batch
Production Match? </t>
  </si>
  <si>
    <t>Product
&amp; Pack Size</t>
  </si>
  <si>
    <t>Batch 
Month</t>
  </si>
  <si>
    <t>Production
Month
(System)</t>
  </si>
  <si>
    <t>Expiry
Month
(System)</t>
  </si>
  <si>
    <t>Total
Quantity
(system)</t>
  </si>
  <si>
    <t>Physical 
Batch Code</t>
  </si>
  <si>
    <t>Closest Physical 
Batch Candidate</t>
  </si>
  <si>
    <t>Physical 
Quantity</t>
  </si>
  <si>
    <t>Batch To Pull</t>
  </si>
  <si>
    <t>August</t>
  </si>
  <si>
    <t>Physical 
Expiry
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</si>
</sst>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164" fontId="1" fillId="3" borderId="0" xfId="0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1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1">
    <cellStyle name="Normal" xfId="0" builtinId="0"/>
  </cellStyles>
  <dxfs count="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" formatCode="#,##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4" formatCode="#,##0.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#,##0.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rgb="FFDDDDDD"/>
        </patternFill>
      </fill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font>
        <b/>
      </font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center" vertical="top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E10333-4761-4C18-93B5-18C300AF5B31}" autoFormatId="16" applyNumberFormats="0" applyBorderFormats="0" applyFontFormats="0" applyPatternFormats="0" applyAlignmentFormats="0" applyWidthHeightFormats="0">
  <queryTableRefresh nextId="16" unboundColumnsRight="5">
    <queryTableFields count="13">
      <queryTableField id="8" name="Name of Product &amp; Pack Size" tableColumnId="8"/>
      <queryTableField id="2" name="Batch" tableColumnId="2"/>
      <queryTableField id="3" name="Batch Month" tableColumnId="3"/>
      <queryTableField id="4" name="SAP Production Month (System)" tableColumnId="4"/>
      <queryTableField id="5" name="Match?" tableColumnId="5"/>
      <queryTableField id="6" name="Actual Expiry Month (System)" tableColumnId="6"/>
      <queryTableField id="7" name="Total Quantity (system)" tableColumnId="7"/>
      <queryTableField id="9" name="SAP Match Key" tableColumnId="9"/>
      <queryTableField id="11" dataBound="0" tableColumnId="10"/>
      <queryTableField id="14" dataBound="0" tableColumnId="13"/>
      <queryTableField id="15" dataBound="0" tableColumnId="1"/>
      <queryTableField id="12" dataBound="0" tableColumnId="11"/>
      <queryTableField id="13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1FB00D3-8600-466E-9E59-044521AD4C5E}" autoFormatId="16" applyNumberFormats="0" applyBorderFormats="0" applyFontFormats="0" applyPatternFormats="0" applyAlignmentFormats="0" applyWidthHeightFormats="0">
  <queryTableRefresh nextId="10">
    <queryTableFields count="5">
      <queryTableField id="7" name="Name of Product &amp; Pack Size" tableColumnId="7"/>
      <queryTableField id="3" name="Batch Code" tableColumnId="3"/>
      <queryTableField id="5" name="Physical Expiry Month" tableColumnId="5"/>
      <queryTableField id="6" name="Quantity (physical)" tableColumnId="6"/>
      <queryTableField id="9" name="Physical Match Ke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DDB6A7-4E8D-4E97-AF50-C7008BFA038E}" name="CleanData_" displayName="CleanData_" ref="A1:M114" tableType="queryTable" totalsRowShown="0" headerRowDxfId="65" dataDxfId="64">
  <autoFilter ref="A1:M114" xr:uid="{FDDDB6A7-4E8D-4E97-AF50-C7008BFA038E}"/>
  <tableColumns count="13">
    <tableColumn id="8" xr3:uid="{95CBB3FA-897B-4629-A2B6-56DB6CBBDA9E}" uniqueName="8" name="Product_x000a_&amp; Pack Size" queryTableFieldId="8" dataDxfId="63"/>
    <tableColumn id="2" xr3:uid="{4E3876A8-39D4-431D-BB56-AE128E5BD60A}" uniqueName="2" name="Batch" queryTableFieldId="2" dataDxfId="62"/>
    <tableColumn id="3" xr3:uid="{A89A9A5A-7835-44D2-A9DE-902E93E71372}" uniqueName="3" name="Batch _x000a_Month" queryTableFieldId="3" dataDxfId="61"/>
    <tableColumn id="4" xr3:uid="{2704EE3A-9703-4928-A8DC-222A071EC61A}" uniqueName="4" name="Production_x000a_Month_x000a_(System)" queryTableFieldId="4" dataDxfId="60"/>
    <tableColumn id="5" xr3:uid="{BC7B10EA-4094-4CFA-999F-1DE31A9985C5}" uniqueName="5" name="SAP vs Batch_x000a_Production Match? " queryTableFieldId="5" dataDxfId="59"/>
    <tableColumn id="6" xr3:uid="{0F1453C3-7D39-446C-833C-4AEF58ED24AD}" uniqueName="6" name="Expiry_x000a_Month_x000a_(System)" queryTableFieldId="6" dataDxfId="58"/>
    <tableColumn id="7" xr3:uid="{428DCB58-1AA0-4980-A8C7-733A911456E4}" uniqueName="7" name="Total_x000a_Quantity_x000a_(system)" queryTableFieldId="7" dataDxfId="57"/>
    <tableColumn id="9" xr3:uid="{6748CFD8-D206-4F2E-AB80-022773320729}" uniqueName="9" name="SAP Match Key" queryTableFieldId="9" dataDxfId="56"/>
    <tableColumn id="10" xr3:uid="{74E0A1F6-20AF-4327-9911-56FC24D67290}" uniqueName="10" name="Physical _x000a_Batch Code" queryTableFieldId="11" dataDxfId="55">
      <calculatedColumnFormula>_xlfn.XLOOKUP(CleanData_[[#This Row],[SAP Match Key]],PhysicalData_1[Physical Match Key],PhysicalData_1[Batch Code],"Mismatch")</calculatedColumnFormula>
    </tableColumn>
    <tableColumn id="13" xr3:uid="{88CC6752-E215-4FC0-91AA-A74EE46ABA66}" uniqueName="13" name="Closest Physical _x000a_Batch Candidate" queryTableFieldId="14" dataDxfId="54">
      <calculatedColumnFormula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calculatedColumnFormula>
    </tableColumn>
    <tableColumn id="1" xr3:uid="{73FCC358-9F14-4C26-9686-FA008E94A305}" uniqueName="1" name="Batch To Pull" queryTableFieldId="15" dataDxfId="53">
      <calculatedColumnFormula>IF(CleanData_[[#This Row],[Physical 
Batch Code]]&lt;&gt;"Mismatch",CleanData_[[#This Row],[Physical 
Batch Code]],IF(CleanData_[[#This Row],[Closest Physical 
Batch Candidate]]="No close batch found","",CleanData_[[#This Row],[Closest Physical 
Batch Candidate]]))</calculatedColumnFormula>
    </tableColumn>
    <tableColumn id="11" xr3:uid="{DF5A10B3-CB46-427D-8906-00F05F5B80FD}" uniqueName="11" name="Physical _x000a_Expiry_x000a_Month" queryTableFieldId="12" dataDxfId="52">
      <calculatedColumnFormula>_xlfn.XLOOKUP(CleanData_[[#This Row],[Batch To Pull]],PhysicalData_1[Batch Code],PhysicalData_1[Physical Expiry Month]," ")</calculatedColumnFormula>
    </tableColumn>
    <tableColumn id="12" xr3:uid="{25AF7E7F-2F17-48A8-BF86-CE4ADD43BC4A}" uniqueName="12" name="Physical _x000a_Quantity" queryTableFieldId="13" dataDxfId="51">
      <calculatedColumnFormula>_xlfn.XLOOKUP(CleanData_[[#This Row],[Batch To Pull]],PhysicalData_1[Batch Code],PhysicalData_1[Quantity (physical)]," 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3ED342-FF9C-4E54-8D43-0E979659F2CB}" name="CleanData" displayName="CleanData" ref="A2:G115" totalsRowShown="0" headerRowDxfId="50">
  <autoFilter ref="A2:G115" xr:uid="{353ED342-FF9C-4E54-8D43-0E979659F2CB}"/>
  <sortState xmlns:xlrd2="http://schemas.microsoft.com/office/spreadsheetml/2017/richdata2" ref="A3:G115">
    <sortCondition ref="A2:A115"/>
  </sortState>
  <tableColumns count="7">
    <tableColumn id="1" xr3:uid="{47417942-8E07-405B-9E2D-889313C8E688}" name="Description" dataDxfId="49"/>
    <tableColumn id="2" xr3:uid="{E11E8A12-3806-4621-9367-836CAAF8A85E}" name="Batch" dataDxfId="48"/>
    <tableColumn id="7" xr3:uid="{8422321B-2C1D-44C7-91DE-1A08F70555EE}" name="Batch Month" dataDxfId="47"/>
    <tableColumn id="3" xr3:uid="{3A4792BD-42D9-4EFA-88FE-B3F5C79F9AD4}" name="SAP Production Month (System)" dataDxfId="46"/>
    <tableColumn id="8" xr3:uid="{54599EC4-26E0-42B5-A7DF-D25E548F04CC}" name="Match?"/>
    <tableColumn id="4" xr3:uid="{78F31C71-37B9-4650-835E-5D0CAE660EF9}" name="Actual Expiry Month (System)"/>
    <tableColumn id="5" xr3:uid="{42BBCBBB-D58E-41A9-861A-60819B3C8BD9}" name="Total Quantity (system)" dataDxfId="45">
      <calculatedColumnFormula>_xlfn.XLOOKUP(CleanData[[#This Row],[Batch]],DataTable[Batch],DataTable[Grand Total])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C75A81-D09B-43D5-81A9-464D62F81725}" name="PhysicalData_1" displayName="PhysicalData_1" ref="A1:E85" tableType="queryTable" totalsRowShown="0">
  <autoFilter ref="A1:E85" xr:uid="{6DC75A81-D09B-43D5-81A9-464D62F81725}"/>
  <tableColumns count="5">
    <tableColumn id="7" xr3:uid="{785957F5-A938-43A2-8DB8-37F8E1CE4F9B}" uniqueName="7" name="Name of Product &amp; Pack Size" queryTableFieldId="7" dataDxfId="44"/>
    <tableColumn id="3" xr3:uid="{566E7F0B-DEBF-435B-9FE4-AFFA9EAF28B3}" uniqueName="3" name="Batch Code" queryTableFieldId="3" dataDxfId="43"/>
    <tableColumn id="5" xr3:uid="{99C2275B-D3A9-4075-A81C-9AE5E806980A}" uniqueName="5" name="Physical Expiry Month" queryTableFieldId="5" dataDxfId="42"/>
    <tableColumn id="6" xr3:uid="{28C88696-6985-4330-ABC6-62E0D5F4D330}" uniqueName="6" name="Quantity (physical)" queryTableFieldId="6"/>
    <tableColumn id="8" xr3:uid="{7418002F-E75F-4DC4-8D84-B54A3F0E4086}" uniqueName="8" name="Physical Match Key" queryTableFieldId="9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75F62-E5B7-4D5F-909D-AFC4843CB61F}" name="PhysicalData" displayName="PhysicalData" ref="A2:D104" totalsRowShown="0" headerRowDxfId="73" dataDxfId="71" headerRowBorderDxfId="72" tableBorderDxfId="70">
  <autoFilter ref="A2:D104" xr:uid="{06175F62-E5B7-4D5F-909D-AFC4843CB61F}"/>
  <tableColumns count="4">
    <tableColumn id="1" xr3:uid="{163B2E06-E23E-49A0-B630-411B39E85102}" name="Name of Product &amp; Pack Size" dataDxfId="69"/>
    <tableColumn id="2" xr3:uid="{36B706DC-8AB6-4593-8A17-45AE2113BA12}" name="Batch Code" dataDxfId="68"/>
    <tableColumn id="3" xr3:uid="{40F6E8B3-8DE7-49A0-893F-22E60E7559D9}" name="Physical Expiry" dataDxfId="67"/>
    <tableColumn id="4" xr3:uid="{8DF69E15-3AA3-40CF-80C3-32BED74C6C00}" name="Quantity (physical)" dataDxfId="6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C8DA0-438A-430A-9E27-C63B6258AACB}" name="DataTable" displayName="DataTable" ref="A2:AH230" totalsRowShown="0" headerRowDxfId="41" dataDxfId="40">
  <autoFilter ref="A2:AH230" xr:uid="{00000000-0001-0000-0000-000000000000}"/>
  <tableColumns count="34">
    <tableColumn id="1" xr3:uid="{76C4E97D-84E9-4253-9109-1A3EAD4F46D5}" name="Material" dataDxfId="39"/>
    <tableColumn id="2" xr3:uid="{3BC00104-787C-44C5-A6A8-AFF4B535EA48}" name="Description" dataDxfId="38"/>
    <tableColumn id="3" xr3:uid="{5E0306BF-BBF0-4CF9-B353-04AF5BA8FE7C}" name="Plant" dataDxfId="37"/>
    <tableColumn id="4" xr3:uid="{F02C8CE5-D155-4584-B28C-B48FADE92783}" name="SLoc" dataDxfId="36"/>
    <tableColumn id="5" xr3:uid="{A76FAFB8-2560-4172-898C-F8B51BD8342C}" name="Batch" dataDxfId="35"/>
    <tableColumn id="6" xr3:uid="{F421CAE0-4D04-4B02-9EA1-1642874B1FE6}" name="Production Date" dataDxfId="34"/>
    <tableColumn id="7" xr3:uid="{D0DAE7F7-18C4-4156-8C0A-02C1FF8E2305}" name="Good receipt Date" dataDxfId="33"/>
    <tableColumn id="8" xr3:uid="{4FBE3EFF-77C8-49C0-B5C9-1F63F07543C4}" name="Last change Date" dataDxfId="32"/>
    <tableColumn id="9" xr3:uid="{38CF2132-48B1-4836-96C8-C81709B6E306}" name="Next Inspection Date" dataDxfId="31"/>
    <tableColumn id="10" xr3:uid="{6BFD5D6C-FD40-4921-A38B-236DC766D1E6}" name="Country Expiry Date" dataDxfId="30"/>
    <tableColumn id="11" xr3:uid="{BB2BD892-FBFF-4E6F-9AFE-1BFA0F821EA5}" name="Actual Batch Expiry Date" dataDxfId="29"/>
    <tableColumn id="12" xr3:uid="{4BDA3110-E68C-44C9-902E-2A071B7887EE}" name="Tropical Expiry Date" dataDxfId="28"/>
    <tableColumn id="13" xr3:uid="{BB4850C0-3462-4D59-8139-54D8DC0A8A35}" name="Special Stock" dataDxfId="27"/>
    <tableColumn id="14" xr3:uid="{B74F784F-87B0-4416-B0D3-8977D71CBFB2}" name="Spcl. stock num." dataDxfId="26"/>
    <tableColumn id="15" xr3:uid="{67024E17-F15F-4590-85A8-76E4842891D0}" name="Material type" dataDxfId="25"/>
    <tableColumn id="16" xr3:uid="{23053F61-01DE-4AF0-9EA1-CB419611F568}" name="UoM" dataDxfId="24"/>
    <tableColumn id="17" xr3:uid="{6C367992-D4B0-4E4B-8A67-8ADDBD0BB985}" name="Unrestricted" dataDxfId="23"/>
    <tableColumn id="18" xr3:uid="{49BB9699-FAFA-4241-BB64-591AFF7B29C4}" name="Value Unrestricted" dataDxfId="22"/>
    <tableColumn id="19" xr3:uid="{03A2FA61-103E-4919-BC3C-DE28DF0FABBB}" name="Currency" dataDxfId="21"/>
    <tableColumn id="20" xr3:uid="{C79F5243-A6EF-4EA8-B183-EFD828DBB559}" name="Transit &amp; transfer" dataDxfId="20"/>
    <tableColumn id="21" xr3:uid="{03DA8948-0CD6-4F8B-A08B-ECCBC4448896}" name="Val. in Trans./Tfr" dataDxfId="19"/>
    <tableColumn id="22" xr3:uid="{012AE748-3AF6-4A94-9FAE-11D27EC3229F}" name="In Quality Insp." dataDxfId="18"/>
    <tableColumn id="23" xr3:uid="{EF4B74DE-BF81-4333-9343-03D8B1547F00}" name="Value in Qual Insp." dataDxfId="17"/>
    <tableColumn id="24" xr3:uid="{FC330A8F-A97A-4791-AB1C-D69632D78859}" name="Restricted Use Stock" dataDxfId="16"/>
    <tableColumn id="25" xr3:uid="{4987E006-06D5-4D13-918A-B9591E175B8C}" name="Value Restricted" dataDxfId="15"/>
    <tableColumn id="26" xr3:uid="{6B69C34C-D9CF-4101-B969-1A4E746457D3}" name="Blocked" dataDxfId="14"/>
    <tableColumn id="27" xr3:uid="{796A9448-82B1-4460-A296-C23F95A5BDD0}" name="Value Blocked Stock" dataDxfId="13"/>
    <tableColumn id="28" xr3:uid="{D38C69F7-D303-4105-AA5D-2D051B0EF51F}" name="Returns" dataDxfId="12"/>
    <tableColumn id="29" xr3:uid="{AE0918A1-CFEB-471F-A0D7-E4232953E601}" name="Value Rets Blocked" dataDxfId="11"/>
    <tableColumn id="30" xr3:uid="{4D17F320-B577-4B14-8BD4-E680E43593DA}" name="Temperate Expiry Date" dataDxfId="10"/>
    <tableColumn id="31" xr3:uid="{F4F25F83-0D38-49A8-A597-0376E2AA7C5F}" name="Presentation specific expiry Date" dataDxfId="9"/>
    <tableColumn id="32" xr3:uid="{5C541DBA-BB39-40AD-9052-367DD8A9CBA4}" name="Re-analysis date" dataDxfId="8"/>
    <tableColumn id="33" xr3:uid="{108B2DDA-1E73-4FD2-A06B-9ED0D28CD90D}" name="Original SLED" dataDxfId="7"/>
    <tableColumn id="34" xr3:uid="{39ECD593-1041-4C65-B87F-2A7A2862AFCD}" name="Grand Total" dataDxfId="6">
      <calculatedColumnFormula>DataTable[[#This Row],[Unrestricted]]+DataTable[[#This Row],[Transit &amp; transfer]]+DataTable[[#This Row],[In Quality Insp.]]+DataTable[[#This Row],[Restricted Use Stock]]+DataTable[[#This Row],[Blocked]]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D749E-A34B-45B0-9E84-EAD3E2D7254D}">
  <dimension ref="A1:M114"/>
  <sheetViews>
    <sheetView workbookViewId="0">
      <selection activeCell="N9" sqref="N9"/>
    </sheetView>
  </sheetViews>
  <sheetFormatPr defaultRowHeight="14.5" x14ac:dyDescent="0.35"/>
  <cols>
    <col min="1" max="1" width="17.6328125" style="18" bestFit="1" customWidth="1"/>
    <col min="2" max="2" width="12.26953125" style="18" bestFit="1" customWidth="1"/>
    <col min="3" max="3" width="10.6328125" style="18" bestFit="1" customWidth="1"/>
    <col min="4" max="5" width="14.54296875" style="18" bestFit="1" customWidth="1"/>
    <col min="6" max="6" width="12.81640625" style="18" bestFit="1" customWidth="1"/>
    <col min="7" max="7" width="12.6328125" style="18" bestFit="1" customWidth="1"/>
    <col min="8" max="8" width="30.36328125" style="18" hidden="1" customWidth="1"/>
    <col min="9" max="9" width="17.08984375" style="18" bestFit="1" customWidth="1"/>
    <col min="10" max="10" width="19.36328125" style="18" bestFit="1" customWidth="1"/>
    <col min="11" max="11" width="19.36328125" style="18" hidden="1" customWidth="1"/>
    <col min="12" max="12" width="12.453125" style="18" bestFit="1" customWidth="1"/>
    <col min="13" max="13" width="12.54296875" style="18" bestFit="1" customWidth="1"/>
    <col min="14" max="16384" width="8.7265625" style="18"/>
  </cols>
  <sheetData>
    <row r="1" spans="1:13" ht="43.5" x14ac:dyDescent="0.35">
      <c r="A1" s="19" t="s">
        <v>970</v>
      </c>
      <c r="B1" s="20" t="s">
        <v>4</v>
      </c>
      <c r="C1" s="19" t="s">
        <v>971</v>
      </c>
      <c r="D1" s="19" t="s">
        <v>972</v>
      </c>
      <c r="E1" s="19" t="s">
        <v>969</v>
      </c>
      <c r="F1" s="19" t="s">
        <v>973</v>
      </c>
      <c r="G1" s="19" t="s">
        <v>974</v>
      </c>
      <c r="H1" s="20" t="s">
        <v>889</v>
      </c>
      <c r="I1" s="19" t="s">
        <v>975</v>
      </c>
      <c r="J1" s="19" t="s">
        <v>976</v>
      </c>
      <c r="K1" s="19" t="s">
        <v>978</v>
      </c>
      <c r="L1" s="19" t="s">
        <v>980</v>
      </c>
      <c r="M1" s="19" t="s">
        <v>977</v>
      </c>
    </row>
    <row r="2" spans="1:13" x14ac:dyDescent="0.35">
      <c r="A2" s="18" t="s">
        <v>748</v>
      </c>
      <c r="B2" s="18" t="s">
        <v>474</v>
      </c>
      <c r="C2" s="18" t="s">
        <v>593</v>
      </c>
      <c r="D2" s="18" t="s">
        <v>594</v>
      </c>
      <c r="E2" s="18" t="s">
        <v>584</v>
      </c>
      <c r="F2" s="18" t="s">
        <v>594</v>
      </c>
      <c r="G2" s="18">
        <v>895.2</v>
      </c>
      <c r="H2" s="18" t="s">
        <v>890</v>
      </c>
      <c r="I2" s="18" t="str">
        <f>_xlfn.XLOOKUP(CleanData_[[#This Row],[SAP Match Key]],PhysicalData_1[Physical Match Key],PhysicalData_1[Batch Code],"Mismatch")</f>
        <v>Mismatch</v>
      </c>
      <c r="J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SCH5FW2011</v>
      </c>
      <c r="K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SCH5FW2011</v>
      </c>
      <c r="L2" s="18" t="str">
        <f>_xlfn.XLOOKUP(CleanData_[[#This Row],[Batch To Pull]],PhysicalData_1[Batch Code],PhysicalData_1[Physical Expiry Month]," ")</f>
        <v>May</v>
      </c>
      <c r="M2" s="18">
        <f>_xlfn.XLOOKUP(CleanData_[[#This Row],[Batch To Pull]],PhysicalData_1[Batch Code],PhysicalData_1[Quantity (physical)]," ")</f>
        <v>935</v>
      </c>
    </row>
    <row r="3" spans="1:13" x14ac:dyDescent="0.35">
      <c r="A3" s="18" t="s">
        <v>749</v>
      </c>
      <c r="B3" s="18" t="s">
        <v>335</v>
      </c>
      <c r="C3" s="18" t="s">
        <v>588</v>
      </c>
      <c r="D3" s="18" t="s">
        <v>594</v>
      </c>
      <c r="E3" s="18" t="s">
        <v>584</v>
      </c>
      <c r="F3" s="18" t="s">
        <v>594</v>
      </c>
      <c r="G3" s="18">
        <v>273</v>
      </c>
      <c r="H3" s="18" t="s">
        <v>891</v>
      </c>
      <c r="I3" s="18" t="str">
        <f>_xlfn.XLOOKUP(CleanData_[[#This Row],[SAP Match Key]],PhysicalData_1[Physical Match Key],PhysicalData_1[Batch Code],"Mismatch")</f>
        <v>Mismatch</v>
      </c>
      <c r="J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SCH6B2E011</v>
      </c>
      <c r="K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SCH6B2E011</v>
      </c>
      <c r="L3" s="18" t="str">
        <f>_xlfn.XLOOKUP(CleanData_[[#This Row],[Batch To Pull]],PhysicalData_1[Batch Code],PhysicalData_1[Physical Expiry Month]," ")</f>
        <v>January</v>
      </c>
      <c r="M3" s="18">
        <f>_xlfn.XLOOKUP(CleanData_[[#This Row],[Batch To Pull]],PhysicalData_1[Batch Code],PhysicalData_1[Quantity (physical)]," ")</f>
        <v>530</v>
      </c>
    </row>
    <row r="4" spans="1:13" x14ac:dyDescent="0.35">
      <c r="A4" s="18" t="s">
        <v>750</v>
      </c>
      <c r="B4" s="18" t="s">
        <v>513</v>
      </c>
      <c r="C4" s="18" t="s">
        <v>592</v>
      </c>
      <c r="D4" s="18" t="s">
        <v>590</v>
      </c>
      <c r="E4" s="18" t="s">
        <v>584</v>
      </c>
      <c r="F4" s="18" t="s">
        <v>590</v>
      </c>
      <c r="G4" s="18">
        <v>3050</v>
      </c>
      <c r="H4" s="18" t="s">
        <v>810</v>
      </c>
      <c r="I4" s="18" t="str">
        <f>_xlfn.XLOOKUP(CleanData_[[#This Row],[SAP Match Key]],PhysicalData_1[Physical Match Key],PhysicalData_1[Batch Code],"Mismatch")</f>
        <v>SCH6C00006</v>
      </c>
      <c r="J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SCH6C00006</v>
      </c>
      <c r="L4" s="18" t="str">
        <f>_xlfn.XLOOKUP(CleanData_[[#This Row],[Batch To Pull]],PhysicalData_1[Batch Code],PhysicalData_1[Physical Expiry Month]," ")</f>
        <v>February</v>
      </c>
      <c r="M4" s="18">
        <f>_xlfn.XLOOKUP(CleanData_[[#This Row],[Batch To Pull]],PhysicalData_1[Batch Code],PhysicalData_1[Quantity (physical)]," ")</f>
        <v>2795</v>
      </c>
    </row>
    <row r="5" spans="1:13" x14ac:dyDescent="0.35">
      <c r="A5" s="18" t="s">
        <v>750</v>
      </c>
      <c r="B5" s="18" t="s">
        <v>515</v>
      </c>
      <c r="C5" s="18" t="s">
        <v>592</v>
      </c>
      <c r="D5" s="18" t="s">
        <v>590</v>
      </c>
      <c r="E5" s="18" t="s">
        <v>584</v>
      </c>
      <c r="F5" s="18" t="s">
        <v>590</v>
      </c>
      <c r="G5" s="18">
        <v>1390</v>
      </c>
      <c r="H5" s="18" t="s">
        <v>892</v>
      </c>
      <c r="I5" s="18" t="str">
        <f>_xlfn.XLOOKUP(CleanData_[[#This Row],[SAP Match Key]],PhysicalData_1[Physical Match Key],PhysicalData_1[Batch Code],"Mismatch")</f>
        <v>Mismatch</v>
      </c>
      <c r="J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SCH6C00006</v>
      </c>
      <c r="K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SCH6C00006</v>
      </c>
      <c r="L5" s="18" t="str">
        <f>_xlfn.XLOOKUP(CleanData_[[#This Row],[Batch To Pull]],PhysicalData_1[Batch Code],PhysicalData_1[Physical Expiry Month]," ")</f>
        <v>February</v>
      </c>
      <c r="M5" s="18">
        <f>_xlfn.XLOOKUP(CleanData_[[#This Row],[Batch To Pull]],PhysicalData_1[Batch Code],PhysicalData_1[Quantity (physical)]," ")</f>
        <v>2795</v>
      </c>
    </row>
    <row r="6" spans="1:13" x14ac:dyDescent="0.35">
      <c r="A6" s="18" t="s">
        <v>750</v>
      </c>
      <c r="B6" s="18" t="s">
        <v>517</v>
      </c>
      <c r="C6" s="18" t="s">
        <v>592</v>
      </c>
      <c r="D6" s="18" t="s">
        <v>590</v>
      </c>
      <c r="E6" s="18" t="s">
        <v>584</v>
      </c>
      <c r="F6" s="18" t="s">
        <v>590</v>
      </c>
      <c r="G6" s="18">
        <v>4985</v>
      </c>
      <c r="H6" s="18" t="s">
        <v>893</v>
      </c>
      <c r="I6" s="18" t="str">
        <f>_xlfn.XLOOKUP(CleanData_[[#This Row],[SAP Match Key]],PhysicalData_1[Physical Match Key],PhysicalData_1[Batch Code],"Mismatch")</f>
        <v>Mismatch</v>
      </c>
      <c r="J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SCH6C00006</v>
      </c>
      <c r="K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SCH6C00006</v>
      </c>
      <c r="L6" s="18" t="str">
        <f>_xlfn.XLOOKUP(CleanData_[[#This Row],[Batch To Pull]],PhysicalData_1[Batch Code],PhysicalData_1[Physical Expiry Month]," ")</f>
        <v>February</v>
      </c>
      <c r="M6" s="18">
        <f>_xlfn.XLOOKUP(CleanData_[[#This Row],[Batch To Pull]],PhysicalData_1[Batch Code],PhysicalData_1[Quantity (physical)]," ")</f>
        <v>2795</v>
      </c>
    </row>
    <row r="7" spans="1:13" x14ac:dyDescent="0.35">
      <c r="A7" s="18" t="s">
        <v>750</v>
      </c>
      <c r="B7" s="18" t="s">
        <v>519</v>
      </c>
      <c r="C7" s="18" t="s">
        <v>592</v>
      </c>
      <c r="D7" s="18" t="s">
        <v>590</v>
      </c>
      <c r="E7" s="18" t="s">
        <v>584</v>
      </c>
      <c r="F7" s="18" t="s">
        <v>590</v>
      </c>
      <c r="G7" s="18">
        <v>3535</v>
      </c>
      <c r="H7" s="18" t="s">
        <v>894</v>
      </c>
      <c r="I7" s="18" t="str">
        <f>_xlfn.XLOOKUP(CleanData_[[#This Row],[SAP Match Key]],PhysicalData_1[Physical Match Key],PhysicalData_1[Batch Code],"Mismatch")</f>
        <v>Mismatch</v>
      </c>
      <c r="J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SCH6C00006</v>
      </c>
      <c r="K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SCH6C00006</v>
      </c>
      <c r="L7" s="18" t="str">
        <f>_xlfn.XLOOKUP(CleanData_[[#This Row],[Batch To Pull]],PhysicalData_1[Batch Code],PhysicalData_1[Physical Expiry Month]," ")</f>
        <v>February</v>
      </c>
      <c r="M7" s="18">
        <f>_xlfn.XLOOKUP(CleanData_[[#This Row],[Batch To Pull]],PhysicalData_1[Batch Code],PhysicalData_1[Quantity (physical)]," ")</f>
        <v>2795</v>
      </c>
    </row>
    <row r="8" spans="1:13" x14ac:dyDescent="0.35">
      <c r="A8" s="18" t="s">
        <v>751</v>
      </c>
      <c r="B8" s="18" t="s">
        <v>522</v>
      </c>
      <c r="C8" s="18" t="s">
        <v>589</v>
      </c>
      <c r="D8" s="18" t="s">
        <v>592</v>
      </c>
      <c r="E8" s="18" t="s">
        <v>584</v>
      </c>
      <c r="F8" s="18" t="s">
        <v>592</v>
      </c>
      <c r="G8" s="18">
        <v>648</v>
      </c>
      <c r="H8" s="18" t="s">
        <v>895</v>
      </c>
      <c r="I8" s="18" t="str">
        <f>_xlfn.XLOOKUP(CleanData_[[#This Row],[SAP Match Key]],PhysicalData_1[Physical Match Key],PhysicalData_1[Batch Code],"Mismatch")</f>
        <v>Mismatch</v>
      </c>
      <c r="J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SCH6A00006</v>
      </c>
      <c r="K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SCH6A00006</v>
      </c>
      <c r="L8" s="18" t="str">
        <f>_xlfn.XLOOKUP(CleanData_[[#This Row],[Batch To Pull]],PhysicalData_1[Batch Code],PhysicalData_1[Physical Expiry Month]," ")</f>
        <v>December</v>
      </c>
      <c r="M8" s="18">
        <f>_xlfn.XLOOKUP(CleanData_[[#This Row],[Batch To Pull]],PhysicalData_1[Batch Code],PhysicalData_1[Quantity (physical)]," ")</f>
        <v>2265</v>
      </c>
    </row>
    <row r="9" spans="1:13" x14ac:dyDescent="0.35">
      <c r="A9" s="18" t="s">
        <v>751</v>
      </c>
      <c r="B9" s="18" t="s">
        <v>524</v>
      </c>
      <c r="C9" s="18" t="s">
        <v>589</v>
      </c>
      <c r="D9" s="18" t="s">
        <v>592</v>
      </c>
      <c r="E9" s="18" t="s">
        <v>584</v>
      </c>
      <c r="F9" s="18" t="s">
        <v>592</v>
      </c>
      <c r="G9" s="18">
        <v>1150</v>
      </c>
      <c r="H9" s="18" t="s">
        <v>896</v>
      </c>
      <c r="I9" s="18" t="str">
        <f>_xlfn.XLOOKUP(CleanData_[[#This Row],[SAP Match Key]],PhysicalData_1[Physical Match Key],PhysicalData_1[Batch Code],"Mismatch")</f>
        <v>Mismatch</v>
      </c>
      <c r="J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SCH6A00006</v>
      </c>
      <c r="K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SCH6A00006</v>
      </c>
      <c r="L9" s="18" t="str">
        <f>_xlfn.XLOOKUP(CleanData_[[#This Row],[Batch To Pull]],PhysicalData_1[Batch Code],PhysicalData_1[Physical Expiry Month]," ")</f>
        <v>December</v>
      </c>
      <c r="M9" s="18">
        <f>_xlfn.XLOOKUP(CleanData_[[#This Row],[Batch To Pull]],PhysicalData_1[Batch Code],PhysicalData_1[Quantity (physical)]," ")</f>
        <v>2265</v>
      </c>
    </row>
    <row r="10" spans="1:13" x14ac:dyDescent="0.35">
      <c r="A10" s="18" t="s">
        <v>751</v>
      </c>
      <c r="B10" s="18" t="s">
        <v>526</v>
      </c>
      <c r="C10" s="18" t="s">
        <v>592</v>
      </c>
      <c r="D10" s="18" t="s">
        <v>592</v>
      </c>
      <c r="E10" s="18" t="s">
        <v>585</v>
      </c>
      <c r="F10" s="18" t="s">
        <v>592</v>
      </c>
      <c r="G10" s="18">
        <v>2240</v>
      </c>
      <c r="H10" s="18" t="s">
        <v>897</v>
      </c>
      <c r="I10" s="18" t="str">
        <f>_xlfn.XLOOKUP(CleanData_[[#This Row],[SAP Match Key]],PhysicalData_1[Physical Match Key],PhysicalData_1[Batch Code],"Mismatch")</f>
        <v>Mismatch</v>
      </c>
      <c r="J1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SCH6C00001</v>
      </c>
      <c r="K1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SCH6C00001</v>
      </c>
      <c r="L10" s="18" t="str">
        <f>_xlfn.XLOOKUP(CleanData_[[#This Row],[Batch To Pull]],PhysicalData_1[Batch Code],PhysicalData_1[Physical Expiry Month]," ")</f>
        <v>December</v>
      </c>
      <c r="M10" s="18">
        <f>_xlfn.XLOOKUP(CleanData_[[#This Row],[Batch To Pull]],PhysicalData_1[Batch Code],PhysicalData_1[Quantity (physical)]," ")</f>
        <v>4295</v>
      </c>
    </row>
    <row r="11" spans="1:13" x14ac:dyDescent="0.35">
      <c r="A11" s="18" t="s">
        <v>751</v>
      </c>
      <c r="B11" s="18" t="s">
        <v>528</v>
      </c>
      <c r="C11" s="18" t="s">
        <v>592</v>
      </c>
      <c r="D11" s="18" t="s">
        <v>592</v>
      </c>
      <c r="E11" s="18" t="s">
        <v>585</v>
      </c>
      <c r="F11" s="18" t="s">
        <v>592</v>
      </c>
      <c r="G11" s="18">
        <v>4096</v>
      </c>
      <c r="H11" s="18" t="s">
        <v>898</v>
      </c>
      <c r="I11" s="18" t="str">
        <f>_xlfn.XLOOKUP(CleanData_[[#This Row],[SAP Match Key]],PhysicalData_1[Physical Match Key],PhysicalData_1[Batch Code],"Mismatch")</f>
        <v>Mismatch</v>
      </c>
      <c r="J1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SCH6C00001</v>
      </c>
      <c r="K1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SCH6C00001</v>
      </c>
      <c r="L11" s="18" t="str">
        <f>_xlfn.XLOOKUP(CleanData_[[#This Row],[Batch To Pull]],PhysicalData_1[Batch Code],PhysicalData_1[Physical Expiry Month]," ")</f>
        <v>December</v>
      </c>
      <c r="M11" s="18">
        <f>_xlfn.XLOOKUP(CleanData_[[#This Row],[Batch To Pull]],PhysicalData_1[Batch Code],PhysicalData_1[Quantity (physical)]," ")</f>
        <v>4295</v>
      </c>
    </row>
    <row r="12" spans="1:13" x14ac:dyDescent="0.35">
      <c r="A12" s="18" t="s">
        <v>751</v>
      </c>
      <c r="B12" s="18" t="s">
        <v>530</v>
      </c>
      <c r="C12" s="18" t="s">
        <v>592</v>
      </c>
      <c r="D12" s="18" t="s">
        <v>590</v>
      </c>
      <c r="E12" s="18" t="s">
        <v>584</v>
      </c>
      <c r="F12" s="18" t="s">
        <v>590</v>
      </c>
      <c r="G12" s="18">
        <v>2254</v>
      </c>
      <c r="H12" s="18" t="s">
        <v>899</v>
      </c>
      <c r="I12" s="18" t="str">
        <f>_xlfn.XLOOKUP(CleanData_[[#This Row],[SAP Match Key]],PhysicalData_1[Physical Match Key],PhysicalData_1[Batch Code],"Mismatch")</f>
        <v>Mismatch</v>
      </c>
      <c r="J1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SCH6C00001</v>
      </c>
      <c r="K1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SCH6C00001</v>
      </c>
      <c r="L12" s="18" t="str">
        <f>_xlfn.XLOOKUP(CleanData_[[#This Row],[Batch To Pull]],PhysicalData_1[Batch Code],PhysicalData_1[Physical Expiry Month]," ")</f>
        <v>December</v>
      </c>
      <c r="M12" s="18">
        <f>_xlfn.XLOOKUP(CleanData_[[#This Row],[Batch To Pull]],PhysicalData_1[Batch Code],PhysicalData_1[Quantity (physical)]," ")</f>
        <v>4295</v>
      </c>
    </row>
    <row r="13" spans="1:13" x14ac:dyDescent="0.35">
      <c r="A13" s="18" t="s">
        <v>752</v>
      </c>
      <c r="B13" s="18" t="s">
        <v>533</v>
      </c>
      <c r="C13" s="18" t="s">
        <v>596</v>
      </c>
      <c r="D13" s="18" t="s">
        <v>588</v>
      </c>
      <c r="E13" s="18" t="s">
        <v>584</v>
      </c>
      <c r="F13" s="18" t="s">
        <v>588</v>
      </c>
      <c r="G13" s="18">
        <v>118</v>
      </c>
      <c r="H13" s="18" t="s">
        <v>900</v>
      </c>
      <c r="I13" s="18" t="str">
        <f>_xlfn.XLOOKUP(CleanData_[[#This Row],[SAP Match Key]],PhysicalData_1[Physical Match Key],PhysicalData_1[Batch Code],"Mismatch")</f>
        <v>Mismatch</v>
      </c>
      <c r="J1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1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13" s="18" t="str">
        <f>_xlfn.XLOOKUP(CleanData_[[#This Row],[Batch To Pull]],PhysicalData_1[Batch Code],PhysicalData_1[Physical Expiry Month]," ")</f>
        <v xml:space="preserve"> </v>
      </c>
      <c r="M13" s="18" t="str">
        <f>_xlfn.XLOOKUP(CleanData_[[#This Row],[Batch To Pull]],PhysicalData_1[Batch Code],PhysicalData_1[Quantity (physical)]," ")</f>
        <v xml:space="preserve"> </v>
      </c>
    </row>
    <row r="14" spans="1:13" x14ac:dyDescent="0.35">
      <c r="A14" s="18" t="s">
        <v>752</v>
      </c>
      <c r="B14" s="18" t="s">
        <v>535</v>
      </c>
      <c r="C14" s="18" t="s">
        <v>589</v>
      </c>
      <c r="D14" s="18" t="s">
        <v>590</v>
      </c>
      <c r="E14" s="18" t="s">
        <v>584</v>
      </c>
      <c r="F14" s="18" t="s">
        <v>590</v>
      </c>
      <c r="G14" s="18">
        <v>5132</v>
      </c>
      <c r="H14" s="18" t="s">
        <v>901</v>
      </c>
      <c r="I14" s="18" t="str">
        <f>_xlfn.XLOOKUP(CleanData_[[#This Row],[SAP Match Key]],PhysicalData_1[Physical Match Key],PhysicalData_1[Batch Code],"Mismatch")</f>
        <v>Mismatch</v>
      </c>
      <c r="J1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SCH6A00003</v>
      </c>
      <c r="K1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SCH6A00003</v>
      </c>
      <c r="L14" s="18" t="str">
        <f>_xlfn.XLOOKUP(CleanData_[[#This Row],[Batch To Pull]],PhysicalData_1[Batch Code],PhysicalData_1[Physical Expiry Month]," ")</f>
        <v>December</v>
      </c>
      <c r="M14" s="18">
        <f>_xlfn.XLOOKUP(CleanData_[[#This Row],[Batch To Pull]],PhysicalData_1[Batch Code],PhysicalData_1[Quantity (physical)]," ")</f>
        <v>7201</v>
      </c>
    </row>
    <row r="15" spans="1:13" x14ac:dyDescent="0.35">
      <c r="A15" s="18" t="s">
        <v>752</v>
      </c>
      <c r="B15" s="18" t="s">
        <v>537</v>
      </c>
      <c r="C15" s="18" t="s">
        <v>589</v>
      </c>
      <c r="D15" s="18" t="s">
        <v>589</v>
      </c>
      <c r="E15" s="18" t="s">
        <v>585</v>
      </c>
      <c r="F15" s="18" t="s">
        <v>589</v>
      </c>
      <c r="G15" s="18">
        <v>333</v>
      </c>
      <c r="H15" s="18" t="s">
        <v>902</v>
      </c>
      <c r="I15" s="18" t="str">
        <f>_xlfn.XLOOKUP(CleanData_[[#This Row],[SAP Match Key]],PhysicalData_1[Physical Match Key],PhysicalData_1[Batch Code],"Mismatch")</f>
        <v>Mismatch</v>
      </c>
      <c r="J1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SCH6A00003</v>
      </c>
      <c r="K1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SCH6A00003</v>
      </c>
      <c r="L15" s="18" t="str">
        <f>_xlfn.XLOOKUP(CleanData_[[#This Row],[Batch To Pull]],PhysicalData_1[Batch Code],PhysicalData_1[Physical Expiry Month]," ")</f>
        <v>December</v>
      </c>
      <c r="M15" s="18">
        <f>_xlfn.XLOOKUP(CleanData_[[#This Row],[Batch To Pull]],PhysicalData_1[Batch Code],PhysicalData_1[Quantity (physical)]," ")</f>
        <v>7201</v>
      </c>
    </row>
    <row r="16" spans="1:13" x14ac:dyDescent="0.35">
      <c r="A16" s="18" t="s">
        <v>753</v>
      </c>
      <c r="B16" s="18" t="s">
        <v>422</v>
      </c>
      <c r="C16" s="18" t="s">
        <v>590</v>
      </c>
      <c r="D16" s="18" t="s">
        <v>590</v>
      </c>
      <c r="E16" s="18" t="s">
        <v>585</v>
      </c>
      <c r="F16" s="18" t="s">
        <v>590</v>
      </c>
      <c r="G16" s="18">
        <v>324</v>
      </c>
      <c r="H16" s="18" t="s">
        <v>811</v>
      </c>
      <c r="I16" s="18" t="str">
        <f>_xlfn.XLOOKUP(CleanData_[[#This Row],[SAP Match Key]],PhysicalData_1[Physical Match Key],PhysicalData_1[Batch Code],"Mismatch")</f>
        <v>SCH5E2093</v>
      </c>
      <c r="J1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SCH5E2093</v>
      </c>
      <c r="L16" s="18" t="str">
        <f>_xlfn.XLOOKUP(CleanData_[[#This Row],[Batch To Pull]],PhysicalData_1[Batch Code],PhysicalData_1[Physical Expiry Month]," ")</f>
        <v>April</v>
      </c>
      <c r="M16" s="18">
        <f>_xlfn.XLOOKUP(CleanData_[[#This Row],[Batch To Pull]],PhysicalData_1[Batch Code],PhysicalData_1[Quantity (physical)]," ")</f>
        <v>162</v>
      </c>
    </row>
    <row r="17" spans="1:13" x14ac:dyDescent="0.35">
      <c r="A17" s="18" t="s">
        <v>754</v>
      </c>
      <c r="B17" s="18" t="s">
        <v>483</v>
      </c>
      <c r="C17" s="18" t="s">
        <v>594</v>
      </c>
      <c r="D17" s="18" t="s">
        <v>593</v>
      </c>
      <c r="E17" s="18" t="s">
        <v>584</v>
      </c>
      <c r="F17" s="18" t="s">
        <v>593</v>
      </c>
      <c r="G17" s="18">
        <v>1900</v>
      </c>
      <c r="H17" s="18" t="s">
        <v>817</v>
      </c>
      <c r="I17" s="18" t="str">
        <f>_xlfn.XLOOKUP(CleanData_[[#This Row],[SAP Match Key]],PhysicalData_1[Physical Match Key],PhysicalData_1[Batch Code],"Mismatch")</f>
        <v>SCH6D012</v>
      </c>
      <c r="J1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SCH6D012</v>
      </c>
      <c r="L17" s="18" t="str">
        <f>_xlfn.XLOOKUP(CleanData_[[#This Row],[Batch To Pull]],PhysicalData_1[Batch Code],PhysicalData_1[Physical Expiry Month]," ")</f>
        <v>March</v>
      </c>
      <c r="M17" s="18">
        <f>_xlfn.XLOOKUP(CleanData_[[#This Row],[Batch To Pull]],PhysicalData_1[Batch Code],PhysicalData_1[Quantity (physical)]," ")</f>
        <v>1018</v>
      </c>
    </row>
    <row r="18" spans="1:13" x14ac:dyDescent="0.35">
      <c r="A18" s="18" t="s">
        <v>754</v>
      </c>
      <c r="B18" s="18" t="s">
        <v>480</v>
      </c>
      <c r="C18" s="18" t="s">
        <v>594</v>
      </c>
      <c r="D18" s="18" t="s">
        <v>593</v>
      </c>
      <c r="E18" s="18" t="s">
        <v>584</v>
      </c>
      <c r="F18" s="18" t="s">
        <v>593</v>
      </c>
      <c r="G18" s="18">
        <v>654</v>
      </c>
      <c r="H18" s="18" t="s">
        <v>903</v>
      </c>
      <c r="I18" s="18" t="str">
        <f>_xlfn.XLOOKUP(CleanData_[[#This Row],[SAP Match Key]],PhysicalData_1[Physical Match Key],PhysicalData_1[Batch Code],"Mismatch")</f>
        <v>Mismatch</v>
      </c>
      <c r="J1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SCH6D012</v>
      </c>
      <c r="K1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SCH6D012</v>
      </c>
      <c r="L18" s="18" t="str">
        <f>_xlfn.XLOOKUP(CleanData_[[#This Row],[Batch To Pull]],PhysicalData_1[Batch Code],PhysicalData_1[Physical Expiry Month]," ")</f>
        <v>March</v>
      </c>
      <c r="M18" s="18">
        <f>_xlfn.XLOOKUP(CleanData_[[#This Row],[Batch To Pull]],PhysicalData_1[Batch Code],PhysicalData_1[Quantity (physical)]," ")</f>
        <v>1018</v>
      </c>
    </row>
    <row r="19" spans="1:13" x14ac:dyDescent="0.35">
      <c r="A19" s="18" t="s">
        <v>755</v>
      </c>
      <c r="B19" s="18" t="s">
        <v>480</v>
      </c>
      <c r="C19" s="18" t="s">
        <v>594</v>
      </c>
      <c r="D19" s="18" t="s">
        <v>593</v>
      </c>
      <c r="E19" s="18" t="s">
        <v>584</v>
      </c>
      <c r="F19" s="18" t="s">
        <v>593</v>
      </c>
      <c r="G19" s="18">
        <v>654</v>
      </c>
      <c r="H19" s="18" t="s">
        <v>815</v>
      </c>
      <c r="I19" s="18" t="str">
        <f>_xlfn.XLOOKUP(CleanData_[[#This Row],[SAP Match Key]],PhysicalData_1[Physical Match Key],PhysicalData_1[Batch Code],"Mismatch")</f>
        <v>SCH6D014</v>
      </c>
      <c r="J1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SCH6D014</v>
      </c>
      <c r="L19" s="18" t="str">
        <f>_xlfn.XLOOKUP(CleanData_[[#This Row],[Batch To Pull]],PhysicalData_1[Batch Code],PhysicalData_1[Physical Expiry Month]," ")</f>
        <v>March</v>
      </c>
      <c r="M19" s="18">
        <f>_xlfn.XLOOKUP(CleanData_[[#This Row],[Batch To Pull]],PhysicalData_1[Batch Code],PhysicalData_1[Quantity (physical)]," ")</f>
        <v>734</v>
      </c>
    </row>
    <row r="20" spans="1:13" x14ac:dyDescent="0.35">
      <c r="A20" s="18" t="s">
        <v>756</v>
      </c>
      <c r="B20" s="18" t="s">
        <v>477</v>
      </c>
      <c r="C20" s="18" t="s">
        <v>594</v>
      </c>
      <c r="D20" s="18" t="s">
        <v>594</v>
      </c>
      <c r="E20" s="18" t="s">
        <v>585</v>
      </c>
      <c r="F20" s="18" t="s">
        <v>594</v>
      </c>
      <c r="G20" s="18">
        <v>31.2</v>
      </c>
      <c r="H20" s="18" t="s">
        <v>818</v>
      </c>
      <c r="I20" s="18" t="str">
        <f>_xlfn.XLOOKUP(CleanData_[[#This Row],[SAP Match Key]],PhysicalData_1[Physical Match Key],PhysicalData_1[Batch Code],"Mismatch")</f>
        <v>SCH5D2003</v>
      </c>
      <c r="J2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2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SCH5D2003</v>
      </c>
      <c r="L20" s="18" t="str">
        <f>_xlfn.XLOOKUP(CleanData_[[#This Row],[Batch To Pull]],PhysicalData_1[Batch Code],PhysicalData_1[Physical Expiry Month]," ")</f>
        <v>March</v>
      </c>
      <c r="M20" s="18">
        <f>_xlfn.XLOOKUP(CleanData_[[#This Row],[Batch To Pull]],PhysicalData_1[Batch Code],PhysicalData_1[Quantity (physical)]," ")</f>
        <v>134</v>
      </c>
    </row>
    <row r="21" spans="1:13" x14ac:dyDescent="0.35">
      <c r="A21" s="18" t="s">
        <v>757</v>
      </c>
      <c r="B21" s="18" t="s">
        <v>221</v>
      </c>
      <c r="C21" s="18" t="s">
        <v>588</v>
      </c>
      <c r="D21" s="18" t="s">
        <v>594</v>
      </c>
      <c r="E21" s="18" t="s">
        <v>584</v>
      </c>
      <c r="F21" s="18" t="s">
        <v>594</v>
      </c>
      <c r="G21" s="18">
        <v>325</v>
      </c>
      <c r="H21" s="18" t="s">
        <v>904</v>
      </c>
      <c r="I21" s="18" t="str">
        <f>_xlfn.XLOOKUP(CleanData_[[#This Row],[SAP Match Key]],PhysicalData_1[Physical Match Key],PhysicalData_1[Batch Code],"Mismatch")</f>
        <v>Mismatch</v>
      </c>
      <c r="J2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SCH6BS2008</v>
      </c>
      <c r="K2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SCH6BS2008</v>
      </c>
      <c r="L21" s="18" t="str">
        <f>_xlfn.XLOOKUP(CleanData_[[#This Row],[Batch To Pull]],PhysicalData_1[Batch Code],PhysicalData_1[Physical Expiry Month]," ")</f>
        <v>January</v>
      </c>
      <c r="M21" s="18">
        <f>_xlfn.XLOOKUP(CleanData_[[#This Row],[Batch To Pull]],PhysicalData_1[Batch Code],PhysicalData_1[Quantity (physical)]," ")</f>
        <v>314</v>
      </c>
    </row>
    <row r="22" spans="1:13" x14ac:dyDescent="0.35">
      <c r="A22" s="18" t="s">
        <v>757</v>
      </c>
      <c r="B22" s="18" t="s">
        <v>223</v>
      </c>
      <c r="C22" s="18" t="s">
        <v>588</v>
      </c>
      <c r="D22" s="18" t="s">
        <v>593</v>
      </c>
      <c r="E22" s="18" t="s">
        <v>584</v>
      </c>
      <c r="F22" s="18" t="s">
        <v>593</v>
      </c>
      <c r="G22" s="18">
        <v>490</v>
      </c>
      <c r="H22" s="18" t="s">
        <v>905</v>
      </c>
      <c r="I22" s="18" t="str">
        <f>_xlfn.XLOOKUP(CleanData_[[#This Row],[SAP Match Key]],PhysicalData_1[Physical Match Key],PhysicalData_1[Batch Code],"Mismatch")</f>
        <v>Mismatch</v>
      </c>
      <c r="J2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SCH6BS2008</v>
      </c>
      <c r="K2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SCH6BS2008</v>
      </c>
      <c r="L22" s="18" t="str">
        <f>_xlfn.XLOOKUP(CleanData_[[#This Row],[Batch To Pull]],PhysicalData_1[Batch Code],PhysicalData_1[Physical Expiry Month]," ")</f>
        <v>January</v>
      </c>
      <c r="M22" s="18">
        <f>_xlfn.XLOOKUP(CleanData_[[#This Row],[Batch To Pull]],PhysicalData_1[Batch Code],PhysicalData_1[Quantity (physical)]," ")</f>
        <v>314</v>
      </c>
    </row>
    <row r="23" spans="1:13" x14ac:dyDescent="0.35">
      <c r="A23" s="18" t="s">
        <v>757</v>
      </c>
      <c r="B23" s="18" t="s">
        <v>225</v>
      </c>
      <c r="C23" s="18" t="s">
        <v>588</v>
      </c>
      <c r="D23" s="18" t="s">
        <v>593</v>
      </c>
      <c r="E23" s="18" t="s">
        <v>584</v>
      </c>
      <c r="F23" s="18" t="s">
        <v>593</v>
      </c>
      <c r="G23" s="18">
        <v>755</v>
      </c>
      <c r="H23" s="18" t="s">
        <v>906</v>
      </c>
      <c r="I23" s="18" t="str">
        <f>_xlfn.XLOOKUP(CleanData_[[#This Row],[SAP Match Key]],PhysicalData_1[Physical Match Key],PhysicalData_1[Batch Code],"Mismatch")</f>
        <v>Mismatch</v>
      </c>
      <c r="J2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SCH6BS2008</v>
      </c>
      <c r="K2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SCH6BS2008</v>
      </c>
      <c r="L23" s="18" t="str">
        <f>_xlfn.XLOOKUP(CleanData_[[#This Row],[Batch To Pull]],PhysicalData_1[Batch Code],PhysicalData_1[Physical Expiry Month]," ")</f>
        <v>January</v>
      </c>
      <c r="M23" s="18">
        <f>_xlfn.XLOOKUP(CleanData_[[#This Row],[Batch To Pull]],PhysicalData_1[Batch Code],PhysicalData_1[Quantity (physical)]," ")</f>
        <v>314</v>
      </c>
    </row>
    <row r="24" spans="1:13" x14ac:dyDescent="0.35">
      <c r="A24" s="18" t="s">
        <v>758</v>
      </c>
      <c r="B24" s="18" t="s">
        <v>176</v>
      </c>
      <c r="C24" s="18" t="s">
        <v>588</v>
      </c>
      <c r="D24" s="18" t="s">
        <v>594</v>
      </c>
      <c r="E24" s="18" t="s">
        <v>584</v>
      </c>
      <c r="F24" s="18" t="s">
        <v>594</v>
      </c>
      <c r="G24" s="18">
        <v>302</v>
      </c>
      <c r="H24" s="18" t="s">
        <v>907</v>
      </c>
      <c r="I24" s="18" t="str">
        <f>_xlfn.XLOOKUP(CleanData_[[#This Row],[SAP Match Key]],PhysicalData_1[Physical Match Key],PhysicalData_1[Batch Code],"Mismatch")</f>
        <v>Mismatch</v>
      </c>
      <c r="J2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SCH6BS2013</v>
      </c>
      <c r="K2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SCH6BS2013</v>
      </c>
      <c r="L24" s="18" t="str">
        <f>_xlfn.XLOOKUP(CleanData_[[#This Row],[Batch To Pull]],PhysicalData_1[Batch Code],PhysicalData_1[Physical Expiry Month]," ")</f>
        <v>January</v>
      </c>
      <c r="M24" s="18">
        <f>_xlfn.XLOOKUP(CleanData_[[#This Row],[Batch To Pull]],PhysicalData_1[Batch Code],PhysicalData_1[Quantity (physical)]," ")</f>
        <v>861</v>
      </c>
    </row>
    <row r="25" spans="1:13" x14ac:dyDescent="0.35">
      <c r="A25" s="18" t="s">
        <v>758</v>
      </c>
      <c r="B25" s="18" t="s">
        <v>178</v>
      </c>
      <c r="C25" s="18" t="s">
        <v>588</v>
      </c>
      <c r="D25" s="18" t="s">
        <v>594</v>
      </c>
      <c r="E25" s="18" t="s">
        <v>584</v>
      </c>
      <c r="F25" s="18" t="s">
        <v>594</v>
      </c>
      <c r="G25" s="18">
        <v>168</v>
      </c>
      <c r="H25" s="18" t="s">
        <v>908</v>
      </c>
      <c r="I25" s="18" t="str">
        <f>_xlfn.XLOOKUP(CleanData_[[#This Row],[SAP Match Key]],PhysicalData_1[Physical Match Key],PhysicalData_1[Batch Code],"Mismatch")</f>
        <v>Mismatch</v>
      </c>
      <c r="J2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SCH6BS2013</v>
      </c>
      <c r="K2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SCH6BS2013</v>
      </c>
      <c r="L25" s="18" t="str">
        <f>_xlfn.XLOOKUP(CleanData_[[#This Row],[Batch To Pull]],PhysicalData_1[Batch Code],PhysicalData_1[Physical Expiry Month]," ")</f>
        <v>January</v>
      </c>
      <c r="M25" s="18">
        <f>_xlfn.XLOOKUP(CleanData_[[#This Row],[Batch To Pull]],PhysicalData_1[Batch Code],PhysicalData_1[Quantity (physical)]," ")</f>
        <v>861</v>
      </c>
    </row>
    <row r="26" spans="1:13" x14ac:dyDescent="0.35">
      <c r="A26" s="18" t="s">
        <v>758</v>
      </c>
      <c r="B26" s="18" t="s">
        <v>180</v>
      </c>
      <c r="C26" s="18" t="s">
        <v>588</v>
      </c>
      <c r="D26" s="18" t="s">
        <v>593</v>
      </c>
      <c r="E26" s="18" t="s">
        <v>584</v>
      </c>
      <c r="F26" s="18" t="s">
        <v>593</v>
      </c>
      <c r="G26" s="18">
        <v>1200</v>
      </c>
      <c r="H26" s="18" t="s">
        <v>909</v>
      </c>
      <c r="I26" s="18" t="str">
        <f>_xlfn.XLOOKUP(CleanData_[[#This Row],[SAP Match Key]],PhysicalData_1[Physical Match Key],PhysicalData_1[Batch Code],"Mismatch")</f>
        <v>Mismatch</v>
      </c>
      <c r="J2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SCH6BS2013</v>
      </c>
      <c r="K2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SCH6BS2013</v>
      </c>
      <c r="L26" s="18" t="str">
        <f>_xlfn.XLOOKUP(CleanData_[[#This Row],[Batch To Pull]],PhysicalData_1[Batch Code],PhysicalData_1[Physical Expiry Month]," ")</f>
        <v>January</v>
      </c>
      <c r="M26" s="18">
        <f>_xlfn.XLOOKUP(CleanData_[[#This Row],[Batch To Pull]],PhysicalData_1[Batch Code],PhysicalData_1[Quantity (physical)]," ")</f>
        <v>861</v>
      </c>
    </row>
    <row r="27" spans="1:13" x14ac:dyDescent="0.35">
      <c r="A27" s="18" t="s">
        <v>759</v>
      </c>
      <c r="B27" s="18" t="s">
        <v>211</v>
      </c>
      <c r="C27" s="18" t="s">
        <v>589</v>
      </c>
      <c r="D27" s="18" t="s">
        <v>594</v>
      </c>
      <c r="E27" s="18" t="s">
        <v>584</v>
      </c>
      <c r="F27" s="18" t="s">
        <v>594</v>
      </c>
      <c r="G27" s="18">
        <v>200</v>
      </c>
      <c r="H27" s="18" t="s">
        <v>910</v>
      </c>
      <c r="I27" s="18" t="str">
        <f>_xlfn.XLOOKUP(CleanData_[[#This Row],[SAP Match Key]],PhysicalData_1[Physical Match Key],PhysicalData_1[Batch Code],"Mismatch")</f>
        <v>Mismatch</v>
      </c>
      <c r="J2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2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27" s="18" t="str">
        <f>_xlfn.XLOOKUP(CleanData_[[#This Row],[Batch To Pull]],PhysicalData_1[Batch Code],PhysicalData_1[Physical Expiry Month]," ")</f>
        <v xml:space="preserve"> </v>
      </c>
      <c r="M27" s="18" t="str">
        <f>_xlfn.XLOOKUP(CleanData_[[#This Row],[Batch To Pull]],PhysicalData_1[Batch Code],PhysicalData_1[Quantity (physical)]," ")</f>
        <v xml:space="preserve"> </v>
      </c>
    </row>
    <row r="28" spans="1:13" x14ac:dyDescent="0.35">
      <c r="A28" s="18" t="s">
        <v>759</v>
      </c>
      <c r="B28" s="18" t="s">
        <v>213</v>
      </c>
      <c r="C28" s="18" t="s">
        <v>588</v>
      </c>
      <c r="D28" s="18" t="s">
        <v>594</v>
      </c>
      <c r="E28" s="18" t="s">
        <v>584</v>
      </c>
      <c r="F28" s="18" t="s">
        <v>594</v>
      </c>
      <c r="G28" s="18">
        <v>664</v>
      </c>
      <c r="H28" s="18" t="s">
        <v>820</v>
      </c>
      <c r="I28" s="18" t="str">
        <f>_xlfn.XLOOKUP(CleanData_[[#This Row],[SAP Match Key]],PhysicalData_1[Physical Match Key],PhysicalData_1[Batch Code],"Mismatch")</f>
        <v>SCH6BS2013</v>
      </c>
      <c r="J2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2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SCH6BS2013</v>
      </c>
      <c r="L28" s="18" t="str">
        <f>_xlfn.XLOOKUP(CleanData_[[#This Row],[Batch To Pull]],PhysicalData_1[Batch Code],PhysicalData_1[Physical Expiry Month]," ")</f>
        <v>January</v>
      </c>
      <c r="M28" s="18">
        <f>_xlfn.XLOOKUP(CleanData_[[#This Row],[Batch To Pull]],PhysicalData_1[Batch Code],PhysicalData_1[Quantity (physical)]," ")</f>
        <v>861</v>
      </c>
    </row>
    <row r="29" spans="1:13" x14ac:dyDescent="0.35">
      <c r="A29" s="18" t="s">
        <v>760</v>
      </c>
      <c r="B29" s="18" t="s">
        <v>559</v>
      </c>
      <c r="C29" s="18" t="s">
        <v>592</v>
      </c>
      <c r="D29" s="18" t="s">
        <v>593</v>
      </c>
      <c r="E29" s="18" t="s">
        <v>584</v>
      </c>
      <c r="F29" s="18" t="s">
        <v>593</v>
      </c>
      <c r="G29" s="18">
        <v>33620</v>
      </c>
      <c r="H29" s="18" t="s">
        <v>823</v>
      </c>
      <c r="I29" s="18" t="str">
        <f>_xlfn.XLOOKUP(CleanData_[[#This Row],[SAP Match Key]],PhysicalData_1[Physical Match Key],PhysicalData_1[Batch Code],"Mismatch")</f>
        <v>SCH6C0318</v>
      </c>
      <c r="J2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2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SCH6C0318</v>
      </c>
      <c r="L29" s="18" t="str">
        <f>_xlfn.XLOOKUP(CleanData_[[#This Row],[Batch To Pull]],PhysicalData_1[Batch Code],PhysicalData_1[Physical Expiry Month]," ")</f>
        <v>February</v>
      </c>
      <c r="M29" s="18">
        <f>_xlfn.XLOOKUP(CleanData_[[#This Row],[Batch To Pull]],PhysicalData_1[Batch Code],PhysicalData_1[Quantity (physical)]," ")</f>
        <v>9456</v>
      </c>
    </row>
    <row r="30" spans="1:13" x14ac:dyDescent="0.35">
      <c r="A30" s="18" t="s">
        <v>760</v>
      </c>
      <c r="B30" s="18" t="s">
        <v>561</v>
      </c>
      <c r="C30" s="18" t="s">
        <v>592</v>
      </c>
      <c r="D30" s="18" t="s">
        <v>593</v>
      </c>
      <c r="E30" s="18" t="s">
        <v>584</v>
      </c>
      <c r="F30" s="18" t="s">
        <v>593</v>
      </c>
      <c r="G30" s="18">
        <v>31010</v>
      </c>
      <c r="H30" s="18" t="s">
        <v>911</v>
      </c>
      <c r="I30" s="18" t="str">
        <f>_xlfn.XLOOKUP(CleanData_[[#This Row],[SAP Match Key]],PhysicalData_1[Physical Match Key],PhysicalData_1[Batch Code],"Mismatch")</f>
        <v>Mismatch</v>
      </c>
      <c r="J3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SCH6C0318</v>
      </c>
      <c r="K3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SCH6C0318</v>
      </c>
      <c r="L30" s="18" t="str">
        <f>_xlfn.XLOOKUP(CleanData_[[#This Row],[Batch To Pull]],PhysicalData_1[Batch Code],PhysicalData_1[Physical Expiry Month]," ")</f>
        <v>February</v>
      </c>
      <c r="M30" s="18">
        <f>_xlfn.XLOOKUP(CleanData_[[#This Row],[Batch To Pull]],PhysicalData_1[Batch Code],PhysicalData_1[Quantity (physical)]," ")</f>
        <v>9456</v>
      </c>
    </row>
    <row r="31" spans="1:13" x14ac:dyDescent="0.35">
      <c r="A31" s="18" t="s">
        <v>761</v>
      </c>
      <c r="B31" s="18" t="s">
        <v>554</v>
      </c>
      <c r="C31" s="18" t="s">
        <v>592</v>
      </c>
      <c r="D31" s="18" t="s">
        <v>593</v>
      </c>
      <c r="E31" s="18" t="s">
        <v>584</v>
      </c>
      <c r="F31" s="18" t="s">
        <v>593</v>
      </c>
      <c r="G31" s="18">
        <v>21670</v>
      </c>
      <c r="H31" s="18" t="s">
        <v>912</v>
      </c>
      <c r="I31" s="18" t="str">
        <f>_xlfn.XLOOKUP(CleanData_[[#This Row],[SAP Match Key]],PhysicalData_1[Physical Match Key],PhysicalData_1[Batch Code],"Mismatch")</f>
        <v>Mismatch</v>
      </c>
      <c r="J3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SCH6C0306</v>
      </c>
      <c r="K3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SCH6C0306</v>
      </c>
      <c r="L31" s="18" t="str">
        <f>_xlfn.XLOOKUP(CleanData_[[#This Row],[Batch To Pull]],PhysicalData_1[Batch Code],PhysicalData_1[Physical Expiry Month]," ")</f>
        <v>February</v>
      </c>
      <c r="M31" s="18">
        <f>_xlfn.XLOOKUP(CleanData_[[#This Row],[Batch To Pull]],PhysicalData_1[Batch Code],PhysicalData_1[Quantity (physical)]," ")</f>
        <v>13536</v>
      </c>
    </row>
    <row r="32" spans="1:13" x14ac:dyDescent="0.35">
      <c r="A32" s="18" t="s">
        <v>761</v>
      </c>
      <c r="B32" s="18" t="s">
        <v>556</v>
      </c>
      <c r="C32" s="18" t="s">
        <v>592</v>
      </c>
      <c r="D32" s="18" t="s">
        <v>593</v>
      </c>
      <c r="E32" s="18" t="s">
        <v>584</v>
      </c>
      <c r="F32" s="18" t="s">
        <v>593</v>
      </c>
      <c r="G32" s="18">
        <v>81820</v>
      </c>
      <c r="H32" s="18" t="s">
        <v>913</v>
      </c>
      <c r="I32" s="18" t="str">
        <f>_xlfn.XLOOKUP(CleanData_[[#This Row],[SAP Match Key]],PhysicalData_1[Physical Match Key],PhysicalData_1[Batch Code],"Mismatch")</f>
        <v>Mismatch</v>
      </c>
      <c r="J3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SCH6C0306</v>
      </c>
      <c r="K3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SCH6C0306</v>
      </c>
      <c r="L32" s="18" t="str">
        <f>_xlfn.XLOOKUP(CleanData_[[#This Row],[Batch To Pull]],PhysicalData_1[Batch Code],PhysicalData_1[Physical Expiry Month]," ")</f>
        <v>February</v>
      </c>
      <c r="M32" s="18">
        <f>_xlfn.XLOOKUP(CleanData_[[#This Row],[Batch To Pull]],PhysicalData_1[Batch Code],PhysicalData_1[Quantity (physical)]," ")</f>
        <v>13536</v>
      </c>
    </row>
    <row r="33" spans="1:13" x14ac:dyDescent="0.35">
      <c r="A33" s="18" t="s">
        <v>762</v>
      </c>
      <c r="B33" s="18" t="s">
        <v>388</v>
      </c>
      <c r="C33" s="18" t="s">
        <v>588</v>
      </c>
      <c r="D33" s="18" t="s">
        <v>588</v>
      </c>
      <c r="E33" s="18" t="s">
        <v>585</v>
      </c>
      <c r="F33" s="18" t="s">
        <v>588</v>
      </c>
      <c r="G33" s="18">
        <v>360</v>
      </c>
      <c r="H33" s="18" t="s">
        <v>914</v>
      </c>
      <c r="I33" s="18" t="str">
        <f>_xlfn.XLOOKUP(CleanData_[[#This Row],[SAP Match Key]],PhysicalData_1[Physical Match Key],PhysicalData_1[Batch Code],"Mismatch")</f>
        <v>Mismatch</v>
      </c>
      <c r="J3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SCH6BS1032</v>
      </c>
      <c r="K3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SCH6BS1032</v>
      </c>
      <c r="L33" s="18" t="str">
        <f>_xlfn.XLOOKUP(CleanData_[[#This Row],[Batch To Pull]],PhysicalData_1[Batch Code],PhysicalData_1[Physical Expiry Month]," ")</f>
        <v>January</v>
      </c>
      <c r="M33" s="18">
        <f>_xlfn.XLOOKUP(CleanData_[[#This Row],[Batch To Pull]],PhysicalData_1[Batch Code],PhysicalData_1[Quantity (physical)]," ")</f>
        <v>22</v>
      </c>
    </row>
    <row r="34" spans="1:13" x14ac:dyDescent="0.35">
      <c r="A34" s="18" t="s">
        <v>762</v>
      </c>
      <c r="B34" s="18" t="s">
        <v>390</v>
      </c>
      <c r="C34" s="18" t="s">
        <v>588</v>
      </c>
      <c r="D34" s="18" t="s">
        <v>593</v>
      </c>
      <c r="E34" s="18" t="s">
        <v>584</v>
      </c>
      <c r="F34" s="18" t="s">
        <v>593</v>
      </c>
      <c r="G34" s="18">
        <v>788</v>
      </c>
      <c r="H34" s="18" t="s">
        <v>828</v>
      </c>
      <c r="I34" s="18" t="str">
        <f>_xlfn.XLOOKUP(CleanData_[[#This Row],[SAP Match Key]],PhysicalData_1[Physical Match Key],PhysicalData_1[Batch Code],"Mismatch")</f>
        <v>SCH6BS1032</v>
      </c>
      <c r="J3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3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SCH6BS1032</v>
      </c>
      <c r="L34" s="18" t="str">
        <f>_xlfn.XLOOKUP(CleanData_[[#This Row],[Batch To Pull]],PhysicalData_1[Batch Code],PhysicalData_1[Physical Expiry Month]," ")</f>
        <v>January</v>
      </c>
      <c r="M34" s="18">
        <f>_xlfn.XLOOKUP(CleanData_[[#This Row],[Batch To Pull]],PhysicalData_1[Batch Code],PhysicalData_1[Quantity (physical)]," ")</f>
        <v>22</v>
      </c>
    </row>
    <row r="35" spans="1:13" x14ac:dyDescent="0.35">
      <c r="A35" s="18" t="s">
        <v>762</v>
      </c>
      <c r="B35" s="18" t="s">
        <v>392</v>
      </c>
      <c r="C35" s="18" t="s">
        <v>588</v>
      </c>
      <c r="D35" s="18" t="s">
        <v>593</v>
      </c>
      <c r="E35" s="18" t="s">
        <v>584</v>
      </c>
      <c r="F35" s="18" t="s">
        <v>593</v>
      </c>
      <c r="G35" s="18">
        <v>456</v>
      </c>
      <c r="H35" s="18" t="s">
        <v>915</v>
      </c>
      <c r="I35" s="18" t="str">
        <f>_xlfn.XLOOKUP(CleanData_[[#This Row],[SAP Match Key]],PhysicalData_1[Physical Match Key],PhysicalData_1[Batch Code],"Mismatch")</f>
        <v>Mismatch</v>
      </c>
      <c r="J3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SCH6BS1032</v>
      </c>
      <c r="K3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SCH6BS1032</v>
      </c>
      <c r="L35" s="18" t="str">
        <f>_xlfn.XLOOKUP(CleanData_[[#This Row],[Batch To Pull]],PhysicalData_1[Batch Code],PhysicalData_1[Physical Expiry Month]," ")</f>
        <v>January</v>
      </c>
      <c r="M35" s="18">
        <f>_xlfn.XLOOKUP(CleanData_[[#This Row],[Batch To Pull]],PhysicalData_1[Batch Code],PhysicalData_1[Quantity (physical)]," ")</f>
        <v>22</v>
      </c>
    </row>
    <row r="36" spans="1:13" x14ac:dyDescent="0.35">
      <c r="A36" s="18" t="s">
        <v>762</v>
      </c>
      <c r="B36" s="18" t="s">
        <v>394</v>
      </c>
      <c r="C36" s="18" t="s">
        <v>592</v>
      </c>
      <c r="D36" s="18" t="s">
        <v>593</v>
      </c>
      <c r="E36" s="18" t="s">
        <v>584</v>
      </c>
      <c r="F36" s="18" t="s">
        <v>593</v>
      </c>
      <c r="G36" s="18">
        <v>530</v>
      </c>
      <c r="H36" s="18" t="s">
        <v>916</v>
      </c>
      <c r="I36" s="18" t="str">
        <f>_xlfn.XLOOKUP(CleanData_[[#This Row],[SAP Match Key]],PhysicalData_1[Physical Match Key],PhysicalData_1[Batch Code],"Mismatch")</f>
        <v>Mismatch</v>
      </c>
      <c r="J3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SCH6CS2066</v>
      </c>
      <c r="K3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SCH6CS2066</v>
      </c>
      <c r="L36" s="18" t="str">
        <f>_xlfn.XLOOKUP(CleanData_[[#This Row],[Batch To Pull]],PhysicalData_1[Batch Code],PhysicalData_1[Physical Expiry Month]," ")</f>
        <v>February</v>
      </c>
      <c r="M36" s="18">
        <f>_xlfn.XLOOKUP(CleanData_[[#This Row],[Batch To Pull]],PhysicalData_1[Batch Code],PhysicalData_1[Quantity (physical)]," ")</f>
        <v>1740</v>
      </c>
    </row>
    <row r="37" spans="1:13" x14ac:dyDescent="0.35">
      <c r="A37" s="18" t="s">
        <v>763</v>
      </c>
      <c r="B37" s="18" t="s">
        <v>487</v>
      </c>
      <c r="C37" s="18" t="s">
        <v>588</v>
      </c>
      <c r="D37" s="18" t="s">
        <v>593</v>
      </c>
      <c r="E37" s="18" t="s">
        <v>584</v>
      </c>
      <c r="F37" s="18" t="s">
        <v>593</v>
      </c>
      <c r="G37" s="18">
        <v>1049</v>
      </c>
      <c r="H37" s="18" t="s">
        <v>917</v>
      </c>
      <c r="I37" s="18" t="str">
        <f>_xlfn.XLOOKUP(CleanData_[[#This Row],[SAP Match Key]],PhysicalData_1[Physical Match Key],PhysicalData_1[Batch Code],"Mismatch")</f>
        <v>Mismatch</v>
      </c>
      <c r="J3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SCH6BS1026</v>
      </c>
      <c r="K3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SCH6BS1026</v>
      </c>
      <c r="L37" s="18" t="str">
        <f>_xlfn.XLOOKUP(CleanData_[[#This Row],[Batch To Pull]],PhysicalData_1[Batch Code],PhysicalData_1[Physical Expiry Month]," ")</f>
        <v>January</v>
      </c>
      <c r="M37" s="18">
        <f>_xlfn.XLOOKUP(CleanData_[[#This Row],[Batch To Pull]],PhysicalData_1[Batch Code],PhysicalData_1[Quantity (physical)]," ")</f>
        <v>8641</v>
      </c>
    </row>
    <row r="38" spans="1:13" x14ac:dyDescent="0.35">
      <c r="A38" s="18" t="s">
        <v>763</v>
      </c>
      <c r="B38" s="18" t="s">
        <v>489</v>
      </c>
      <c r="C38" s="18" t="s">
        <v>588</v>
      </c>
      <c r="D38" s="18" t="s">
        <v>593</v>
      </c>
      <c r="E38" s="18" t="s">
        <v>584</v>
      </c>
      <c r="F38" s="18" t="s">
        <v>593</v>
      </c>
      <c r="G38" s="18">
        <v>347</v>
      </c>
      <c r="H38" s="18" t="s">
        <v>918</v>
      </c>
      <c r="I38" s="18" t="str">
        <f>_xlfn.XLOOKUP(CleanData_[[#This Row],[SAP Match Key]],PhysicalData_1[Physical Match Key],PhysicalData_1[Batch Code],"Mismatch")</f>
        <v>Mismatch</v>
      </c>
      <c r="J3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SCH6BS1026</v>
      </c>
      <c r="K3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SCH6BS1026</v>
      </c>
      <c r="L38" s="18" t="str">
        <f>_xlfn.XLOOKUP(CleanData_[[#This Row],[Batch To Pull]],PhysicalData_1[Batch Code],PhysicalData_1[Physical Expiry Month]," ")</f>
        <v>January</v>
      </c>
      <c r="M38" s="18">
        <f>_xlfn.XLOOKUP(CleanData_[[#This Row],[Batch To Pull]],PhysicalData_1[Batch Code],PhysicalData_1[Quantity (physical)]," ")</f>
        <v>8641</v>
      </c>
    </row>
    <row r="39" spans="1:13" x14ac:dyDescent="0.35">
      <c r="A39" s="18" t="s">
        <v>763</v>
      </c>
      <c r="B39" s="18" t="s">
        <v>491</v>
      </c>
      <c r="C39" s="18" t="s">
        <v>588</v>
      </c>
      <c r="D39" s="18" t="s">
        <v>588</v>
      </c>
      <c r="E39" s="18" t="s">
        <v>585</v>
      </c>
      <c r="F39" s="18" t="s">
        <v>588</v>
      </c>
      <c r="G39" s="18">
        <v>2099</v>
      </c>
      <c r="H39" s="18" t="s">
        <v>919</v>
      </c>
      <c r="I39" s="18" t="str">
        <f>_xlfn.XLOOKUP(CleanData_[[#This Row],[SAP Match Key]],PhysicalData_1[Physical Match Key],PhysicalData_1[Batch Code],"Mismatch")</f>
        <v>Mismatch</v>
      </c>
      <c r="J3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SCH6BS1026</v>
      </c>
      <c r="K3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SCH6BS1026</v>
      </c>
      <c r="L39" s="18" t="str">
        <f>_xlfn.XLOOKUP(CleanData_[[#This Row],[Batch To Pull]],PhysicalData_1[Batch Code],PhysicalData_1[Physical Expiry Month]," ")</f>
        <v>January</v>
      </c>
      <c r="M39" s="18">
        <f>_xlfn.XLOOKUP(CleanData_[[#This Row],[Batch To Pull]],PhysicalData_1[Batch Code],PhysicalData_1[Quantity (physical)]," ")</f>
        <v>8641</v>
      </c>
    </row>
    <row r="40" spans="1:13" x14ac:dyDescent="0.35">
      <c r="A40" s="18" t="s">
        <v>763</v>
      </c>
      <c r="B40" s="18" t="s">
        <v>388</v>
      </c>
      <c r="C40" s="18" t="s">
        <v>588</v>
      </c>
      <c r="D40" s="18" t="s">
        <v>588</v>
      </c>
      <c r="E40" s="18" t="s">
        <v>585</v>
      </c>
      <c r="F40" s="18" t="s">
        <v>588</v>
      </c>
      <c r="G40" s="18">
        <v>360</v>
      </c>
      <c r="H40" s="18" t="s">
        <v>920</v>
      </c>
      <c r="I40" s="18" t="str">
        <f>_xlfn.XLOOKUP(CleanData_[[#This Row],[SAP Match Key]],PhysicalData_1[Physical Match Key],PhysicalData_1[Batch Code],"Mismatch")</f>
        <v>Mismatch</v>
      </c>
      <c r="J4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SCH6BS1026</v>
      </c>
      <c r="K4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SCH6BS1026</v>
      </c>
      <c r="L40" s="18" t="str">
        <f>_xlfn.XLOOKUP(CleanData_[[#This Row],[Batch To Pull]],PhysicalData_1[Batch Code],PhysicalData_1[Physical Expiry Month]," ")</f>
        <v>January</v>
      </c>
      <c r="M40" s="18">
        <f>_xlfn.XLOOKUP(CleanData_[[#This Row],[Batch To Pull]],PhysicalData_1[Batch Code],PhysicalData_1[Quantity (physical)]," ")</f>
        <v>8641</v>
      </c>
    </row>
    <row r="41" spans="1:13" x14ac:dyDescent="0.35">
      <c r="A41" s="18" t="s">
        <v>763</v>
      </c>
      <c r="B41" s="18" t="s">
        <v>494</v>
      </c>
      <c r="C41" s="18" t="s">
        <v>594</v>
      </c>
      <c r="D41" s="18" t="s">
        <v>593</v>
      </c>
      <c r="E41" s="18" t="s">
        <v>584</v>
      </c>
      <c r="F41" s="18" t="s">
        <v>593</v>
      </c>
      <c r="G41" s="18">
        <v>1069</v>
      </c>
      <c r="H41" s="18" t="s">
        <v>921</v>
      </c>
      <c r="I41" s="18" t="str">
        <f>_xlfn.XLOOKUP(CleanData_[[#This Row],[SAP Match Key]],PhysicalData_1[Physical Match Key],PhysicalData_1[Batch Code],"Mismatch")</f>
        <v>Mismatch</v>
      </c>
      <c r="J4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4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41" s="18" t="str">
        <f>_xlfn.XLOOKUP(CleanData_[[#This Row],[Batch To Pull]],PhysicalData_1[Batch Code],PhysicalData_1[Physical Expiry Month]," ")</f>
        <v xml:space="preserve"> </v>
      </c>
      <c r="M41" s="18" t="str">
        <f>_xlfn.XLOOKUP(CleanData_[[#This Row],[Batch To Pull]],PhysicalData_1[Batch Code],PhysicalData_1[Quantity (physical)]," ")</f>
        <v xml:space="preserve"> </v>
      </c>
    </row>
    <row r="42" spans="1:13" x14ac:dyDescent="0.35">
      <c r="A42" s="18" t="s">
        <v>764</v>
      </c>
      <c r="B42" s="18" t="s">
        <v>237</v>
      </c>
      <c r="C42" s="18" t="s">
        <v>588</v>
      </c>
      <c r="D42" s="18" t="s">
        <v>592</v>
      </c>
      <c r="E42" s="18" t="s">
        <v>584</v>
      </c>
      <c r="F42" s="18" t="s">
        <v>592</v>
      </c>
      <c r="G42" s="18">
        <v>1635</v>
      </c>
      <c r="H42" s="18" t="s">
        <v>922</v>
      </c>
      <c r="I42" s="18" t="str">
        <f>_xlfn.XLOOKUP(CleanData_[[#This Row],[SAP Match Key]],PhysicalData_1[Physical Match Key],PhysicalData_1[Batch Code],"Mismatch")</f>
        <v>Mismatch</v>
      </c>
      <c r="J4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SCH6B017A</v>
      </c>
      <c r="K4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SCH6B017A</v>
      </c>
      <c r="L42" s="18" t="str">
        <f>_xlfn.XLOOKUP(CleanData_[[#This Row],[Batch To Pull]],PhysicalData_1[Batch Code],PhysicalData_1[Physical Expiry Month]," ")</f>
        <v>January</v>
      </c>
      <c r="M42" s="18">
        <f>_xlfn.XLOOKUP(CleanData_[[#This Row],[Batch To Pull]],PhysicalData_1[Batch Code],PhysicalData_1[Quantity (physical)]," ")</f>
        <v>461</v>
      </c>
    </row>
    <row r="43" spans="1:13" x14ac:dyDescent="0.35">
      <c r="A43" s="18" t="s">
        <v>764</v>
      </c>
      <c r="B43" s="18" t="s">
        <v>239</v>
      </c>
      <c r="C43" s="18" t="s">
        <v>588</v>
      </c>
      <c r="D43" s="18" t="s">
        <v>592</v>
      </c>
      <c r="E43" s="18" t="s">
        <v>584</v>
      </c>
      <c r="F43" s="18" t="s">
        <v>592</v>
      </c>
      <c r="G43" s="18">
        <v>605</v>
      </c>
      <c r="H43" s="18" t="s">
        <v>923</v>
      </c>
      <c r="I43" s="18" t="str">
        <f>_xlfn.XLOOKUP(CleanData_[[#This Row],[SAP Match Key]],PhysicalData_1[Physical Match Key],PhysicalData_1[Batch Code],"Mismatch")</f>
        <v>Mismatch</v>
      </c>
      <c r="J4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SCH6B017A</v>
      </c>
      <c r="K4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SCH6B017A</v>
      </c>
      <c r="L43" s="18" t="str">
        <f>_xlfn.XLOOKUP(CleanData_[[#This Row],[Batch To Pull]],PhysicalData_1[Batch Code],PhysicalData_1[Physical Expiry Month]," ")</f>
        <v>January</v>
      </c>
      <c r="M43" s="18">
        <f>_xlfn.XLOOKUP(CleanData_[[#This Row],[Batch To Pull]],PhysicalData_1[Batch Code],PhysicalData_1[Quantity (physical)]," ")</f>
        <v>461</v>
      </c>
    </row>
    <row r="44" spans="1:13" x14ac:dyDescent="0.35">
      <c r="A44" s="18" t="s">
        <v>764</v>
      </c>
      <c r="B44" s="18" t="s">
        <v>241</v>
      </c>
      <c r="C44" s="18" t="s">
        <v>590</v>
      </c>
      <c r="D44" s="18" t="s">
        <v>593</v>
      </c>
      <c r="E44" s="18" t="s">
        <v>584</v>
      </c>
      <c r="F44" s="18" t="s">
        <v>593</v>
      </c>
      <c r="G44" s="18">
        <v>2630</v>
      </c>
      <c r="H44" s="18" t="s">
        <v>835</v>
      </c>
      <c r="I44" s="18" t="str">
        <f>_xlfn.XLOOKUP(CleanData_[[#This Row],[SAP Match Key]],PhysicalData_1[Physical Match Key],PhysicalData_1[Batch Code],"Mismatch")</f>
        <v>SCH6E033A</v>
      </c>
      <c r="J4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4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SCH6E033A</v>
      </c>
      <c r="L44" s="18" t="str">
        <f>_xlfn.XLOOKUP(CleanData_[[#This Row],[Batch To Pull]],PhysicalData_1[Batch Code],PhysicalData_1[Physical Expiry Month]," ")</f>
        <v>April</v>
      </c>
      <c r="M44" s="18">
        <f>_xlfn.XLOOKUP(CleanData_[[#This Row],[Batch To Pull]],PhysicalData_1[Batch Code],PhysicalData_1[Quantity (physical)]," ")</f>
        <v>680</v>
      </c>
    </row>
    <row r="45" spans="1:13" x14ac:dyDescent="0.35">
      <c r="A45" s="18" t="s">
        <v>764</v>
      </c>
      <c r="B45" s="18" t="s">
        <v>243</v>
      </c>
      <c r="C45" s="18" t="s">
        <v>593</v>
      </c>
      <c r="D45" s="18" t="s">
        <v>593</v>
      </c>
      <c r="E45" s="18" t="s">
        <v>585</v>
      </c>
      <c r="F45" s="18" t="s">
        <v>593</v>
      </c>
      <c r="G45" s="18">
        <v>805</v>
      </c>
      <c r="H45" s="18" t="s">
        <v>924</v>
      </c>
      <c r="I45" s="18" t="str">
        <f>_xlfn.XLOOKUP(CleanData_[[#This Row],[SAP Match Key]],PhysicalData_1[Physical Match Key],PhysicalData_1[Batch Code],"Mismatch")</f>
        <v>Mismatch</v>
      </c>
      <c r="J4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4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45" s="18" t="str">
        <f>_xlfn.XLOOKUP(CleanData_[[#This Row],[Batch To Pull]],PhysicalData_1[Batch Code],PhysicalData_1[Physical Expiry Month]," ")</f>
        <v xml:space="preserve"> </v>
      </c>
      <c r="M45" s="18" t="str">
        <f>_xlfn.XLOOKUP(CleanData_[[#This Row],[Batch To Pull]],PhysicalData_1[Batch Code],PhysicalData_1[Quantity (physical)]," ")</f>
        <v xml:space="preserve"> </v>
      </c>
    </row>
    <row r="46" spans="1:13" x14ac:dyDescent="0.35">
      <c r="A46" s="18" t="s">
        <v>765</v>
      </c>
      <c r="B46" s="18" t="s">
        <v>257</v>
      </c>
      <c r="C46" s="18" t="s">
        <v>588</v>
      </c>
      <c r="D46" s="18" t="s">
        <v>588</v>
      </c>
      <c r="E46" s="18" t="s">
        <v>585</v>
      </c>
      <c r="F46" s="18" t="s">
        <v>588</v>
      </c>
      <c r="G46" s="18">
        <v>325</v>
      </c>
      <c r="H46" s="18" t="s">
        <v>925</v>
      </c>
      <c r="I46" s="18" t="str">
        <f>_xlfn.XLOOKUP(CleanData_[[#This Row],[SAP Match Key]],PhysicalData_1[Physical Match Key],PhysicalData_1[Batch Code],"Mismatch")</f>
        <v>Mismatch</v>
      </c>
      <c r="J4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4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46" s="18" t="str">
        <f>_xlfn.XLOOKUP(CleanData_[[#This Row],[Batch To Pull]],PhysicalData_1[Batch Code],PhysicalData_1[Physical Expiry Month]," ")</f>
        <v xml:space="preserve"> </v>
      </c>
      <c r="M46" s="18" t="str">
        <f>_xlfn.XLOOKUP(CleanData_[[#This Row],[Batch To Pull]],PhysicalData_1[Batch Code],PhysicalData_1[Quantity (physical)]," ")</f>
        <v xml:space="preserve"> </v>
      </c>
    </row>
    <row r="47" spans="1:13" x14ac:dyDescent="0.35">
      <c r="A47" s="18" t="s">
        <v>765</v>
      </c>
      <c r="B47" s="18" t="s">
        <v>259</v>
      </c>
      <c r="C47" s="18" t="s">
        <v>590</v>
      </c>
      <c r="D47" s="18" t="s">
        <v>590</v>
      </c>
      <c r="E47" s="18" t="s">
        <v>585</v>
      </c>
      <c r="F47" s="18" t="s">
        <v>590</v>
      </c>
      <c r="G47" s="18">
        <v>990</v>
      </c>
      <c r="H47" s="18" t="s">
        <v>926</v>
      </c>
      <c r="I47" s="18" t="str">
        <f>_xlfn.XLOOKUP(CleanData_[[#This Row],[SAP Match Key]],PhysicalData_1[Physical Match Key],PhysicalData_1[Batch Code],"Mismatch")</f>
        <v>Mismatch</v>
      </c>
      <c r="J4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SCH6E028A</v>
      </c>
      <c r="K4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SCH6E028A</v>
      </c>
      <c r="L47" s="18" t="str">
        <f>_xlfn.XLOOKUP(CleanData_[[#This Row],[Batch To Pull]],PhysicalData_1[Batch Code],PhysicalData_1[Physical Expiry Month]," ")</f>
        <v>April</v>
      </c>
      <c r="M47" s="18">
        <f>_xlfn.XLOOKUP(CleanData_[[#This Row],[Batch To Pull]],PhysicalData_1[Batch Code],PhysicalData_1[Quantity (physical)]," ")</f>
        <v>922</v>
      </c>
    </row>
    <row r="48" spans="1:13" x14ac:dyDescent="0.35">
      <c r="A48" s="18" t="s">
        <v>765</v>
      </c>
      <c r="B48" s="18" t="s">
        <v>261</v>
      </c>
      <c r="C48" s="18" t="s">
        <v>590</v>
      </c>
      <c r="D48" s="18" t="s">
        <v>593</v>
      </c>
      <c r="E48" s="18" t="s">
        <v>584</v>
      </c>
      <c r="F48" s="18" t="s">
        <v>593</v>
      </c>
      <c r="G48" s="18">
        <v>1695</v>
      </c>
      <c r="H48" s="18" t="s">
        <v>833</v>
      </c>
      <c r="I48" s="18" t="str">
        <f>_xlfn.XLOOKUP(CleanData_[[#This Row],[SAP Match Key]],PhysicalData_1[Physical Match Key],PhysicalData_1[Batch Code],"Mismatch")</f>
        <v>SCH6E028A</v>
      </c>
      <c r="J4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4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SCH6E028A</v>
      </c>
      <c r="L48" s="18" t="str">
        <f>_xlfn.XLOOKUP(CleanData_[[#This Row],[Batch To Pull]],PhysicalData_1[Batch Code],PhysicalData_1[Physical Expiry Month]," ")</f>
        <v>April</v>
      </c>
      <c r="M48" s="18">
        <f>_xlfn.XLOOKUP(CleanData_[[#This Row],[Batch To Pull]],PhysicalData_1[Batch Code],PhysicalData_1[Quantity (physical)]," ")</f>
        <v>922</v>
      </c>
    </row>
    <row r="49" spans="1:13" x14ac:dyDescent="0.35">
      <c r="A49" s="18" t="s">
        <v>765</v>
      </c>
      <c r="B49" s="18" t="s">
        <v>263</v>
      </c>
      <c r="C49" s="18" t="s">
        <v>590</v>
      </c>
      <c r="D49" s="18" t="s">
        <v>593</v>
      </c>
      <c r="E49" s="18" t="s">
        <v>584</v>
      </c>
      <c r="F49" s="18" t="s">
        <v>593</v>
      </c>
      <c r="G49" s="18">
        <v>1925</v>
      </c>
      <c r="H49" s="18" t="s">
        <v>927</v>
      </c>
      <c r="I49" s="18" t="str">
        <f>_xlfn.XLOOKUP(CleanData_[[#This Row],[SAP Match Key]],PhysicalData_1[Physical Match Key],PhysicalData_1[Batch Code],"Mismatch")</f>
        <v>Mismatch</v>
      </c>
      <c r="J4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SCH6E028A</v>
      </c>
      <c r="K4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SCH6E028A</v>
      </c>
      <c r="L49" s="18" t="str">
        <f>_xlfn.XLOOKUP(CleanData_[[#This Row],[Batch To Pull]],PhysicalData_1[Batch Code],PhysicalData_1[Physical Expiry Month]," ")</f>
        <v>April</v>
      </c>
      <c r="M49" s="18">
        <f>_xlfn.XLOOKUP(CleanData_[[#This Row],[Batch To Pull]],PhysicalData_1[Batch Code],PhysicalData_1[Quantity (physical)]," ")</f>
        <v>922</v>
      </c>
    </row>
    <row r="50" spans="1:13" x14ac:dyDescent="0.35">
      <c r="A50" s="18" t="s">
        <v>766</v>
      </c>
      <c r="B50" s="18" t="s">
        <v>266</v>
      </c>
      <c r="C50" s="18" t="s">
        <v>592</v>
      </c>
      <c r="D50" s="18" t="s">
        <v>592</v>
      </c>
      <c r="E50" s="18" t="s">
        <v>585</v>
      </c>
      <c r="F50" s="18" t="s">
        <v>592</v>
      </c>
      <c r="G50" s="18">
        <v>392.5</v>
      </c>
      <c r="H50" s="18" t="s">
        <v>928</v>
      </c>
      <c r="I50" s="18" t="str">
        <f>_xlfn.XLOOKUP(CleanData_[[#This Row],[SAP Match Key]],PhysicalData_1[Physical Match Key],PhysicalData_1[Batch Code],"Mismatch")</f>
        <v>Mismatch</v>
      </c>
      <c r="J5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SCH6C022A</v>
      </c>
      <c r="K5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SCH6C022A</v>
      </c>
      <c r="L50" s="18" t="str">
        <f>_xlfn.XLOOKUP(CleanData_[[#This Row],[Batch To Pull]],PhysicalData_1[Batch Code],PhysicalData_1[Physical Expiry Month]," ")</f>
        <v>February</v>
      </c>
      <c r="M50" s="18">
        <f>_xlfn.XLOOKUP(CleanData_[[#This Row],[Batch To Pull]],PhysicalData_1[Batch Code],PhysicalData_1[Quantity (physical)]," ")</f>
        <v>212</v>
      </c>
    </row>
    <row r="51" spans="1:13" x14ac:dyDescent="0.35">
      <c r="A51" s="18" t="s">
        <v>766</v>
      </c>
      <c r="B51" s="18" t="s">
        <v>268</v>
      </c>
      <c r="C51" s="18" t="s">
        <v>590</v>
      </c>
      <c r="D51" s="18" t="s">
        <v>590</v>
      </c>
      <c r="E51" s="18" t="s">
        <v>585</v>
      </c>
      <c r="F51" s="18" t="s">
        <v>590</v>
      </c>
      <c r="G51" s="18">
        <v>1375</v>
      </c>
      <c r="H51" s="18" t="s">
        <v>831</v>
      </c>
      <c r="I51" s="18" t="str">
        <f>_xlfn.XLOOKUP(CleanData_[[#This Row],[SAP Match Key]],PhysicalData_1[Physical Match Key],PhysicalData_1[Batch Code],"Mismatch")</f>
        <v>SCH6E025A</v>
      </c>
      <c r="J5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SCH6E025A</v>
      </c>
      <c r="L51" s="18" t="str">
        <f>_xlfn.XLOOKUP(CleanData_[[#This Row],[Batch To Pull]],PhysicalData_1[Batch Code],PhysicalData_1[Physical Expiry Month]," ")</f>
        <v>April</v>
      </c>
      <c r="M51" s="18">
        <f>_xlfn.XLOOKUP(CleanData_[[#This Row],[Batch To Pull]],PhysicalData_1[Batch Code],PhysicalData_1[Quantity (physical)]," ")</f>
        <v>550</v>
      </c>
    </row>
    <row r="52" spans="1:13" x14ac:dyDescent="0.35">
      <c r="A52" s="18" t="s">
        <v>767</v>
      </c>
      <c r="B52" s="18" t="s">
        <v>111</v>
      </c>
      <c r="C52" s="18" t="s">
        <v>592</v>
      </c>
      <c r="D52" s="18" t="s">
        <v>594</v>
      </c>
      <c r="E52" s="18" t="s">
        <v>584</v>
      </c>
      <c r="F52" s="18" t="s">
        <v>594</v>
      </c>
      <c r="G52" s="18">
        <v>764</v>
      </c>
      <c r="H52" s="18" t="s">
        <v>929</v>
      </c>
      <c r="I52" s="18" t="str">
        <f>_xlfn.XLOOKUP(CleanData_[[#This Row],[SAP Match Key]],PhysicalData_1[Physical Match Key],PhysicalData_1[Batch Code],"Mismatch")</f>
        <v>Mismatch</v>
      </c>
      <c r="J5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SCH6C010</v>
      </c>
      <c r="K5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SCH6C010</v>
      </c>
      <c r="L52" s="18" t="str">
        <f>_xlfn.XLOOKUP(CleanData_[[#This Row],[Batch To Pull]],PhysicalData_1[Batch Code],PhysicalData_1[Physical Expiry Month]," ")</f>
        <v>February</v>
      </c>
      <c r="M52" s="18">
        <f>_xlfn.XLOOKUP(CleanData_[[#This Row],[Batch To Pull]],PhysicalData_1[Batch Code],PhysicalData_1[Quantity (physical)]," ")</f>
        <v>648</v>
      </c>
    </row>
    <row r="53" spans="1:13" x14ac:dyDescent="0.35">
      <c r="A53" s="18" t="s">
        <v>767</v>
      </c>
      <c r="B53" s="18" t="s">
        <v>113</v>
      </c>
      <c r="C53" s="18" t="s">
        <v>592</v>
      </c>
      <c r="D53" s="18" t="s">
        <v>594</v>
      </c>
      <c r="E53" s="18" t="s">
        <v>584</v>
      </c>
      <c r="F53" s="18" t="s">
        <v>594</v>
      </c>
      <c r="G53" s="18">
        <v>268</v>
      </c>
      <c r="H53" s="18" t="s">
        <v>837</v>
      </c>
      <c r="I53" s="18" t="str">
        <f>_xlfn.XLOOKUP(CleanData_[[#This Row],[SAP Match Key]],PhysicalData_1[Physical Match Key],PhysicalData_1[Batch Code],"Mismatch")</f>
        <v>SCH6C010</v>
      </c>
      <c r="J5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SCH6C010</v>
      </c>
      <c r="L53" s="18" t="str">
        <f>_xlfn.XLOOKUP(CleanData_[[#This Row],[Batch To Pull]],PhysicalData_1[Batch Code],PhysicalData_1[Physical Expiry Month]," ")</f>
        <v>February</v>
      </c>
      <c r="M53" s="18">
        <f>_xlfn.XLOOKUP(CleanData_[[#This Row],[Batch To Pull]],PhysicalData_1[Batch Code],PhysicalData_1[Quantity (physical)]," ")</f>
        <v>648</v>
      </c>
    </row>
    <row r="54" spans="1:13" x14ac:dyDescent="0.35">
      <c r="A54" s="18" t="s">
        <v>767</v>
      </c>
      <c r="B54" s="18" t="s">
        <v>115</v>
      </c>
      <c r="C54" s="18" t="s">
        <v>593</v>
      </c>
      <c r="D54" s="18" t="s">
        <v>593</v>
      </c>
      <c r="E54" s="18" t="s">
        <v>585</v>
      </c>
      <c r="F54" s="18" t="s">
        <v>593</v>
      </c>
      <c r="G54" s="18">
        <v>812</v>
      </c>
      <c r="H54" s="18" t="s">
        <v>930</v>
      </c>
      <c r="I54" s="18" t="str">
        <f>_xlfn.XLOOKUP(CleanData_[[#This Row],[SAP Match Key]],PhysicalData_1[Physical Match Key],PhysicalData_1[Batch Code],"Mismatch")</f>
        <v>Mismatch</v>
      </c>
      <c r="J5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5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54" s="18" t="str">
        <f>_xlfn.XLOOKUP(CleanData_[[#This Row],[Batch To Pull]],PhysicalData_1[Batch Code],PhysicalData_1[Physical Expiry Month]," ")</f>
        <v xml:space="preserve"> </v>
      </c>
      <c r="M54" s="18" t="str">
        <f>_xlfn.XLOOKUP(CleanData_[[#This Row],[Batch To Pull]],PhysicalData_1[Batch Code],PhysicalData_1[Quantity (physical)]," ")</f>
        <v xml:space="preserve"> </v>
      </c>
    </row>
    <row r="55" spans="1:13" x14ac:dyDescent="0.35">
      <c r="A55" s="18" t="s">
        <v>767</v>
      </c>
      <c r="B55" s="18" t="s">
        <v>117</v>
      </c>
      <c r="C55" s="18" t="s">
        <v>593</v>
      </c>
      <c r="D55" s="18" t="s">
        <v>593</v>
      </c>
      <c r="E55" s="18" t="s">
        <v>585</v>
      </c>
      <c r="F55" s="18" t="s">
        <v>593</v>
      </c>
      <c r="G55" s="18">
        <v>916</v>
      </c>
      <c r="H55" s="18" t="s">
        <v>931</v>
      </c>
      <c r="I55" s="18" t="str">
        <f>_xlfn.XLOOKUP(CleanData_[[#This Row],[SAP Match Key]],PhysicalData_1[Physical Match Key],PhysicalData_1[Batch Code],"Mismatch")</f>
        <v>Mismatch</v>
      </c>
      <c r="J5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5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55" s="18" t="str">
        <f>_xlfn.XLOOKUP(CleanData_[[#This Row],[Batch To Pull]],PhysicalData_1[Batch Code],PhysicalData_1[Physical Expiry Month]," ")</f>
        <v xml:space="preserve"> </v>
      </c>
      <c r="M55" s="18" t="str">
        <f>_xlfn.XLOOKUP(CleanData_[[#This Row],[Batch To Pull]],PhysicalData_1[Batch Code],PhysicalData_1[Quantity (physical)]," ")</f>
        <v xml:space="preserve"> </v>
      </c>
    </row>
    <row r="56" spans="1:13" x14ac:dyDescent="0.35">
      <c r="A56" s="18" t="s">
        <v>768</v>
      </c>
      <c r="B56" s="18" t="s">
        <v>540</v>
      </c>
      <c r="C56" s="18" t="s">
        <v>597</v>
      </c>
      <c r="D56" s="18" t="s">
        <v>590</v>
      </c>
      <c r="E56" s="18" t="s">
        <v>584</v>
      </c>
      <c r="F56" s="18" t="s">
        <v>590</v>
      </c>
      <c r="G56" s="18">
        <v>6920</v>
      </c>
      <c r="H56" s="18" t="s">
        <v>838</v>
      </c>
      <c r="I56" s="18" t="str">
        <f>_xlfn.XLOOKUP(CleanData_[[#This Row],[SAP Match Key]],PhysicalData_1[Physical Match Key],PhysicalData_1[Batch Code],"Mismatch")</f>
        <v>SCH5L259</v>
      </c>
      <c r="J5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SCH5L259</v>
      </c>
      <c r="L56" s="18" t="str">
        <f>_xlfn.XLOOKUP(CleanData_[[#This Row],[Batch To Pull]],PhysicalData_1[Batch Code],PhysicalData_1[Physical Expiry Month]," ")</f>
        <v>November</v>
      </c>
      <c r="M56" s="18">
        <f>_xlfn.XLOOKUP(CleanData_[[#This Row],[Batch To Pull]],PhysicalData_1[Batch Code],PhysicalData_1[Quantity (physical)]," ")</f>
        <v>1910</v>
      </c>
    </row>
    <row r="57" spans="1:13" x14ac:dyDescent="0.35">
      <c r="A57" s="18" t="s">
        <v>768</v>
      </c>
      <c r="B57" s="18" t="s">
        <v>542</v>
      </c>
      <c r="C57" s="18" t="s">
        <v>592</v>
      </c>
      <c r="D57" s="18" t="s">
        <v>590</v>
      </c>
      <c r="E57" s="18" t="s">
        <v>584</v>
      </c>
      <c r="F57" s="18" t="s">
        <v>590</v>
      </c>
      <c r="G57" s="18">
        <v>3340</v>
      </c>
      <c r="H57" s="18" t="s">
        <v>840</v>
      </c>
      <c r="I57" s="18" t="str">
        <f>_xlfn.XLOOKUP(CleanData_[[#This Row],[SAP Match Key]],PhysicalData_1[Physical Match Key],PhysicalData_1[Batch Code],"Mismatch")</f>
        <v>SCH6C272</v>
      </c>
      <c r="J5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SCH6C272</v>
      </c>
      <c r="L57" s="18" t="str">
        <f>_xlfn.XLOOKUP(CleanData_[[#This Row],[Batch To Pull]],PhysicalData_1[Batch Code],PhysicalData_1[Physical Expiry Month]," ")</f>
        <v>February</v>
      </c>
      <c r="M57" s="18">
        <f>_xlfn.XLOOKUP(CleanData_[[#This Row],[Batch To Pull]],PhysicalData_1[Batch Code],PhysicalData_1[Quantity (physical)]," ")</f>
        <v>1321</v>
      </c>
    </row>
    <row r="58" spans="1:13" x14ac:dyDescent="0.35">
      <c r="A58" s="18" t="s">
        <v>768</v>
      </c>
      <c r="B58" s="18" t="s">
        <v>544</v>
      </c>
      <c r="C58" s="18" t="s">
        <v>594</v>
      </c>
      <c r="D58" s="18" t="s">
        <v>593</v>
      </c>
      <c r="E58" s="18" t="s">
        <v>584</v>
      </c>
      <c r="F58" s="18" t="s">
        <v>593</v>
      </c>
      <c r="G58" s="18">
        <v>34570</v>
      </c>
      <c r="H58" s="18" t="s">
        <v>841</v>
      </c>
      <c r="I58" s="18" t="str">
        <f>_xlfn.XLOOKUP(CleanData_[[#This Row],[SAP Match Key]],PhysicalData_1[Physical Match Key],PhysicalData_1[Batch Code],"Mismatch")</f>
        <v>SCH6D279</v>
      </c>
      <c r="J5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SCH6D279</v>
      </c>
      <c r="L58" s="18" t="str">
        <f>_xlfn.XLOOKUP(CleanData_[[#This Row],[Batch To Pull]],PhysicalData_1[Batch Code],PhysicalData_1[Physical Expiry Month]," ")</f>
        <v>March</v>
      </c>
      <c r="M58" s="18">
        <f>_xlfn.XLOOKUP(CleanData_[[#This Row],[Batch To Pull]],PhysicalData_1[Batch Code],PhysicalData_1[Quantity (physical)]," ")</f>
        <v>2770</v>
      </c>
    </row>
    <row r="59" spans="1:13" x14ac:dyDescent="0.35">
      <c r="A59" s="18" t="s">
        <v>769</v>
      </c>
      <c r="B59" s="18" t="s">
        <v>542</v>
      </c>
      <c r="C59" s="18" t="s">
        <v>592</v>
      </c>
      <c r="D59" s="18" t="s">
        <v>590</v>
      </c>
      <c r="E59" s="18" t="s">
        <v>584</v>
      </c>
      <c r="F59" s="18" t="s">
        <v>590</v>
      </c>
      <c r="G59" s="18">
        <v>3340</v>
      </c>
      <c r="H59" s="18" t="s">
        <v>843</v>
      </c>
      <c r="I59" s="18" t="str">
        <f>_xlfn.XLOOKUP(CleanData_[[#This Row],[SAP Match Key]],PhysicalData_1[Physical Match Key],PhysicalData_1[Batch Code],"Mismatch")</f>
        <v>SCH6C272</v>
      </c>
      <c r="J5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5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SCH6C272</v>
      </c>
      <c r="L59" s="18" t="str">
        <f>_xlfn.XLOOKUP(CleanData_[[#This Row],[Batch To Pull]],PhysicalData_1[Batch Code],PhysicalData_1[Physical Expiry Month]," ")</f>
        <v>February</v>
      </c>
      <c r="M59" s="18">
        <f>_xlfn.XLOOKUP(CleanData_[[#This Row],[Batch To Pull]],PhysicalData_1[Batch Code],PhysicalData_1[Quantity (physical)]," ")</f>
        <v>1321</v>
      </c>
    </row>
    <row r="60" spans="1:13" x14ac:dyDescent="0.35">
      <c r="A60" s="18" t="s">
        <v>770</v>
      </c>
      <c r="B60" s="18" t="s">
        <v>413</v>
      </c>
      <c r="C60" s="18" t="s">
        <v>591</v>
      </c>
      <c r="D60" s="18" t="s">
        <v>591</v>
      </c>
      <c r="E60" s="18" t="s">
        <v>585</v>
      </c>
      <c r="F60" s="18" t="s">
        <v>591</v>
      </c>
      <c r="G60" s="18">
        <v>884</v>
      </c>
      <c r="H60" s="18" t="s">
        <v>845</v>
      </c>
      <c r="I60" s="18" t="str">
        <f>_xlfn.XLOOKUP(CleanData_[[#This Row],[SAP Match Key]],PhysicalData_1[Physical Match Key],PhysicalData_1[Batch Code],"Mismatch")</f>
        <v>SCH5G00116</v>
      </c>
      <c r="J6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6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SCH5G00116</v>
      </c>
      <c r="L60" s="18" t="str">
        <f>_xlfn.XLOOKUP(CleanData_[[#This Row],[Batch To Pull]],PhysicalData_1[Batch Code],PhysicalData_1[Physical Expiry Month]," ")</f>
        <v>June</v>
      </c>
      <c r="M60" s="18">
        <f>_xlfn.XLOOKUP(CleanData_[[#This Row],[Batch To Pull]],PhysicalData_1[Batch Code],PhysicalData_1[Quantity (physical)]," ")</f>
        <v>442</v>
      </c>
    </row>
    <row r="61" spans="1:13" x14ac:dyDescent="0.35">
      <c r="A61" s="18" t="s">
        <v>771</v>
      </c>
      <c r="B61" s="18" t="s">
        <v>406</v>
      </c>
      <c r="C61" s="18" t="s">
        <v>593</v>
      </c>
      <c r="D61" s="18" t="s">
        <v>593</v>
      </c>
      <c r="E61" s="18" t="s">
        <v>585</v>
      </c>
      <c r="F61" s="18" t="s">
        <v>593</v>
      </c>
      <c r="G61" s="18">
        <v>1217</v>
      </c>
      <c r="H61" s="18" t="s">
        <v>932</v>
      </c>
      <c r="I61" s="18" t="str">
        <f>_xlfn.XLOOKUP(CleanData_[[#This Row],[SAP Match Key]],PhysicalData_1[Physical Match Key],PhysicalData_1[Batch Code],"Mismatch")</f>
        <v>Mismatch</v>
      </c>
      <c r="J6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SCH5F00076</v>
      </c>
      <c r="K6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SCH5F00076</v>
      </c>
      <c r="L61" s="18" t="str">
        <f>_xlfn.XLOOKUP(CleanData_[[#This Row],[Batch To Pull]],PhysicalData_1[Batch Code],PhysicalData_1[Physical Expiry Month]," ")</f>
        <v>May</v>
      </c>
      <c r="M61" s="18">
        <f>_xlfn.XLOOKUP(CleanData_[[#This Row],[Batch To Pull]],PhysicalData_1[Batch Code],PhysicalData_1[Quantity (physical)]," ")</f>
        <v>6427</v>
      </c>
    </row>
    <row r="62" spans="1:13" x14ac:dyDescent="0.35">
      <c r="A62" s="18" t="s">
        <v>771</v>
      </c>
      <c r="B62" s="18" t="s">
        <v>408</v>
      </c>
      <c r="C62" s="18" t="s">
        <v>593</v>
      </c>
      <c r="D62" s="18" t="s">
        <v>593</v>
      </c>
      <c r="E62" s="18" t="s">
        <v>585</v>
      </c>
      <c r="F62" s="18" t="s">
        <v>593</v>
      </c>
      <c r="G62" s="18">
        <v>1972</v>
      </c>
      <c r="H62" s="18" t="s">
        <v>933</v>
      </c>
      <c r="I62" s="18" t="str">
        <f>_xlfn.XLOOKUP(CleanData_[[#This Row],[SAP Match Key]],PhysicalData_1[Physical Match Key],PhysicalData_1[Batch Code],"Mismatch")</f>
        <v>Mismatch</v>
      </c>
      <c r="J6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SCH5F00076</v>
      </c>
      <c r="K6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SCH5F00076</v>
      </c>
      <c r="L62" s="18" t="str">
        <f>_xlfn.XLOOKUP(CleanData_[[#This Row],[Batch To Pull]],PhysicalData_1[Batch Code],PhysicalData_1[Physical Expiry Month]," ")</f>
        <v>May</v>
      </c>
      <c r="M62" s="18">
        <f>_xlfn.XLOOKUP(CleanData_[[#This Row],[Batch To Pull]],PhysicalData_1[Batch Code],PhysicalData_1[Quantity (physical)]," ")</f>
        <v>6427</v>
      </c>
    </row>
    <row r="63" spans="1:13" x14ac:dyDescent="0.35">
      <c r="A63" s="18" t="s">
        <v>771</v>
      </c>
      <c r="B63" s="18" t="s">
        <v>410</v>
      </c>
      <c r="C63" s="18" t="s">
        <v>593</v>
      </c>
      <c r="D63" s="18" t="s">
        <v>593</v>
      </c>
      <c r="E63" s="18" t="s">
        <v>585</v>
      </c>
      <c r="F63" s="18" t="s">
        <v>593</v>
      </c>
      <c r="G63" s="18">
        <v>3238</v>
      </c>
      <c r="H63" s="18" t="s">
        <v>844</v>
      </c>
      <c r="I63" s="18" t="str">
        <f>_xlfn.XLOOKUP(CleanData_[[#This Row],[SAP Match Key]],PhysicalData_1[Physical Match Key],PhysicalData_1[Batch Code],"Mismatch")</f>
        <v>SCH5F00076</v>
      </c>
      <c r="J6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6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SCH5F00076</v>
      </c>
      <c r="L63" s="18" t="str">
        <f>_xlfn.XLOOKUP(CleanData_[[#This Row],[Batch To Pull]],PhysicalData_1[Batch Code],PhysicalData_1[Physical Expiry Month]," ")</f>
        <v>May</v>
      </c>
      <c r="M63" s="18">
        <f>_xlfn.XLOOKUP(CleanData_[[#This Row],[Batch To Pull]],PhysicalData_1[Batch Code],PhysicalData_1[Quantity (physical)]," ")</f>
        <v>6427</v>
      </c>
    </row>
    <row r="64" spans="1:13" x14ac:dyDescent="0.35">
      <c r="A64" s="18" t="s">
        <v>772</v>
      </c>
      <c r="B64" s="18" t="s">
        <v>284</v>
      </c>
      <c r="C64" s="18" t="s">
        <v>590</v>
      </c>
      <c r="D64" s="18" t="s">
        <v>594</v>
      </c>
      <c r="E64" s="18" t="s">
        <v>584</v>
      </c>
      <c r="F64" s="18" t="s">
        <v>594</v>
      </c>
      <c r="G64" s="18">
        <v>30</v>
      </c>
      <c r="H64" s="18" t="s">
        <v>934</v>
      </c>
      <c r="I64" s="18" t="str">
        <f>_xlfn.XLOOKUP(CleanData_[[#This Row],[SAP Match Key]],PhysicalData_1[Physical Match Key],PhysicalData_1[Batch Code],"Mismatch")</f>
        <v>Mismatch</v>
      </c>
      <c r="J6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SCH5ES1011</v>
      </c>
      <c r="K6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SCH5ES1011</v>
      </c>
      <c r="L64" s="18" t="str">
        <f>_xlfn.XLOOKUP(CleanData_[[#This Row],[Batch To Pull]],PhysicalData_1[Batch Code],PhysicalData_1[Physical Expiry Month]," ")</f>
        <v>April</v>
      </c>
      <c r="M64" s="18">
        <f>_xlfn.XLOOKUP(CleanData_[[#This Row],[Batch To Pull]],PhysicalData_1[Batch Code],PhysicalData_1[Quantity (physical)]," ")</f>
        <v>135</v>
      </c>
    </row>
    <row r="65" spans="1:13" x14ac:dyDescent="0.35">
      <c r="A65" s="18" t="s">
        <v>773</v>
      </c>
      <c r="B65" s="18" t="s">
        <v>324</v>
      </c>
      <c r="C65" s="18" t="s">
        <v>590</v>
      </c>
      <c r="D65" s="18" t="s">
        <v>590</v>
      </c>
      <c r="E65" s="18" t="s">
        <v>585</v>
      </c>
      <c r="F65" s="18" t="s">
        <v>590</v>
      </c>
      <c r="G65" s="18">
        <v>426</v>
      </c>
      <c r="H65" s="18" t="s">
        <v>935</v>
      </c>
      <c r="I65" s="18" t="str">
        <f>_xlfn.XLOOKUP(CleanData_[[#This Row],[SAP Match Key]],PhysicalData_1[Physical Match Key],PhysicalData_1[Batch Code],"Mismatch")</f>
        <v>Mismatch</v>
      </c>
      <c r="J6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6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65" s="18" t="str">
        <f>_xlfn.XLOOKUP(CleanData_[[#This Row],[Batch To Pull]],PhysicalData_1[Batch Code],PhysicalData_1[Physical Expiry Month]," ")</f>
        <v xml:space="preserve"> </v>
      </c>
      <c r="M65" s="18" t="str">
        <f>_xlfn.XLOOKUP(CleanData_[[#This Row],[Batch To Pull]],PhysicalData_1[Batch Code],PhysicalData_1[Quantity (physical)]," ")</f>
        <v xml:space="preserve"> </v>
      </c>
    </row>
    <row r="66" spans="1:13" x14ac:dyDescent="0.35">
      <c r="A66" s="18" t="s">
        <v>774</v>
      </c>
      <c r="B66" s="18" t="s">
        <v>322</v>
      </c>
      <c r="C66" s="18" t="s">
        <v>594</v>
      </c>
      <c r="D66" s="18" t="s">
        <v>594</v>
      </c>
      <c r="E66" s="18" t="s">
        <v>585</v>
      </c>
      <c r="F66" s="18" t="s">
        <v>594</v>
      </c>
      <c r="G66" s="18">
        <v>100</v>
      </c>
      <c r="H66" s="18" t="s">
        <v>888</v>
      </c>
      <c r="I66" s="18" t="str">
        <f>_xlfn.XLOOKUP(CleanData_[[#This Row],[SAP Match Key]],PhysicalData_1[Physical Match Key],PhysicalData_1[Batch Code],"Mismatch")</f>
        <v>SCH6DW1037</v>
      </c>
      <c r="J6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6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SCH6DW1037</v>
      </c>
      <c r="L66" s="18" t="str">
        <f>_xlfn.XLOOKUP(CleanData_[[#This Row],[Batch To Pull]],PhysicalData_1[Batch Code],PhysicalData_1[Physical Expiry Month]," ")</f>
        <v>March</v>
      </c>
      <c r="M66" s="18">
        <f>_xlfn.XLOOKUP(CleanData_[[#This Row],[Batch To Pull]],PhysicalData_1[Batch Code],PhysicalData_1[Quantity (physical)]," ")</f>
        <v>50</v>
      </c>
    </row>
    <row r="67" spans="1:13" x14ac:dyDescent="0.35">
      <c r="A67" s="18" t="s">
        <v>774</v>
      </c>
      <c r="B67" s="18" t="s">
        <v>324</v>
      </c>
      <c r="C67" s="18" t="s">
        <v>590</v>
      </c>
      <c r="D67" s="18" t="s">
        <v>591</v>
      </c>
      <c r="E67" s="18" t="s">
        <v>584</v>
      </c>
      <c r="F67" s="18" t="s">
        <v>591</v>
      </c>
      <c r="G67" s="18">
        <v>426</v>
      </c>
      <c r="H67" s="18" t="s">
        <v>936</v>
      </c>
      <c r="I67" s="18" t="str">
        <f>_xlfn.XLOOKUP(CleanData_[[#This Row],[SAP Match Key]],PhysicalData_1[Physical Match Key],PhysicalData_1[Batch Code],"Mismatch")</f>
        <v>Mismatch</v>
      </c>
      <c r="J6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6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67" s="18" t="str">
        <f>_xlfn.XLOOKUP(CleanData_[[#This Row],[Batch To Pull]],PhysicalData_1[Batch Code],PhysicalData_1[Physical Expiry Month]," ")</f>
        <v xml:space="preserve"> </v>
      </c>
      <c r="M67" s="18" t="str">
        <f>_xlfn.XLOOKUP(CleanData_[[#This Row],[Batch To Pull]],PhysicalData_1[Batch Code],PhysicalData_1[Quantity (physical)]," ")</f>
        <v xml:space="preserve"> </v>
      </c>
    </row>
    <row r="68" spans="1:13" x14ac:dyDescent="0.35">
      <c r="A68" s="18" t="s">
        <v>775</v>
      </c>
      <c r="B68" s="18" t="s">
        <v>343</v>
      </c>
      <c r="C68" s="18" t="s">
        <v>594</v>
      </c>
      <c r="D68" s="18" t="s">
        <v>594</v>
      </c>
      <c r="E68" s="18" t="s">
        <v>585</v>
      </c>
      <c r="F68" s="18" t="s">
        <v>594</v>
      </c>
      <c r="G68" s="18">
        <v>330</v>
      </c>
      <c r="H68" s="18" t="s">
        <v>937</v>
      </c>
      <c r="I68" s="18" t="str">
        <f>_xlfn.XLOOKUP(CleanData_[[#This Row],[SAP Match Key]],PhysicalData_1[Physical Match Key],PhysicalData_1[Batch Code],"Mismatch")</f>
        <v>Mismatch</v>
      </c>
      <c r="J6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SCH5DW3004</v>
      </c>
      <c r="K6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SCH5DW3004</v>
      </c>
      <c r="L68" s="18" t="str">
        <f>_xlfn.XLOOKUP(CleanData_[[#This Row],[Batch To Pull]],PhysicalData_1[Batch Code],PhysicalData_1[Physical Expiry Month]," ")</f>
        <v>March</v>
      </c>
      <c r="M68" s="18">
        <f>_xlfn.XLOOKUP(CleanData_[[#This Row],[Batch To Pull]],PhysicalData_1[Batch Code],PhysicalData_1[Quantity (physical)]," ")</f>
        <v>713</v>
      </c>
    </row>
    <row r="69" spans="1:13" x14ac:dyDescent="0.35">
      <c r="A69" s="18" t="s">
        <v>776</v>
      </c>
      <c r="B69" s="18" t="s">
        <v>343</v>
      </c>
      <c r="C69" s="18" t="s">
        <v>594</v>
      </c>
      <c r="D69" s="18" t="s">
        <v>590</v>
      </c>
      <c r="E69" s="18" t="s">
        <v>584</v>
      </c>
      <c r="F69" s="18" t="s">
        <v>590</v>
      </c>
      <c r="G69" s="18">
        <v>330</v>
      </c>
      <c r="H69" s="18" t="s">
        <v>849</v>
      </c>
      <c r="I69" s="18" t="str">
        <f>_xlfn.XLOOKUP(CleanData_[[#This Row],[SAP Match Key]],PhysicalData_1[Physical Match Key],PhysicalData_1[Batch Code],"Mismatch")</f>
        <v>SCH5DW3005</v>
      </c>
      <c r="J6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6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SCH5DW3005</v>
      </c>
      <c r="L69" s="18" t="str">
        <f>_xlfn.XLOOKUP(CleanData_[[#This Row],[Batch To Pull]],PhysicalData_1[Batch Code],PhysicalData_1[Physical Expiry Month]," ")</f>
        <v>March</v>
      </c>
      <c r="M69" s="18">
        <f>_xlfn.XLOOKUP(CleanData_[[#This Row],[Batch To Pull]],PhysicalData_1[Batch Code],PhysicalData_1[Quantity (physical)]," ")</f>
        <v>555</v>
      </c>
    </row>
    <row r="70" spans="1:13" x14ac:dyDescent="0.35">
      <c r="A70" s="18" t="s">
        <v>777</v>
      </c>
      <c r="B70" s="18" t="s">
        <v>234</v>
      </c>
      <c r="C70" s="18" t="s">
        <v>594</v>
      </c>
      <c r="D70" s="18" t="s">
        <v>594</v>
      </c>
      <c r="E70" s="18" t="s">
        <v>585</v>
      </c>
      <c r="F70" s="18" t="s">
        <v>594</v>
      </c>
      <c r="G70" s="18">
        <v>200</v>
      </c>
      <c r="H70" s="18" t="s">
        <v>938</v>
      </c>
      <c r="I70" s="18" t="str">
        <f>_xlfn.XLOOKUP(CleanData_[[#This Row],[SAP Match Key]],PhysicalData_1[Physical Match Key],PhysicalData_1[Batch Code],"Mismatch")</f>
        <v>Mismatch</v>
      </c>
      <c r="J7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SCH5D2E007</v>
      </c>
      <c r="K7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SCH5D2E007</v>
      </c>
      <c r="L70" s="18" t="str">
        <f>_xlfn.XLOOKUP(CleanData_[[#This Row],[Batch To Pull]],PhysicalData_1[Batch Code],PhysicalData_1[Physical Expiry Month]," ")</f>
        <v>March</v>
      </c>
      <c r="M70" s="18">
        <f>_xlfn.XLOOKUP(CleanData_[[#This Row],[Batch To Pull]],PhysicalData_1[Batch Code],PhysicalData_1[Quantity (physical)]," ")</f>
        <v>592</v>
      </c>
    </row>
    <row r="71" spans="1:13" x14ac:dyDescent="0.35">
      <c r="A71" s="18" t="s">
        <v>778</v>
      </c>
      <c r="B71" s="18" t="s">
        <v>132</v>
      </c>
      <c r="C71" s="18" t="s">
        <v>590</v>
      </c>
      <c r="D71" s="18" t="s">
        <v>587</v>
      </c>
      <c r="E71" s="18" t="s">
        <v>584</v>
      </c>
      <c r="F71" s="18" t="s">
        <v>587</v>
      </c>
      <c r="G71" s="18">
        <v>10</v>
      </c>
      <c r="H71" s="18" t="s">
        <v>939</v>
      </c>
      <c r="I71" s="18" t="str">
        <f>_xlfn.XLOOKUP(CleanData_[[#This Row],[SAP Match Key]],PhysicalData_1[Physical Match Key],PhysicalData_1[Batch Code],"Mismatch")</f>
        <v>Mismatch</v>
      </c>
      <c r="J7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7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71" s="18" t="str">
        <f>_xlfn.XLOOKUP(CleanData_[[#This Row],[Batch To Pull]],PhysicalData_1[Batch Code],PhysicalData_1[Physical Expiry Month]," ")</f>
        <v xml:space="preserve"> </v>
      </c>
      <c r="M71" s="18" t="str">
        <f>_xlfn.XLOOKUP(CleanData_[[#This Row],[Batch To Pull]],PhysicalData_1[Batch Code],PhysicalData_1[Quantity (physical)]," ")</f>
        <v xml:space="preserve"> </v>
      </c>
    </row>
    <row r="72" spans="1:13" x14ac:dyDescent="0.35">
      <c r="A72" s="18" t="s">
        <v>778</v>
      </c>
      <c r="B72" s="18" t="s">
        <v>134</v>
      </c>
      <c r="C72" s="18" t="s">
        <v>593</v>
      </c>
      <c r="D72" s="18" t="s">
        <v>596</v>
      </c>
      <c r="E72" s="18" t="s">
        <v>584</v>
      </c>
      <c r="F72" s="18" t="s">
        <v>596</v>
      </c>
      <c r="G72" s="18">
        <v>355</v>
      </c>
      <c r="H72" s="18" t="s">
        <v>940</v>
      </c>
      <c r="I72" s="18" t="str">
        <f>_xlfn.XLOOKUP(CleanData_[[#This Row],[SAP Match Key]],PhysicalData_1[Physical Match Key],PhysicalData_1[Batch Code],"Mismatch")</f>
        <v>Mismatch</v>
      </c>
      <c r="J7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SCH5F135Rm</v>
      </c>
      <c r="K7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SCH5F135Rm</v>
      </c>
      <c r="L72" s="18" t="str">
        <f>_xlfn.XLOOKUP(CleanData_[[#This Row],[Batch To Pull]],PhysicalData_1[Batch Code],PhysicalData_1[Physical Expiry Month]," ")</f>
        <v>May</v>
      </c>
      <c r="M72" s="18">
        <f>_xlfn.XLOOKUP(CleanData_[[#This Row],[Batch To Pull]],PhysicalData_1[Batch Code],PhysicalData_1[Quantity (physical)]," ")</f>
        <v>804</v>
      </c>
    </row>
    <row r="73" spans="1:13" x14ac:dyDescent="0.35">
      <c r="A73" s="18" t="s">
        <v>779</v>
      </c>
      <c r="B73" s="18" t="s">
        <v>123</v>
      </c>
      <c r="C73" s="18" t="s">
        <v>593</v>
      </c>
      <c r="D73" s="18" t="s">
        <v>593</v>
      </c>
      <c r="E73" s="18" t="s">
        <v>585</v>
      </c>
      <c r="F73" s="18" t="s">
        <v>593</v>
      </c>
      <c r="G73" s="18">
        <v>243</v>
      </c>
      <c r="H73" s="18" t="s">
        <v>941</v>
      </c>
      <c r="I73" s="18" t="str">
        <f>_xlfn.XLOOKUP(CleanData_[[#This Row],[SAP Match Key]],PhysicalData_1[Physical Match Key],PhysicalData_1[Batch Code],"Mismatch")</f>
        <v>Mismatch</v>
      </c>
      <c r="J7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SCH5F135Rm</v>
      </c>
      <c r="K7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SCH5F135Rm</v>
      </c>
      <c r="L73" s="18" t="str">
        <f>_xlfn.XLOOKUP(CleanData_[[#This Row],[Batch To Pull]],PhysicalData_1[Batch Code],PhysicalData_1[Physical Expiry Month]," ")</f>
        <v>May</v>
      </c>
      <c r="M73" s="18">
        <f>_xlfn.XLOOKUP(CleanData_[[#This Row],[Batch To Pull]],PhysicalData_1[Batch Code],PhysicalData_1[Quantity (physical)]," ")</f>
        <v>804</v>
      </c>
    </row>
    <row r="74" spans="1:13" x14ac:dyDescent="0.35">
      <c r="A74" s="18" t="s">
        <v>779</v>
      </c>
      <c r="B74" s="18" t="s">
        <v>125</v>
      </c>
      <c r="C74" s="18" t="s">
        <v>593</v>
      </c>
      <c r="D74" s="18" t="s">
        <v>590</v>
      </c>
      <c r="E74" s="18" t="s">
        <v>584</v>
      </c>
      <c r="F74" s="18" t="s">
        <v>590</v>
      </c>
      <c r="G74" s="18">
        <v>774</v>
      </c>
      <c r="H74" s="18" t="s">
        <v>942</v>
      </c>
      <c r="I74" s="18" t="str">
        <f>_xlfn.XLOOKUP(CleanData_[[#This Row],[SAP Match Key]],PhysicalData_1[Physical Match Key],PhysicalData_1[Batch Code],"Mismatch")</f>
        <v>Mismatch</v>
      </c>
      <c r="J7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SCH5F135Rm</v>
      </c>
      <c r="K7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SCH5F135Rm</v>
      </c>
      <c r="L74" s="18" t="str">
        <f>_xlfn.XLOOKUP(CleanData_[[#This Row],[Batch To Pull]],PhysicalData_1[Batch Code],PhysicalData_1[Physical Expiry Month]," ")</f>
        <v>May</v>
      </c>
      <c r="M74" s="18">
        <f>_xlfn.XLOOKUP(CleanData_[[#This Row],[Batch To Pull]],PhysicalData_1[Batch Code],PhysicalData_1[Quantity (physical)]," ")</f>
        <v>804</v>
      </c>
    </row>
    <row r="75" spans="1:13" x14ac:dyDescent="0.35">
      <c r="A75" s="18" t="s">
        <v>779</v>
      </c>
      <c r="B75" s="18" t="s">
        <v>127</v>
      </c>
      <c r="C75" s="18" t="s">
        <v>593</v>
      </c>
      <c r="D75" s="18" t="s">
        <v>595</v>
      </c>
      <c r="E75" s="18" t="s">
        <v>584</v>
      </c>
      <c r="F75" s="18" t="s">
        <v>595</v>
      </c>
      <c r="G75" s="18">
        <v>648</v>
      </c>
      <c r="H75" s="18" t="s">
        <v>943</v>
      </c>
      <c r="I75" s="18" t="str">
        <f>_xlfn.XLOOKUP(CleanData_[[#This Row],[SAP Match Key]],PhysicalData_1[Physical Match Key],PhysicalData_1[Batch Code],"Mismatch")</f>
        <v>Mismatch</v>
      </c>
      <c r="J7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SCH5F135Rm</v>
      </c>
      <c r="K7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SCH5F135Rm</v>
      </c>
      <c r="L75" s="18" t="str">
        <f>_xlfn.XLOOKUP(CleanData_[[#This Row],[Batch To Pull]],PhysicalData_1[Batch Code],PhysicalData_1[Physical Expiry Month]," ")</f>
        <v>May</v>
      </c>
      <c r="M75" s="18">
        <f>_xlfn.XLOOKUP(CleanData_[[#This Row],[Batch To Pull]],PhysicalData_1[Batch Code],PhysicalData_1[Quantity (physical)]," ")</f>
        <v>804</v>
      </c>
    </row>
    <row r="76" spans="1:13" x14ac:dyDescent="0.35">
      <c r="A76" s="18" t="s">
        <v>779</v>
      </c>
      <c r="B76" s="18" t="s">
        <v>129</v>
      </c>
      <c r="C76" s="18" t="s">
        <v>593</v>
      </c>
      <c r="D76" s="18" t="s">
        <v>595</v>
      </c>
      <c r="E76" s="18" t="s">
        <v>584</v>
      </c>
      <c r="F76" s="18" t="s">
        <v>595</v>
      </c>
      <c r="G76" s="18">
        <v>264</v>
      </c>
      <c r="H76" s="18" t="s">
        <v>944</v>
      </c>
      <c r="I76" s="18" t="str">
        <f>_xlfn.XLOOKUP(CleanData_[[#This Row],[SAP Match Key]],PhysicalData_1[Physical Match Key],PhysicalData_1[Batch Code],"Mismatch")</f>
        <v>Mismatch</v>
      </c>
      <c r="J7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SCH5F135Rm</v>
      </c>
      <c r="K7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SCH5F135Rm</v>
      </c>
      <c r="L76" s="18" t="str">
        <f>_xlfn.XLOOKUP(CleanData_[[#This Row],[Batch To Pull]],PhysicalData_1[Batch Code],PhysicalData_1[Physical Expiry Month]," ")</f>
        <v>May</v>
      </c>
      <c r="M76" s="18">
        <f>_xlfn.XLOOKUP(CleanData_[[#This Row],[Batch To Pull]],PhysicalData_1[Batch Code],PhysicalData_1[Quantity (physical)]," ")</f>
        <v>804</v>
      </c>
    </row>
    <row r="77" spans="1:13" x14ac:dyDescent="0.35">
      <c r="A77" s="18" t="s">
        <v>780</v>
      </c>
      <c r="B77" s="18" t="s">
        <v>72</v>
      </c>
      <c r="C77" s="18" t="s">
        <v>588</v>
      </c>
      <c r="D77" s="18" t="s">
        <v>593</v>
      </c>
      <c r="E77" s="18" t="s">
        <v>584</v>
      </c>
      <c r="F77" s="18" t="s">
        <v>593</v>
      </c>
      <c r="G77" s="18">
        <v>115</v>
      </c>
      <c r="H77" s="18" t="s">
        <v>945</v>
      </c>
      <c r="I77" s="18" t="str">
        <f>_xlfn.XLOOKUP(CleanData_[[#This Row],[SAP Match Key]],PhysicalData_1[Physical Match Key],PhysicalData_1[Batch Code],"Mismatch")</f>
        <v>Mismatch</v>
      </c>
      <c r="J7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SCH6B2E001</v>
      </c>
      <c r="K7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SCH6B2E001</v>
      </c>
      <c r="L77" s="18" t="str">
        <f>_xlfn.XLOOKUP(CleanData_[[#This Row],[Batch To Pull]],PhysicalData_1[Batch Code],PhysicalData_1[Physical Expiry Month]," ")</f>
        <v>January</v>
      </c>
      <c r="M77" s="18">
        <f>_xlfn.XLOOKUP(CleanData_[[#This Row],[Batch To Pull]],PhysicalData_1[Batch Code],PhysicalData_1[Quantity (physical)]," ")</f>
        <v>549</v>
      </c>
    </row>
    <row r="78" spans="1:13" x14ac:dyDescent="0.35">
      <c r="A78" s="18" t="s">
        <v>780</v>
      </c>
      <c r="B78" s="18" t="s">
        <v>74</v>
      </c>
      <c r="C78" s="18" t="s">
        <v>594</v>
      </c>
      <c r="D78" s="18" t="s">
        <v>593</v>
      </c>
      <c r="E78" s="18" t="s">
        <v>584</v>
      </c>
      <c r="F78" s="18" t="s">
        <v>593</v>
      </c>
      <c r="G78" s="18">
        <v>100</v>
      </c>
      <c r="H78" s="18" t="s">
        <v>946</v>
      </c>
      <c r="I78" s="18" t="str">
        <f>_xlfn.XLOOKUP(CleanData_[[#This Row],[SAP Match Key]],PhysicalData_1[Physical Match Key],PhysicalData_1[Batch Code],"Mismatch")</f>
        <v>Mismatch</v>
      </c>
      <c r="J7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7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78" s="18" t="str">
        <f>_xlfn.XLOOKUP(CleanData_[[#This Row],[Batch To Pull]],PhysicalData_1[Batch Code],PhysicalData_1[Physical Expiry Month]," ")</f>
        <v xml:space="preserve"> </v>
      </c>
      <c r="M78" s="18" t="str">
        <f>_xlfn.XLOOKUP(CleanData_[[#This Row],[Batch To Pull]],PhysicalData_1[Batch Code],PhysicalData_1[Quantity (physical)]," ")</f>
        <v xml:space="preserve"> </v>
      </c>
    </row>
    <row r="79" spans="1:13" x14ac:dyDescent="0.35">
      <c r="A79" s="18" t="s">
        <v>781</v>
      </c>
      <c r="B79" s="18" t="s">
        <v>83</v>
      </c>
      <c r="C79" s="18" t="s">
        <v>594</v>
      </c>
      <c r="D79" s="18" t="s">
        <v>593</v>
      </c>
      <c r="E79" s="18" t="s">
        <v>584</v>
      </c>
      <c r="F79" s="18" t="s">
        <v>593</v>
      </c>
      <c r="G79" s="18">
        <v>70</v>
      </c>
      <c r="H79" s="18" t="s">
        <v>855</v>
      </c>
      <c r="I79" s="18" t="str">
        <f>_xlfn.XLOOKUP(CleanData_[[#This Row],[SAP Match Key]],PhysicalData_1[Physical Match Key],PhysicalData_1[Batch Code],"Mismatch")</f>
        <v>SCH6D2E004</v>
      </c>
      <c r="J7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7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SCH6D2E004</v>
      </c>
      <c r="L79" s="18" t="str">
        <f>_xlfn.XLOOKUP(CleanData_[[#This Row],[Batch To Pull]],PhysicalData_1[Batch Code],PhysicalData_1[Physical Expiry Month]," ")</f>
        <v>March</v>
      </c>
      <c r="M79" s="18">
        <f>_xlfn.XLOOKUP(CleanData_[[#This Row],[Batch To Pull]],PhysicalData_1[Batch Code],PhysicalData_1[Quantity (physical)]," ")</f>
        <v>200</v>
      </c>
    </row>
    <row r="80" spans="1:13" x14ac:dyDescent="0.35">
      <c r="A80" s="18" t="s">
        <v>781</v>
      </c>
      <c r="B80" s="18" t="s">
        <v>85</v>
      </c>
      <c r="C80" s="18" t="s">
        <v>594</v>
      </c>
      <c r="D80" s="18" t="s">
        <v>591</v>
      </c>
      <c r="E80" s="18" t="s">
        <v>584</v>
      </c>
      <c r="F80" s="18" t="s">
        <v>591</v>
      </c>
      <c r="G80" s="18">
        <v>400</v>
      </c>
      <c r="H80" s="18" t="s">
        <v>947</v>
      </c>
      <c r="I80" s="18" t="str">
        <f>_xlfn.XLOOKUP(CleanData_[[#This Row],[SAP Match Key]],PhysicalData_1[Physical Match Key],PhysicalData_1[Batch Code],"Mismatch")</f>
        <v>Mismatch</v>
      </c>
      <c r="J8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SCH6D2E004</v>
      </c>
      <c r="K8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SCH6D2E004</v>
      </c>
      <c r="L80" s="18" t="str">
        <f>_xlfn.XLOOKUP(CleanData_[[#This Row],[Batch To Pull]],PhysicalData_1[Batch Code],PhysicalData_1[Physical Expiry Month]," ")</f>
        <v>March</v>
      </c>
      <c r="M80" s="18">
        <f>_xlfn.XLOOKUP(CleanData_[[#This Row],[Batch To Pull]],PhysicalData_1[Batch Code],PhysicalData_1[Quantity (physical)]," ")</f>
        <v>200</v>
      </c>
    </row>
    <row r="81" spans="1:13" x14ac:dyDescent="0.35">
      <c r="A81" s="18" t="s">
        <v>782</v>
      </c>
      <c r="B81" s="18" t="s">
        <v>69</v>
      </c>
      <c r="C81" s="18" t="s">
        <v>590</v>
      </c>
      <c r="D81" s="18" t="s">
        <v>593</v>
      </c>
      <c r="E81" s="18" t="s">
        <v>584</v>
      </c>
      <c r="F81" s="18" t="s">
        <v>593</v>
      </c>
      <c r="G81" s="18">
        <v>416</v>
      </c>
      <c r="H81" s="18" t="s">
        <v>948</v>
      </c>
      <c r="I81" s="18" t="str">
        <f>_xlfn.XLOOKUP(CleanData_[[#This Row],[SAP Match Key]],PhysicalData_1[Physical Match Key],PhysicalData_1[Batch Code],"Mismatch")</f>
        <v>Mismatch</v>
      </c>
      <c r="J8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SCH6E2014</v>
      </c>
      <c r="K8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SCH6E2014</v>
      </c>
      <c r="L81" s="18" t="str">
        <f>_xlfn.XLOOKUP(CleanData_[[#This Row],[Batch To Pull]],PhysicalData_1[Batch Code],PhysicalData_1[Physical Expiry Month]," ")</f>
        <v>April</v>
      </c>
      <c r="M81" s="18">
        <f>_xlfn.XLOOKUP(CleanData_[[#This Row],[Batch To Pull]],PhysicalData_1[Batch Code],PhysicalData_1[Quantity (physical)]," ")</f>
        <v>304</v>
      </c>
    </row>
    <row r="82" spans="1:13" x14ac:dyDescent="0.35">
      <c r="A82" s="18" t="s">
        <v>783</v>
      </c>
      <c r="B82" s="18" t="s">
        <v>77</v>
      </c>
      <c r="C82" s="18" t="s">
        <v>590</v>
      </c>
      <c r="D82" s="18" t="s">
        <v>593</v>
      </c>
      <c r="E82" s="18" t="s">
        <v>584</v>
      </c>
      <c r="F82" s="18" t="s">
        <v>593</v>
      </c>
      <c r="G82" s="18">
        <v>530</v>
      </c>
      <c r="H82" s="18" t="s">
        <v>861</v>
      </c>
      <c r="I82" s="18" t="str">
        <f>_xlfn.XLOOKUP(CleanData_[[#This Row],[SAP Match Key]],PhysicalData_1[Physical Match Key],PhysicalData_1[Batch Code],"Mismatch")</f>
        <v>SCH6E2016</v>
      </c>
      <c r="J8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8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SCH6E2016</v>
      </c>
      <c r="L82" s="18" t="str">
        <f>_xlfn.XLOOKUP(CleanData_[[#This Row],[Batch To Pull]],PhysicalData_1[Batch Code],PhysicalData_1[Physical Expiry Month]," ")</f>
        <v>April</v>
      </c>
      <c r="M82" s="18">
        <f>_xlfn.XLOOKUP(CleanData_[[#This Row],[Batch To Pull]],PhysicalData_1[Batch Code],PhysicalData_1[Quantity (physical)]," ")</f>
        <v>356</v>
      </c>
    </row>
    <row r="83" spans="1:13" x14ac:dyDescent="0.35">
      <c r="A83" s="18" t="s">
        <v>784</v>
      </c>
      <c r="B83" s="18" t="s">
        <v>80</v>
      </c>
      <c r="C83" s="18" t="s">
        <v>590</v>
      </c>
      <c r="D83" s="18" t="s">
        <v>590</v>
      </c>
      <c r="E83" s="18" t="s">
        <v>585</v>
      </c>
      <c r="F83" s="18" t="s">
        <v>590</v>
      </c>
      <c r="G83" s="18">
        <v>40</v>
      </c>
      <c r="H83" s="18" t="s">
        <v>859</v>
      </c>
      <c r="I83" s="18" t="str">
        <f>_xlfn.XLOOKUP(CleanData_[[#This Row],[SAP Match Key]],PhysicalData_1[Physical Match Key],PhysicalData_1[Batch Code],"Mismatch")</f>
        <v>SCH6E2014</v>
      </c>
      <c r="J8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8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SCH6E2014</v>
      </c>
      <c r="L83" s="18" t="str">
        <f>_xlfn.XLOOKUP(CleanData_[[#This Row],[Batch To Pull]],PhysicalData_1[Batch Code],PhysicalData_1[Physical Expiry Month]," ")</f>
        <v>April</v>
      </c>
      <c r="M83" s="18">
        <f>_xlfn.XLOOKUP(CleanData_[[#This Row],[Batch To Pull]],PhysicalData_1[Batch Code],PhysicalData_1[Quantity (physical)]," ")</f>
        <v>304</v>
      </c>
    </row>
    <row r="84" spans="1:13" x14ac:dyDescent="0.35">
      <c r="A84" s="18" t="s">
        <v>785</v>
      </c>
      <c r="B84" s="18" t="s">
        <v>60</v>
      </c>
      <c r="C84" s="18" t="s">
        <v>589</v>
      </c>
      <c r="D84" s="18" t="s">
        <v>592</v>
      </c>
      <c r="E84" s="18" t="s">
        <v>584</v>
      </c>
      <c r="F84" s="18" t="s">
        <v>592</v>
      </c>
      <c r="G84" s="18">
        <v>69</v>
      </c>
      <c r="H84" s="18" t="s">
        <v>865</v>
      </c>
      <c r="I84" s="18" t="str">
        <f>_xlfn.XLOOKUP(CleanData_[[#This Row],[SAP Match Key]],PhysicalData_1[Physical Match Key],PhysicalData_1[Batch Code],"Mismatch")</f>
        <v>SCH6A122</v>
      </c>
      <c r="J8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8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SCH6A122</v>
      </c>
      <c r="L84" s="18" t="str">
        <f>_xlfn.XLOOKUP(CleanData_[[#This Row],[Batch To Pull]],PhysicalData_1[Batch Code],PhysicalData_1[Physical Expiry Month]," ")</f>
        <v>December</v>
      </c>
      <c r="M84" s="18">
        <f>_xlfn.XLOOKUP(CleanData_[[#This Row],[Batch To Pull]],PhysicalData_1[Batch Code],PhysicalData_1[Quantity (physical)]," ")</f>
        <v>1909</v>
      </c>
    </row>
    <row r="85" spans="1:13" x14ac:dyDescent="0.35">
      <c r="A85" s="18" t="s">
        <v>786</v>
      </c>
      <c r="B85" s="18" t="s">
        <v>62</v>
      </c>
      <c r="C85" s="18" t="s">
        <v>589</v>
      </c>
      <c r="D85" s="18" t="s">
        <v>590</v>
      </c>
      <c r="E85" s="18" t="s">
        <v>584</v>
      </c>
      <c r="F85" s="18" t="s">
        <v>590</v>
      </c>
      <c r="G85" s="18">
        <v>960</v>
      </c>
      <c r="H85" s="18" t="s">
        <v>949</v>
      </c>
      <c r="I85" s="18" t="str">
        <f>_xlfn.XLOOKUP(CleanData_[[#This Row],[SAP Match Key]],PhysicalData_1[Physical Match Key],PhysicalData_1[Batch Code],"Mismatch")</f>
        <v>Mismatch</v>
      </c>
      <c r="J8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SCH6A123</v>
      </c>
      <c r="K8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SCH6A123</v>
      </c>
      <c r="L85" s="18" t="str">
        <f>_xlfn.XLOOKUP(CleanData_[[#This Row],[Batch To Pull]],PhysicalData_1[Batch Code],PhysicalData_1[Physical Expiry Month]," ")</f>
        <v>December</v>
      </c>
      <c r="M85" s="18">
        <f>_xlfn.XLOOKUP(CleanData_[[#This Row],[Batch To Pull]],PhysicalData_1[Batch Code],PhysicalData_1[Quantity (physical)]," ")</f>
        <v>923</v>
      </c>
    </row>
    <row r="86" spans="1:13" x14ac:dyDescent="0.35">
      <c r="A86" s="18" t="s">
        <v>786</v>
      </c>
      <c r="B86" s="18" t="s">
        <v>64</v>
      </c>
      <c r="C86" s="18" t="s">
        <v>589</v>
      </c>
      <c r="D86" s="18" t="s">
        <v>589</v>
      </c>
      <c r="E86" s="18" t="s">
        <v>585</v>
      </c>
      <c r="F86" s="18" t="s">
        <v>589</v>
      </c>
      <c r="G86" s="18">
        <v>1200</v>
      </c>
      <c r="H86" s="18" t="s">
        <v>950</v>
      </c>
      <c r="I86" s="18" t="str">
        <f>_xlfn.XLOOKUP(CleanData_[[#This Row],[SAP Match Key]],PhysicalData_1[Physical Match Key],PhysicalData_1[Batch Code],"Mismatch")</f>
        <v>Mismatch</v>
      </c>
      <c r="J8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SCH6A123</v>
      </c>
      <c r="K8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SCH6A123</v>
      </c>
      <c r="L86" s="18" t="str">
        <f>_xlfn.XLOOKUP(CleanData_[[#This Row],[Batch To Pull]],PhysicalData_1[Batch Code],PhysicalData_1[Physical Expiry Month]," ")</f>
        <v>December</v>
      </c>
      <c r="M86" s="18">
        <f>_xlfn.XLOOKUP(CleanData_[[#This Row],[Batch To Pull]],PhysicalData_1[Batch Code],PhysicalData_1[Quantity (physical)]," ")</f>
        <v>923</v>
      </c>
    </row>
    <row r="87" spans="1:13" x14ac:dyDescent="0.35">
      <c r="A87" s="18" t="s">
        <v>787</v>
      </c>
      <c r="B87" s="18" t="s">
        <v>58</v>
      </c>
      <c r="C87" s="18" t="s">
        <v>587</v>
      </c>
      <c r="D87" s="18" t="s">
        <v>588</v>
      </c>
      <c r="E87" s="18" t="s">
        <v>584</v>
      </c>
      <c r="F87" s="18" t="s">
        <v>588</v>
      </c>
      <c r="G87" s="18">
        <v>138</v>
      </c>
      <c r="H87" s="18" t="s">
        <v>951</v>
      </c>
      <c r="I87" s="18" t="str">
        <f>_xlfn.XLOOKUP(CleanData_[[#This Row],[SAP Match Key]],PhysicalData_1[Physical Match Key],PhysicalData_1[Batch Code],"Mismatch")</f>
        <v>Mismatch</v>
      </c>
      <c r="J8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8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87" s="18" t="str">
        <f>_xlfn.XLOOKUP(CleanData_[[#This Row],[Batch To Pull]],PhysicalData_1[Batch Code],PhysicalData_1[Physical Expiry Month]," ")</f>
        <v xml:space="preserve"> </v>
      </c>
      <c r="M87" s="18" t="str">
        <f>_xlfn.XLOOKUP(CleanData_[[#This Row],[Batch To Pull]],PhysicalData_1[Batch Code],PhysicalData_1[Quantity (physical)]," ")</f>
        <v xml:space="preserve"> </v>
      </c>
    </row>
    <row r="88" spans="1:13" x14ac:dyDescent="0.35">
      <c r="A88" s="18" t="s">
        <v>787</v>
      </c>
      <c r="B88" s="18" t="s">
        <v>60</v>
      </c>
      <c r="C88" s="18" t="s">
        <v>589</v>
      </c>
      <c r="D88" s="18" t="s">
        <v>589</v>
      </c>
      <c r="E88" s="18" t="s">
        <v>585</v>
      </c>
      <c r="F88" s="18" t="s">
        <v>589</v>
      </c>
      <c r="G88" s="18">
        <v>69</v>
      </c>
      <c r="H88" s="18" t="s">
        <v>862</v>
      </c>
      <c r="I88" s="18" t="str">
        <f>_xlfn.XLOOKUP(CleanData_[[#This Row],[SAP Match Key]],PhysicalData_1[Physical Match Key],PhysicalData_1[Batch Code],"Mismatch")</f>
        <v>SCH6A122</v>
      </c>
      <c r="J8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8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SCH6A122</v>
      </c>
      <c r="L88" s="18" t="str">
        <f>_xlfn.XLOOKUP(CleanData_[[#This Row],[Batch To Pull]],PhysicalData_1[Batch Code],PhysicalData_1[Physical Expiry Month]," ")</f>
        <v>December</v>
      </c>
      <c r="M88" s="18">
        <f>_xlfn.XLOOKUP(CleanData_[[#This Row],[Batch To Pull]],PhysicalData_1[Batch Code],PhysicalData_1[Quantity (physical)]," ")</f>
        <v>1909</v>
      </c>
    </row>
    <row r="89" spans="1:13" x14ac:dyDescent="0.35">
      <c r="A89" s="18" t="s">
        <v>787</v>
      </c>
      <c r="B89" s="18" t="s">
        <v>62</v>
      </c>
      <c r="C89" s="18" t="s">
        <v>589</v>
      </c>
      <c r="D89" s="18" t="s">
        <v>590</v>
      </c>
      <c r="E89" s="18" t="s">
        <v>584</v>
      </c>
      <c r="F89" s="18" t="s">
        <v>590</v>
      </c>
      <c r="G89" s="18">
        <v>960</v>
      </c>
      <c r="H89" s="18" t="s">
        <v>952</v>
      </c>
      <c r="I89" s="18" t="str">
        <f>_xlfn.XLOOKUP(CleanData_[[#This Row],[SAP Match Key]],PhysicalData_1[Physical Match Key],PhysicalData_1[Batch Code],"Mismatch")</f>
        <v>Mismatch</v>
      </c>
      <c r="J8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SCH6A122</v>
      </c>
      <c r="K8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SCH6A122</v>
      </c>
      <c r="L89" s="18" t="str">
        <f>_xlfn.XLOOKUP(CleanData_[[#This Row],[Batch To Pull]],PhysicalData_1[Batch Code],PhysicalData_1[Physical Expiry Month]," ")</f>
        <v>December</v>
      </c>
      <c r="M89" s="18">
        <f>_xlfn.XLOOKUP(CleanData_[[#This Row],[Batch To Pull]],PhysicalData_1[Batch Code],PhysicalData_1[Quantity (physical)]," ")</f>
        <v>1909</v>
      </c>
    </row>
    <row r="90" spans="1:13" x14ac:dyDescent="0.35">
      <c r="A90" s="18" t="s">
        <v>787</v>
      </c>
      <c r="B90" s="18" t="s">
        <v>64</v>
      </c>
      <c r="C90" s="18" t="s">
        <v>589</v>
      </c>
      <c r="D90" s="18" t="s">
        <v>591</v>
      </c>
      <c r="E90" s="18" t="s">
        <v>584</v>
      </c>
      <c r="F90" s="18" t="s">
        <v>591</v>
      </c>
      <c r="G90" s="18">
        <v>1200</v>
      </c>
      <c r="H90" s="18" t="s">
        <v>953</v>
      </c>
      <c r="I90" s="18" t="str">
        <f>_xlfn.XLOOKUP(CleanData_[[#This Row],[SAP Match Key]],PhysicalData_1[Physical Match Key],PhysicalData_1[Batch Code],"Mismatch")</f>
        <v>Mismatch</v>
      </c>
      <c r="J9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SCH6A122</v>
      </c>
      <c r="K9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SCH6A122</v>
      </c>
      <c r="L90" s="18" t="str">
        <f>_xlfn.XLOOKUP(CleanData_[[#This Row],[Batch To Pull]],PhysicalData_1[Batch Code],PhysicalData_1[Physical Expiry Month]," ")</f>
        <v>December</v>
      </c>
      <c r="M90" s="18">
        <f>_xlfn.XLOOKUP(CleanData_[[#This Row],[Batch To Pull]],PhysicalData_1[Batch Code],PhysicalData_1[Quantity (physical)]," ")</f>
        <v>1909</v>
      </c>
    </row>
    <row r="91" spans="1:13" x14ac:dyDescent="0.35">
      <c r="A91" s="18" t="s">
        <v>788</v>
      </c>
      <c r="B91" s="18" t="s">
        <v>231</v>
      </c>
      <c r="C91" s="18" t="s">
        <v>588</v>
      </c>
      <c r="D91" s="18" t="s">
        <v>593</v>
      </c>
      <c r="E91" s="18" t="s">
        <v>584</v>
      </c>
      <c r="F91" s="18" t="s">
        <v>593</v>
      </c>
      <c r="G91" s="18">
        <v>220</v>
      </c>
      <c r="H91" s="18" t="s">
        <v>954</v>
      </c>
      <c r="I91" s="18" t="str">
        <f>_xlfn.XLOOKUP(CleanData_[[#This Row],[SAP Match Key]],PhysicalData_1[Physical Match Key],PhysicalData_1[Batch Code],"Mismatch")</f>
        <v>Mismatch</v>
      </c>
      <c r="J9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SCH6B26B01</v>
      </c>
      <c r="K9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SCH6B26B01</v>
      </c>
      <c r="L91" s="18" t="str">
        <f>_xlfn.XLOOKUP(CleanData_[[#This Row],[Batch To Pull]],PhysicalData_1[Batch Code],PhysicalData_1[Physical Expiry Month]," ")</f>
        <v>January</v>
      </c>
      <c r="M91" s="18">
        <f>_xlfn.XLOOKUP(CleanData_[[#This Row],[Batch To Pull]],PhysicalData_1[Batch Code],PhysicalData_1[Quantity (physical)]," ")</f>
        <v>191</v>
      </c>
    </row>
    <row r="92" spans="1:13" x14ac:dyDescent="0.35">
      <c r="A92" s="18" t="s">
        <v>789</v>
      </c>
      <c r="B92" s="18" t="s">
        <v>549</v>
      </c>
      <c r="C92" s="18" t="s">
        <v>595</v>
      </c>
      <c r="D92" s="18" t="s">
        <v>593</v>
      </c>
      <c r="E92" s="18" t="s">
        <v>584</v>
      </c>
      <c r="F92" s="18" t="s">
        <v>593</v>
      </c>
      <c r="G92" s="18">
        <v>840</v>
      </c>
      <c r="H92" s="18" t="s">
        <v>869</v>
      </c>
      <c r="I92" s="18" t="str">
        <f>_xlfn.XLOOKUP(CleanData_[[#This Row],[SAP Match Key]],PhysicalData_1[Physical Match Key],PhysicalData_1[Batch Code],"Mismatch")</f>
        <v>SCH5K24802</v>
      </c>
      <c r="J9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9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SCH5K24802</v>
      </c>
      <c r="L92" s="18" t="str">
        <f>_xlfn.XLOOKUP(CleanData_[[#This Row],[Batch To Pull]],PhysicalData_1[Batch Code],PhysicalData_1[Physical Expiry Month]," ")</f>
        <v>October</v>
      </c>
      <c r="M92" s="18">
        <f>_xlfn.XLOOKUP(CleanData_[[#This Row],[Batch To Pull]],PhysicalData_1[Batch Code],PhysicalData_1[Quantity (physical)]," ")</f>
        <v>455</v>
      </c>
    </row>
    <row r="93" spans="1:13" x14ac:dyDescent="0.35">
      <c r="A93" s="18" t="s">
        <v>790</v>
      </c>
      <c r="B93" s="18" t="s">
        <v>549</v>
      </c>
      <c r="C93" s="18" t="s">
        <v>595</v>
      </c>
      <c r="D93" s="18" t="s">
        <v>593</v>
      </c>
      <c r="E93" s="18" t="s">
        <v>584</v>
      </c>
      <c r="F93" s="18" t="s">
        <v>593</v>
      </c>
      <c r="G93" s="18">
        <v>840</v>
      </c>
      <c r="H93" s="18" t="s">
        <v>870</v>
      </c>
      <c r="I93" s="18" t="str">
        <f>_xlfn.XLOOKUP(CleanData_[[#This Row],[SAP Match Key]],PhysicalData_1[Physical Match Key],PhysicalData_1[Batch Code],"Mismatch")</f>
        <v>SCH5K24802</v>
      </c>
      <c r="J9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9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SCH5K24802</v>
      </c>
      <c r="L93" s="18" t="str">
        <f>_xlfn.XLOOKUP(CleanData_[[#This Row],[Batch To Pull]],PhysicalData_1[Batch Code],PhysicalData_1[Physical Expiry Month]," ")</f>
        <v>October</v>
      </c>
      <c r="M93" s="18">
        <f>_xlfn.XLOOKUP(CleanData_[[#This Row],[Batch To Pull]],PhysicalData_1[Batch Code],PhysicalData_1[Quantity (physical)]," ")</f>
        <v>455</v>
      </c>
    </row>
    <row r="94" spans="1:13" x14ac:dyDescent="0.35">
      <c r="A94" s="18" t="s">
        <v>791</v>
      </c>
      <c r="B94" s="18" t="s">
        <v>246</v>
      </c>
      <c r="C94" s="18" t="s">
        <v>590</v>
      </c>
      <c r="D94" s="18" t="s">
        <v>590</v>
      </c>
      <c r="E94" s="18" t="s">
        <v>585</v>
      </c>
      <c r="F94" s="18" t="s">
        <v>590</v>
      </c>
      <c r="G94" s="18">
        <v>945</v>
      </c>
      <c r="H94" s="18" t="s">
        <v>875</v>
      </c>
      <c r="I94" s="18" t="str">
        <f>_xlfn.XLOOKUP(CleanData_[[#This Row],[SAP Match Key]],PhysicalData_1[Physical Match Key],PhysicalData_1[Batch Code],"Mismatch")</f>
        <v>SCH6E010B</v>
      </c>
      <c r="J9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9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SCH6E010B</v>
      </c>
      <c r="L94" s="18" t="str">
        <f>_xlfn.XLOOKUP(CleanData_[[#This Row],[Batch To Pull]],PhysicalData_1[Batch Code],PhysicalData_1[Physical Expiry Month]," ")</f>
        <v>April</v>
      </c>
      <c r="M94" s="18">
        <f>_xlfn.XLOOKUP(CleanData_[[#This Row],[Batch To Pull]],PhysicalData_1[Batch Code],PhysicalData_1[Quantity (physical)]," ")</f>
        <v>306</v>
      </c>
    </row>
    <row r="95" spans="1:13" x14ac:dyDescent="0.35">
      <c r="A95" s="18" t="s">
        <v>792</v>
      </c>
      <c r="B95" s="18" t="s">
        <v>252</v>
      </c>
      <c r="C95" s="18" t="s">
        <v>590</v>
      </c>
      <c r="D95" s="18" t="s">
        <v>593</v>
      </c>
      <c r="E95" s="18" t="s">
        <v>584</v>
      </c>
      <c r="F95" s="18" t="s">
        <v>593</v>
      </c>
      <c r="G95" s="18">
        <v>580</v>
      </c>
      <c r="H95" s="18" t="s">
        <v>873</v>
      </c>
      <c r="I95" s="18" t="str">
        <f>_xlfn.XLOOKUP(CleanData_[[#This Row],[SAP Match Key]],PhysicalData_1[Physical Match Key],PhysicalData_1[Batch Code],"Mismatch")</f>
        <v>SCH6E011B</v>
      </c>
      <c r="J9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9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SCH6E011B</v>
      </c>
      <c r="L95" s="18" t="str">
        <f>_xlfn.XLOOKUP(CleanData_[[#This Row],[Batch To Pull]],PhysicalData_1[Batch Code],PhysicalData_1[Physical Expiry Month]," ")</f>
        <v>April</v>
      </c>
      <c r="M95" s="18">
        <f>_xlfn.XLOOKUP(CleanData_[[#This Row],[Batch To Pull]],PhysicalData_1[Batch Code],PhysicalData_1[Quantity (physical)]," ")</f>
        <v>540</v>
      </c>
    </row>
    <row r="96" spans="1:13" x14ac:dyDescent="0.35">
      <c r="A96" s="18" t="s">
        <v>792</v>
      </c>
      <c r="B96" s="18" t="s">
        <v>254</v>
      </c>
      <c r="C96" s="18" t="s">
        <v>593</v>
      </c>
      <c r="D96" s="18" t="s">
        <v>593</v>
      </c>
      <c r="E96" s="18" t="s">
        <v>585</v>
      </c>
      <c r="F96" s="18" t="s">
        <v>593</v>
      </c>
      <c r="G96" s="18">
        <v>358</v>
      </c>
      <c r="H96" s="18" t="s">
        <v>955</v>
      </c>
      <c r="I96" s="18" t="str">
        <f>_xlfn.XLOOKUP(CleanData_[[#This Row],[SAP Match Key]],PhysicalData_1[Physical Match Key],PhysicalData_1[Batch Code],"Mismatch")</f>
        <v>Mismatch</v>
      </c>
      <c r="J9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9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96" s="18" t="str">
        <f>_xlfn.XLOOKUP(CleanData_[[#This Row],[Batch To Pull]],PhysicalData_1[Batch Code],PhysicalData_1[Physical Expiry Month]," ")</f>
        <v xml:space="preserve"> </v>
      </c>
      <c r="M96" s="18" t="str">
        <f>_xlfn.XLOOKUP(CleanData_[[#This Row],[Batch To Pull]],PhysicalData_1[Batch Code],PhysicalData_1[Quantity (physical)]," ")</f>
        <v xml:space="preserve"> </v>
      </c>
    </row>
    <row r="97" spans="1:13" x14ac:dyDescent="0.35">
      <c r="A97" s="18" t="s">
        <v>793</v>
      </c>
      <c r="B97" s="18" t="s">
        <v>249</v>
      </c>
      <c r="C97" s="18" t="s">
        <v>594</v>
      </c>
      <c r="D97" s="18" t="s">
        <v>594</v>
      </c>
      <c r="E97" s="18" t="s">
        <v>585</v>
      </c>
      <c r="F97" s="18" t="s">
        <v>594</v>
      </c>
      <c r="G97" s="18">
        <v>449</v>
      </c>
      <c r="H97" s="18" t="s">
        <v>956</v>
      </c>
      <c r="I97" s="18" t="str">
        <f>_xlfn.XLOOKUP(CleanData_[[#This Row],[SAP Match Key]],PhysicalData_1[Physical Match Key],PhysicalData_1[Batch Code],"Mismatch")</f>
        <v>Mismatch</v>
      </c>
      <c r="J9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SCH6D008B</v>
      </c>
      <c r="K9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SCH6D008B</v>
      </c>
      <c r="L97" s="18" t="str">
        <f>_xlfn.XLOOKUP(CleanData_[[#This Row],[Batch To Pull]],PhysicalData_1[Batch Code],PhysicalData_1[Physical Expiry Month]," ")</f>
        <v>March</v>
      </c>
      <c r="M97" s="18">
        <f>_xlfn.XLOOKUP(CleanData_[[#This Row],[Batch To Pull]],PhysicalData_1[Batch Code],PhysicalData_1[Quantity (physical)]," ")</f>
        <v>801</v>
      </c>
    </row>
    <row r="98" spans="1:13" x14ac:dyDescent="0.35">
      <c r="A98" s="18" t="s">
        <v>794</v>
      </c>
      <c r="B98" s="18" t="s">
        <v>306</v>
      </c>
      <c r="C98" s="18" t="s">
        <v>592</v>
      </c>
      <c r="D98" s="18" t="s">
        <v>594</v>
      </c>
      <c r="E98" s="18" t="s">
        <v>584</v>
      </c>
      <c r="F98" s="18" t="s">
        <v>594</v>
      </c>
      <c r="G98" s="18">
        <v>850</v>
      </c>
      <c r="H98" s="18" t="s">
        <v>957</v>
      </c>
      <c r="I98" s="18" t="str">
        <f>_xlfn.XLOOKUP(CleanData_[[#This Row],[SAP Match Key]],PhysicalData_1[Physical Match Key],PhysicalData_1[Batch Code],"Mismatch")</f>
        <v>Mismatch</v>
      </c>
      <c r="J9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9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98" s="18" t="str">
        <f>_xlfn.XLOOKUP(CleanData_[[#This Row],[Batch To Pull]],PhysicalData_1[Batch Code],PhysicalData_1[Physical Expiry Month]," ")</f>
        <v xml:space="preserve"> </v>
      </c>
      <c r="M98" s="18" t="str">
        <f>_xlfn.XLOOKUP(CleanData_[[#This Row],[Batch To Pull]],PhysicalData_1[Batch Code],PhysicalData_1[Quantity (physical)]," ")</f>
        <v xml:space="preserve"> </v>
      </c>
    </row>
    <row r="99" spans="1:13" x14ac:dyDescent="0.35">
      <c r="A99" s="18" t="s">
        <v>795</v>
      </c>
      <c r="B99" s="18" t="s">
        <v>299</v>
      </c>
      <c r="C99" s="18" t="s">
        <v>593</v>
      </c>
      <c r="D99" s="18" t="s">
        <v>593</v>
      </c>
      <c r="E99" s="18" t="s">
        <v>585</v>
      </c>
      <c r="F99" s="18" t="s">
        <v>593</v>
      </c>
      <c r="G99" s="18">
        <v>254</v>
      </c>
      <c r="H99" s="18" t="s">
        <v>958</v>
      </c>
      <c r="I99" s="18" t="str">
        <f>_xlfn.XLOOKUP(CleanData_[[#This Row],[SAP Match Key]],PhysicalData_1[Physical Match Key],PhysicalData_1[Batch Code],"Mismatch")</f>
        <v>Mismatch</v>
      </c>
      <c r="J9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SCH6F024C</v>
      </c>
      <c r="K9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SCH6F024C</v>
      </c>
      <c r="L99" s="18" t="str">
        <f>_xlfn.XLOOKUP(CleanData_[[#This Row],[Batch To Pull]],PhysicalData_1[Batch Code],PhysicalData_1[Physical Expiry Month]," ")</f>
        <v>May</v>
      </c>
      <c r="M99" s="18">
        <f>_xlfn.XLOOKUP(CleanData_[[#This Row],[Batch To Pull]],PhysicalData_1[Batch Code],PhysicalData_1[Quantity (physical)]," ")</f>
        <v>720</v>
      </c>
    </row>
    <row r="100" spans="1:13" x14ac:dyDescent="0.35">
      <c r="A100" s="18" t="s">
        <v>795</v>
      </c>
      <c r="B100" s="18" t="s">
        <v>301</v>
      </c>
      <c r="C100" s="18" t="s">
        <v>593</v>
      </c>
      <c r="D100" s="18" t="s">
        <v>593</v>
      </c>
      <c r="E100" s="18" t="s">
        <v>585</v>
      </c>
      <c r="F100" s="18" t="s">
        <v>593</v>
      </c>
      <c r="G100" s="18">
        <v>528</v>
      </c>
      <c r="H100" s="18" t="s">
        <v>959</v>
      </c>
      <c r="I100" s="18" t="str">
        <f>_xlfn.XLOOKUP(CleanData_[[#This Row],[SAP Match Key]],PhysicalData_1[Physical Match Key],PhysicalData_1[Batch Code],"Mismatch")</f>
        <v>Mismatch</v>
      </c>
      <c r="J10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SCH6F024C</v>
      </c>
      <c r="K10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SCH6F024C</v>
      </c>
      <c r="L100" s="18" t="str">
        <f>_xlfn.XLOOKUP(CleanData_[[#This Row],[Batch To Pull]],PhysicalData_1[Batch Code],PhysicalData_1[Physical Expiry Month]," ")</f>
        <v>May</v>
      </c>
      <c r="M100" s="18">
        <f>_xlfn.XLOOKUP(CleanData_[[#This Row],[Batch To Pull]],PhysicalData_1[Batch Code],PhysicalData_1[Quantity (physical)]," ")</f>
        <v>720</v>
      </c>
    </row>
    <row r="101" spans="1:13" x14ac:dyDescent="0.35">
      <c r="A101" s="18" t="s">
        <v>795</v>
      </c>
      <c r="B101" s="18" t="s">
        <v>303</v>
      </c>
      <c r="C101" s="18" t="s">
        <v>593</v>
      </c>
      <c r="D101" s="18" t="s">
        <v>593</v>
      </c>
      <c r="E101" s="18" t="s">
        <v>585</v>
      </c>
      <c r="F101" s="18" t="s">
        <v>593</v>
      </c>
      <c r="G101" s="18">
        <v>720</v>
      </c>
      <c r="H101" s="18" t="s">
        <v>960</v>
      </c>
      <c r="I101" s="18" t="str">
        <f>_xlfn.XLOOKUP(CleanData_[[#This Row],[SAP Match Key]],PhysicalData_1[Physical Match Key],PhysicalData_1[Batch Code],"Mismatch")</f>
        <v>Mismatch</v>
      </c>
      <c r="J10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SCH6F024C</v>
      </c>
      <c r="K10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SCH6F024C</v>
      </c>
      <c r="L101" s="18" t="str">
        <f>_xlfn.XLOOKUP(CleanData_[[#This Row],[Batch To Pull]],PhysicalData_1[Batch Code],PhysicalData_1[Physical Expiry Month]," ")</f>
        <v>May</v>
      </c>
      <c r="M101" s="18">
        <f>_xlfn.XLOOKUP(CleanData_[[#This Row],[Batch To Pull]],PhysicalData_1[Batch Code],PhysicalData_1[Quantity (physical)]," ")</f>
        <v>720</v>
      </c>
    </row>
    <row r="102" spans="1:13" x14ac:dyDescent="0.35">
      <c r="A102" s="18" t="s">
        <v>796</v>
      </c>
      <c r="B102" s="18" t="s">
        <v>296</v>
      </c>
      <c r="C102" s="18" t="s">
        <v>593</v>
      </c>
      <c r="D102" s="18" t="s">
        <v>593</v>
      </c>
      <c r="E102" s="18" t="s">
        <v>585</v>
      </c>
      <c r="F102" s="18" t="s">
        <v>593</v>
      </c>
      <c r="G102" s="18">
        <v>627</v>
      </c>
      <c r="H102" s="18" t="s">
        <v>879</v>
      </c>
      <c r="I102" s="18" t="str">
        <f>_xlfn.XLOOKUP(CleanData_[[#This Row],[SAP Match Key]],PhysicalData_1[Physical Match Key],PhysicalData_1[Batch Code],"Mismatch")</f>
        <v>SCH6F024C</v>
      </c>
      <c r="J10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0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SCH6F024C</v>
      </c>
      <c r="L102" s="18" t="str">
        <f>_xlfn.XLOOKUP(CleanData_[[#This Row],[Batch To Pull]],PhysicalData_1[Batch Code],PhysicalData_1[Physical Expiry Month]," ")</f>
        <v>May</v>
      </c>
      <c r="M102" s="18">
        <f>_xlfn.XLOOKUP(CleanData_[[#This Row],[Batch To Pull]],PhysicalData_1[Batch Code],PhysicalData_1[Quantity (physical)]," ")</f>
        <v>720</v>
      </c>
    </row>
    <row r="103" spans="1:13" x14ac:dyDescent="0.35">
      <c r="A103" s="18" t="s">
        <v>797</v>
      </c>
      <c r="B103" s="18" t="s">
        <v>419</v>
      </c>
      <c r="C103" s="18" t="s">
        <v>592</v>
      </c>
      <c r="D103" s="18" t="s">
        <v>592</v>
      </c>
      <c r="E103" s="18" t="s">
        <v>585</v>
      </c>
      <c r="F103" s="18" t="s">
        <v>592</v>
      </c>
      <c r="G103" s="18">
        <v>342.375</v>
      </c>
      <c r="H103" s="18" t="s">
        <v>876</v>
      </c>
      <c r="I103" s="18" t="str">
        <f>_xlfn.XLOOKUP(CleanData_[[#This Row],[SAP Match Key]],PhysicalData_1[Physical Match Key],PhysicalData_1[Batch Code],"Mismatch")</f>
        <v>SCH6CVC056</v>
      </c>
      <c r="J10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0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SCH6CVC056</v>
      </c>
      <c r="L103" s="18" t="str">
        <f>_xlfn.XLOOKUP(CleanData_[[#This Row],[Batch To Pull]],PhysicalData_1[Batch Code],PhysicalData_1[Physical Expiry Month]," ")</f>
        <v>February</v>
      </c>
      <c r="M103" s="18">
        <f>_xlfn.XLOOKUP(CleanData_[[#This Row],[Batch To Pull]],PhysicalData_1[Batch Code],PhysicalData_1[Quantity (physical)]," ")</f>
        <v>913</v>
      </c>
    </row>
    <row r="104" spans="1:13" x14ac:dyDescent="0.35">
      <c r="A104" s="18" t="s">
        <v>798</v>
      </c>
      <c r="B104" s="18" t="s">
        <v>346</v>
      </c>
      <c r="C104" s="18" t="s">
        <v>594</v>
      </c>
      <c r="D104" s="18" t="s">
        <v>594</v>
      </c>
      <c r="E104" s="18" t="s">
        <v>585</v>
      </c>
      <c r="F104" s="18" t="s">
        <v>594</v>
      </c>
      <c r="G104" s="18">
        <v>566.4</v>
      </c>
      <c r="H104" s="18" t="s">
        <v>885</v>
      </c>
      <c r="I104" s="18" t="str">
        <f>_xlfn.XLOOKUP(CleanData_[[#This Row],[SAP Match Key]],PhysicalData_1[Physical Match Key],PhysicalData_1[Batch Code],"Mismatch")</f>
        <v>SCH6DW2018</v>
      </c>
      <c r="J10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0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SCH6DW2018</v>
      </c>
      <c r="L104" s="18" t="str">
        <f>_xlfn.XLOOKUP(CleanData_[[#This Row],[Batch To Pull]],PhysicalData_1[Batch Code],PhysicalData_1[Physical Expiry Month]," ")</f>
        <v>March</v>
      </c>
      <c r="M104" s="18">
        <f>_xlfn.XLOOKUP(CleanData_[[#This Row],[Batch To Pull]],PhysicalData_1[Batch Code],PhysicalData_1[Quantity (physical)]," ")</f>
        <v>1244</v>
      </c>
    </row>
    <row r="105" spans="1:13" x14ac:dyDescent="0.35">
      <c r="A105" s="18" t="s">
        <v>799</v>
      </c>
      <c r="B105" s="18" t="s">
        <v>349</v>
      </c>
      <c r="C105" s="18" t="s">
        <v>592</v>
      </c>
      <c r="D105" s="18" t="s">
        <v>594</v>
      </c>
      <c r="E105" s="18" t="s">
        <v>584</v>
      </c>
      <c r="F105" s="18" t="s">
        <v>592</v>
      </c>
      <c r="G105" s="18">
        <v>207.6</v>
      </c>
      <c r="H105" s="18" t="s">
        <v>883</v>
      </c>
      <c r="I105" s="18" t="str">
        <f>_xlfn.XLOOKUP(CleanData_[[#This Row],[SAP Match Key]],PhysicalData_1[Physical Match Key],PhysicalData_1[Batch Code],"Mismatch")</f>
        <v>SCH6CW2012</v>
      </c>
      <c r="J105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05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05" s="18" t="str">
        <f>_xlfn.XLOOKUP(CleanData_[[#This Row],[Batch To Pull]],PhysicalData_1[Batch Code],PhysicalData_1[Physical Expiry Month]," ")</f>
        <v>February</v>
      </c>
      <c r="M105" s="18">
        <f>_xlfn.XLOOKUP(CleanData_[[#This Row],[Batch To Pull]],PhysicalData_1[Batch Code],PhysicalData_1[Quantity (physical)]," ")</f>
        <v>8351</v>
      </c>
    </row>
    <row r="106" spans="1:13" x14ac:dyDescent="0.35">
      <c r="A106" s="18" t="s">
        <v>799</v>
      </c>
      <c r="B106" s="18" t="s">
        <v>351</v>
      </c>
      <c r="C106" s="18" t="s">
        <v>592</v>
      </c>
      <c r="D106" s="18" t="s">
        <v>592</v>
      </c>
      <c r="E106" s="18" t="s">
        <v>585</v>
      </c>
      <c r="F106" s="18" t="s">
        <v>592</v>
      </c>
      <c r="G106" s="18">
        <v>80</v>
      </c>
      <c r="H106" s="18" t="s">
        <v>961</v>
      </c>
      <c r="I106" s="18" t="str">
        <f>_xlfn.XLOOKUP(CleanData_[[#This Row],[SAP Match Key]],PhysicalData_1[Physical Match Key],PhysicalData_1[Batch Code],"Mismatch")</f>
        <v>Mismatch</v>
      </c>
      <c r="J106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SCH6CW2012</v>
      </c>
      <c r="K106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06" s="18" t="str">
        <f>_xlfn.XLOOKUP(CleanData_[[#This Row],[Batch To Pull]],PhysicalData_1[Batch Code],PhysicalData_1[Physical Expiry Month]," ")</f>
        <v>February</v>
      </c>
      <c r="M106" s="18">
        <f>_xlfn.XLOOKUP(CleanData_[[#This Row],[Batch To Pull]],PhysicalData_1[Batch Code],PhysicalData_1[Quantity (physical)]," ")</f>
        <v>8351</v>
      </c>
    </row>
    <row r="107" spans="1:13" x14ac:dyDescent="0.35">
      <c r="A107" s="18" t="s">
        <v>799</v>
      </c>
      <c r="B107" s="18" t="s">
        <v>353</v>
      </c>
      <c r="C107" s="18" t="s">
        <v>592</v>
      </c>
      <c r="D107" s="18" t="s">
        <v>590</v>
      </c>
      <c r="E107" s="18" t="s">
        <v>584</v>
      </c>
      <c r="F107" s="18" t="s">
        <v>590</v>
      </c>
      <c r="G107" s="18">
        <v>634.4</v>
      </c>
      <c r="H107" s="18" t="s">
        <v>962</v>
      </c>
      <c r="I107" s="18" t="str">
        <f>_xlfn.XLOOKUP(CleanData_[[#This Row],[SAP Match Key]],PhysicalData_1[Physical Match Key],PhysicalData_1[Batch Code],"Mismatch")</f>
        <v>Mismatch</v>
      </c>
      <c r="J107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SCH6CW2012</v>
      </c>
      <c r="K107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07" s="18" t="str">
        <f>_xlfn.XLOOKUP(CleanData_[[#This Row],[Batch To Pull]],PhysicalData_1[Batch Code],PhysicalData_1[Physical Expiry Month]," ")</f>
        <v>February</v>
      </c>
      <c r="M107" s="18">
        <f>_xlfn.XLOOKUP(CleanData_[[#This Row],[Batch To Pull]],PhysicalData_1[Batch Code],PhysicalData_1[Quantity (physical)]," ")</f>
        <v>8351</v>
      </c>
    </row>
    <row r="108" spans="1:13" x14ac:dyDescent="0.35">
      <c r="A108" s="18" t="s">
        <v>799</v>
      </c>
      <c r="B108" s="18" t="s">
        <v>355</v>
      </c>
      <c r="C108" s="18" t="s">
        <v>592</v>
      </c>
      <c r="D108" s="18" t="s">
        <v>592</v>
      </c>
      <c r="E108" s="18" t="s">
        <v>585</v>
      </c>
      <c r="F108" s="18" t="s">
        <v>592</v>
      </c>
      <c r="G108" s="18">
        <v>833.6</v>
      </c>
      <c r="H108" s="18" t="s">
        <v>963</v>
      </c>
      <c r="I108" s="18" t="str">
        <f>_xlfn.XLOOKUP(CleanData_[[#This Row],[SAP Match Key]],PhysicalData_1[Physical Match Key],PhysicalData_1[Batch Code],"Mismatch")</f>
        <v>Mismatch</v>
      </c>
      <c r="J108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SCH6CW2012</v>
      </c>
      <c r="K108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08" s="18" t="str">
        <f>_xlfn.XLOOKUP(CleanData_[[#This Row],[Batch To Pull]],PhysicalData_1[Batch Code],PhysicalData_1[Physical Expiry Month]," ")</f>
        <v>February</v>
      </c>
      <c r="M108" s="18">
        <f>_xlfn.XLOOKUP(CleanData_[[#This Row],[Batch To Pull]],PhysicalData_1[Batch Code],PhysicalData_1[Quantity (physical)]," ")</f>
        <v>8351</v>
      </c>
    </row>
    <row r="109" spans="1:13" x14ac:dyDescent="0.35">
      <c r="A109" s="18" t="s">
        <v>799</v>
      </c>
      <c r="B109" s="18" t="s">
        <v>357</v>
      </c>
      <c r="C109" s="18" t="s">
        <v>592</v>
      </c>
      <c r="D109" s="18" t="s">
        <v>590</v>
      </c>
      <c r="E109" s="18" t="s">
        <v>584</v>
      </c>
      <c r="F109" s="18" t="s">
        <v>590</v>
      </c>
      <c r="G109" s="18">
        <v>762</v>
      </c>
      <c r="H109" s="18" t="s">
        <v>964</v>
      </c>
      <c r="I109" s="18" t="str">
        <f>_xlfn.XLOOKUP(CleanData_[[#This Row],[SAP Match Key]],PhysicalData_1[Physical Match Key],PhysicalData_1[Batch Code],"Mismatch")</f>
        <v>Mismatch</v>
      </c>
      <c r="J109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SCH6CW2012</v>
      </c>
      <c r="K109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09" s="18" t="str">
        <f>_xlfn.XLOOKUP(CleanData_[[#This Row],[Batch To Pull]],PhysicalData_1[Batch Code],PhysicalData_1[Physical Expiry Month]," ")</f>
        <v>February</v>
      </c>
      <c r="M109" s="18">
        <f>_xlfn.XLOOKUP(CleanData_[[#This Row],[Batch To Pull]],PhysicalData_1[Batch Code],PhysicalData_1[Quantity (physical)]," ")</f>
        <v>8351</v>
      </c>
    </row>
    <row r="110" spans="1:13" x14ac:dyDescent="0.35">
      <c r="A110" s="18" t="s">
        <v>799</v>
      </c>
      <c r="B110" s="18" t="s">
        <v>359</v>
      </c>
      <c r="C110" s="18" t="s">
        <v>592</v>
      </c>
      <c r="D110" s="18" t="s">
        <v>590</v>
      </c>
      <c r="E110" s="18" t="s">
        <v>584</v>
      </c>
      <c r="F110" s="18" t="s">
        <v>590</v>
      </c>
      <c r="G110" s="18">
        <v>672</v>
      </c>
      <c r="H110" s="18" t="s">
        <v>965</v>
      </c>
      <c r="I110" s="18" t="str">
        <f>_xlfn.XLOOKUP(CleanData_[[#This Row],[SAP Match Key]],PhysicalData_1[Physical Match Key],PhysicalData_1[Batch Code],"Mismatch")</f>
        <v>Mismatch</v>
      </c>
      <c r="J110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SCH6CW2012</v>
      </c>
      <c r="K110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SCH6CW2012</v>
      </c>
      <c r="L110" s="18" t="str">
        <f>_xlfn.XLOOKUP(CleanData_[[#This Row],[Batch To Pull]],PhysicalData_1[Batch Code],PhysicalData_1[Physical Expiry Month]," ")</f>
        <v>February</v>
      </c>
      <c r="M110" s="18">
        <f>_xlfn.XLOOKUP(CleanData_[[#This Row],[Batch To Pull]],PhysicalData_1[Batch Code],PhysicalData_1[Quantity (physical)]," ")</f>
        <v>8351</v>
      </c>
    </row>
    <row r="111" spans="1:13" x14ac:dyDescent="0.35">
      <c r="A111" s="18" t="s">
        <v>799</v>
      </c>
      <c r="B111" s="18" t="s">
        <v>361</v>
      </c>
      <c r="C111" s="18" t="s">
        <v>594</v>
      </c>
      <c r="D111" s="18" t="s">
        <v>593</v>
      </c>
      <c r="E111" s="18" t="s">
        <v>584</v>
      </c>
      <c r="F111" s="18" t="s">
        <v>593</v>
      </c>
      <c r="G111" s="18">
        <v>646.4</v>
      </c>
      <c r="H111" s="18" t="s">
        <v>966</v>
      </c>
      <c r="I111" s="18" t="str">
        <f>_xlfn.XLOOKUP(CleanData_[[#This Row],[SAP Match Key]],PhysicalData_1[Physical Match Key],PhysicalData_1[Batch Code],"Mismatch")</f>
        <v>Mismatch</v>
      </c>
      <c r="J111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No close batch found</v>
      </c>
      <c r="K111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/>
      </c>
      <c r="L111" s="18" t="str">
        <f>_xlfn.XLOOKUP(CleanData_[[#This Row],[Batch To Pull]],PhysicalData_1[Batch Code],PhysicalData_1[Physical Expiry Month]," ")</f>
        <v xml:space="preserve"> </v>
      </c>
      <c r="M111" s="18" t="str">
        <f>_xlfn.XLOOKUP(CleanData_[[#This Row],[Batch To Pull]],PhysicalData_1[Batch Code],PhysicalData_1[Quantity (physical)]," ")</f>
        <v xml:space="preserve"> </v>
      </c>
    </row>
    <row r="112" spans="1:13" x14ac:dyDescent="0.35">
      <c r="A112" s="18" t="s">
        <v>800</v>
      </c>
      <c r="B112" s="18" t="s">
        <v>159</v>
      </c>
      <c r="C112" s="18" t="s">
        <v>591</v>
      </c>
      <c r="D112" s="18" t="s">
        <v>590</v>
      </c>
      <c r="E112" s="18" t="s">
        <v>584</v>
      </c>
      <c r="F112" s="18" t="s">
        <v>590</v>
      </c>
      <c r="G112" s="18">
        <v>253</v>
      </c>
      <c r="H112" s="18" t="s">
        <v>967</v>
      </c>
      <c r="I112" s="18" t="str">
        <f>_xlfn.XLOOKUP(CleanData_[[#This Row],[SAP Match Key]],PhysicalData_1[Physical Match Key],PhysicalData_1[Batch Code],"Mismatch")</f>
        <v>Mismatch</v>
      </c>
      <c r="J112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SCH5GS2064</v>
      </c>
      <c r="K112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SCH5GS2064</v>
      </c>
      <c r="L112" s="18" t="str">
        <f>_xlfn.XLOOKUP(CleanData_[[#This Row],[Batch To Pull]],PhysicalData_1[Batch Code],PhysicalData_1[Physical Expiry Month]," ")</f>
        <v>June</v>
      </c>
      <c r="M112" s="18">
        <f>_xlfn.XLOOKUP(CleanData_[[#This Row],[Batch To Pull]],PhysicalData_1[Batch Code],PhysicalData_1[Quantity (physical)]," ")</f>
        <v>474</v>
      </c>
    </row>
    <row r="113" spans="1:13" x14ac:dyDescent="0.35">
      <c r="A113" s="18" t="s">
        <v>800</v>
      </c>
      <c r="B113" s="18" t="s">
        <v>161</v>
      </c>
      <c r="C113" s="18" t="s">
        <v>589</v>
      </c>
      <c r="D113" s="18" t="s">
        <v>589</v>
      </c>
      <c r="E113" s="18" t="s">
        <v>585</v>
      </c>
      <c r="F113" s="18" t="s">
        <v>589</v>
      </c>
      <c r="G113" s="18">
        <v>561</v>
      </c>
      <c r="H113" s="18" t="s">
        <v>887</v>
      </c>
      <c r="I113" s="18" t="str">
        <f>_xlfn.XLOOKUP(CleanData_[[#This Row],[SAP Match Key]],PhysicalData_1[Physical Match Key],PhysicalData_1[Batch Code],"Mismatch")</f>
        <v>SCH6AS2023</v>
      </c>
      <c r="J113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/>
      </c>
      <c r="K113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SCH6AS2023</v>
      </c>
      <c r="L113" s="18" t="str">
        <f>_xlfn.XLOOKUP(CleanData_[[#This Row],[Batch To Pull]],PhysicalData_1[Batch Code],PhysicalData_1[Physical Expiry Month]," ")</f>
        <v>December</v>
      </c>
      <c r="M113" s="18">
        <f>_xlfn.XLOOKUP(CleanData_[[#This Row],[Batch To Pull]],PhysicalData_1[Batch Code],PhysicalData_1[Quantity (physical)]," ")</f>
        <v>1438</v>
      </c>
    </row>
    <row r="114" spans="1:13" x14ac:dyDescent="0.35">
      <c r="A114" s="18" t="s">
        <v>800</v>
      </c>
      <c r="B114" s="18" t="s">
        <v>163</v>
      </c>
      <c r="C114" s="18" t="s">
        <v>589</v>
      </c>
      <c r="D114" s="18" t="s">
        <v>593</v>
      </c>
      <c r="E114" s="18" t="s">
        <v>584</v>
      </c>
      <c r="F114" s="18" t="s">
        <v>593</v>
      </c>
      <c r="G114" s="18">
        <v>958</v>
      </c>
      <c r="H114" s="18" t="s">
        <v>968</v>
      </c>
      <c r="I114" s="18" t="str">
        <f>_xlfn.XLOOKUP(CleanData_[[#This Row],[SAP Match Key]],PhysicalData_1[Physical Match Key],PhysicalData_1[Batch Code],"Mismatch")</f>
        <v>Mismatch</v>
      </c>
      <c r="J114" s="18" t="str">
        <f>IF(CleanData_[[#This Row],[Physical 
Batch Code]]&lt;&gt;"Mismatch","",
_xlfn.XLOOKUP(CleanData_[[#This Row],[Product
&amp; Pack Size]]&amp;" | "&amp;LEFT(CleanData_[[#This Row],[Batch]],6)&amp;"*",
PhysicalData_1[Physical Match Key],
PhysicalData_1[Batch Code],
"No close batch found",
2))</f>
        <v>SCH6AS2023</v>
      </c>
      <c r="K114" s="18" t="str">
        <f>IF(CleanData_[[#This Row],[Physical 
Batch Code]]&lt;&gt;"Mismatch",CleanData_[[#This Row],[Physical 
Batch Code]],IF(CleanData_[[#This Row],[Closest Physical 
Batch Candidate]]="No close batch found","",CleanData_[[#This Row],[Closest Physical 
Batch Candidate]]))</f>
        <v>SCH6AS2023</v>
      </c>
      <c r="L114" s="18" t="str">
        <f>_xlfn.XLOOKUP(CleanData_[[#This Row],[Batch To Pull]],PhysicalData_1[Batch Code],PhysicalData_1[Physical Expiry Month]," ")</f>
        <v>December</v>
      </c>
      <c r="M114" s="18">
        <f>_xlfn.XLOOKUP(CleanData_[[#This Row],[Batch To Pull]],PhysicalData_1[Batch Code],PhysicalData_1[Quantity (physical)]," ")</f>
        <v>1438</v>
      </c>
    </row>
  </sheetData>
  <phoneticPr fontId="3" type="noConversion"/>
  <conditionalFormatting sqref="E1:E1048576">
    <cfRule type="cellIs" dxfId="5" priority="3" operator="equal">
      <formula>$E$2</formula>
    </cfRule>
  </conditionalFormatting>
  <conditionalFormatting sqref="I2:I114">
    <cfRule type="cellIs" dxfId="4" priority="2" operator="notEqual">
      <formula>$I$2</formula>
    </cfRule>
  </conditionalFormatting>
  <conditionalFormatting sqref="J1:K1048576">
    <cfRule type="cellIs" dxfId="3" priority="7" operator="equal">
      <formula>$I$2</formula>
    </cfRule>
  </conditionalFormatting>
  <conditionalFormatting sqref="J2:K114">
    <cfRule type="cellIs" dxfId="2" priority="1" operator="equal">
      <formula>$J$111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2145F-9694-4434-882C-BBC097571283}">
  <dimension ref="A1:G115"/>
  <sheetViews>
    <sheetView workbookViewId="0">
      <pane xSplit="1" ySplit="2" topLeftCell="D11" activePane="bottomRight" state="frozen"/>
      <selection pane="topRight" activeCell="B1" sqref="B1"/>
      <selection pane="bottomLeft" activeCell="A2" sqref="A2"/>
      <selection pane="bottomRight" activeCell="G11" sqref="G11"/>
    </sheetView>
  </sheetViews>
  <sheetFormatPr defaultRowHeight="14.5" x14ac:dyDescent="0.35"/>
  <cols>
    <col min="1" max="1" width="36.08984375" bestFit="1" customWidth="1"/>
    <col min="2" max="2" width="12.26953125" bestFit="1" customWidth="1"/>
    <col min="3" max="3" width="13.54296875" bestFit="1" customWidth="1"/>
    <col min="4" max="4" width="29.7265625" bestFit="1" customWidth="1"/>
    <col min="5" max="5" width="9.1796875" bestFit="1" customWidth="1"/>
    <col min="6" max="6" width="27.7265625" bestFit="1" customWidth="1"/>
    <col min="7" max="7" width="22.54296875" bestFit="1" customWidth="1"/>
  </cols>
  <sheetData>
    <row r="1" spans="1:7" ht="23.5" x14ac:dyDescent="0.35">
      <c r="A1" s="22" t="s">
        <v>742</v>
      </c>
      <c r="B1" s="22"/>
      <c r="C1" s="22"/>
      <c r="D1" s="22"/>
      <c r="E1" s="22"/>
      <c r="F1" s="22"/>
      <c r="G1" s="22"/>
    </row>
    <row r="2" spans="1:7" x14ac:dyDescent="0.35">
      <c r="A2" s="12" t="s">
        <v>1</v>
      </c>
      <c r="B2" s="12" t="s">
        <v>4</v>
      </c>
      <c r="C2" s="12" t="s">
        <v>586</v>
      </c>
      <c r="D2" t="s">
        <v>598</v>
      </c>
      <c r="E2" s="12" t="s">
        <v>583</v>
      </c>
      <c r="F2" t="s">
        <v>599</v>
      </c>
      <c r="G2" s="12" t="s">
        <v>745</v>
      </c>
    </row>
    <row r="3" spans="1:7" x14ac:dyDescent="0.35">
      <c r="A3" t="s">
        <v>473</v>
      </c>
      <c r="B3" t="s">
        <v>474</v>
      </c>
      <c r="C3" t="s">
        <v>593</v>
      </c>
      <c r="D3" t="s">
        <v>594</v>
      </c>
      <c r="E3" t="s">
        <v>584</v>
      </c>
      <c r="F3" t="s">
        <v>594</v>
      </c>
      <c r="G3">
        <f>_xlfn.XLOOKUP(CleanData[[#This Row],[Batch]],DataTable[Batch],DataTable[Grand Total])</f>
        <v>895.2</v>
      </c>
    </row>
    <row r="4" spans="1:7" x14ac:dyDescent="0.35">
      <c r="A4" t="s">
        <v>334</v>
      </c>
      <c r="B4" t="s">
        <v>335</v>
      </c>
      <c r="C4" t="s">
        <v>588</v>
      </c>
      <c r="D4" t="s">
        <v>594</v>
      </c>
      <c r="E4" t="s">
        <v>584</v>
      </c>
      <c r="F4" t="s">
        <v>594</v>
      </c>
      <c r="G4">
        <f>_xlfn.XLOOKUP(CleanData[[#This Row],[Batch]],DataTable[Batch],DataTable[Grand Total])</f>
        <v>273</v>
      </c>
    </row>
    <row r="5" spans="1:7" x14ac:dyDescent="0.35">
      <c r="A5" t="s">
        <v>512</v>
      </c>
      <c r="B5" t="s">
        <v>513</v>
      </c>
      <c r="C5" t="s">
        <v>592</v>
      </c>
      <c r="D5" t="s">
        <v>590</v>
      </c>
      <c r="E5" t="s">
        <v>584</v>
      </c>
      <c r="F5" t="s">
        <v>590</v>
      </c>
      <c r="G5">
        <f>_xlfn.XLOOKUP(CleanData[[#This Row],[Batch]],DataTable[Batch],DataTable[Grand Total])</f>
        <v>3050</v>
      </c>
    </row>
    <row r="6" spans="1:7" x14ac:dyDescent="0.35">
      <c r="A6" t="s">
        <v>512</v>
      </c>
      <c r="B6" t="s">
        <v>515</v>
      </c>
      <c r="C6" t="s">
        <v>592</v>
      </c>
      <c r="D6" t="s">
        <v>590</v>
      </c>
      <c r="E6" t="s">
        <v>584</v>
      </c>
      <c r="F6" t="s">
        <v>590</v>
      </c>
      <c r="G6">
        <f>_xlfn.XLOOKUP(CleanData[[#This Row],[Batch]],DataTable[Batch],DataTable[Grand Total])</f>
        <v>1390</v>
      </c>
    </row>
    <row r="7" spans="1:7" x14ac:dyDescent="0.35">
      <c r="A7" t="s">
        <v>512</v>
      </c>
      <c r="B7" t="s">
        <v>517</v>
      </c>
      <c r="C7" t="s">
        <v>592</v>
      </c>
      <c r="D7" t="s">
        <v>590</v>
      </c>
      <c r="E7" t="s">
        <v>584</v>
      </c>
      <c r="F7" t="s">
        <v>590</v>
      </c>
      <c r="G7">
        <f>_xlfn.XLOOKUP(CleanData[[#This Row],[Batch]],DataTable[Batch],DataTable[Grand Total])</f>
        <v>4985</v>
      </c>
    </row>
    <row r="8" spans="1:7" x14ac:dyDescent="0.35">
      <c r="A8" t="s">
        <v>512</v>
      </c>
      <c r="B8" t="s">
        <v>519</v>
      </c>
      <c r="C8" t="s">
        <v>592</v>
      </c>
      <c r="D8" t="s">
        <v>590</v>
      </c>
      <c r="E8" t="s">
        <v>584</v>
      </c>
      <c r="F8" t="s">
        <v>590</v>
      </c>
      <c r="G8">
        <f>_xlfn.XLOOKUP(CleanData[[#This Row],[Batch]],DataTable[Batch],DataTable[Grand Total])</f>
        <v>3535</v>
      </c>
    </row>
    <row r="9" spans="1:7" x14ac:dyDescent="0.35">
      <c r="A9" t="s">
        <v>521</v>
      </c>
      <c r="B9" t="s">
        <v>522</v>
      </c>
      <c r="C9" t="s">
        <v>589</v>
      </c>
      <c r="D9" t="s">
        <v>592</v>
      </c>
      <c r="E9" t="s">
        <v>584</v>
      </c>
      <c r="F9" t="s">
        <v>592</v>
      </c>
      <c r="G9">
        <f>_xlfn.XLOOKUP(CleanData[[#This Row],[Batch]],DataTable[Batch],DataTable[Grand Total])</f>
        <v>648</v>
      </c>
    </row>
    <row r="10" spans="1:7" x14ac:dyDescent="0.35">
      <c r="A10" t="s">
        <v>521</v>
      </c>
      <c r="B10" t="s">
        <v>524</v>
      </c>
      <c r="C10" t="s">
        <v>589</v>
      </c>
      <c r="D10" t="s">
        <v>592</v>
      </c>
      <c r="E10" t="s">
        <v>584</v>
      </c>
      <c r="F10" t="s">
        <v>592</v>
      </c>
      <c r="G10">
        <f>_xlfn.XLOOKUP(CleanData[[#This Row],[Batch]],DataTable[Batch],DataTable[Grand Total])</f>
        <v>1150</v>
      </c>
    </row>
    <row r="11" spans="1:7" x14ac:dyDescent="0.35">
      <c r="A11" t="s">
        <v>521</v>
      </c>
      <c r="B11" t="s">
        <v>526</v>
      </c>
      <c r="C11" t="s">
        <v>592</v>
      </c>
      <c r="D11" t="s">
        <v>592</v>
      </c>
      <c r="E11" t="s">
        <v>585</v>
      </c>
      <c r="F11" t="s">
        <v>592</v>
      </c>
      <c r="G11">
        <f>_xlfn.XLOOKUP(CleanData[[#This Row],[Batch]],DataTable[Batch],DataTable[Grand Total])</f>
        <v>2240</v>
      </c>
    </row>
    <row r="12" spans="1:7" x14ac:dyDescent="0.35">
      <c r="A12" t="s">
        <v>521</v>
      </c>
      <c r="B12" t="s">
        <v>528</v>
      </c>
      <c r="C12" t="s">
        <v>592</v>
      </c>
      <c r="D12" t="s">
        <v>592</v>
      </c>
      <c r="E12" t="s">
        <v>585</v>
      </c>
      <c r="F12" t="s">
        <v>592</v>
      </c>
      <c r="G12">
        <f>_xlfn.XLOOKUP(CleanData[[#This Row],[Batch]],DataTable[Batch],DataTable[Grand Total])</f>
        <v>4096</v>
      </c>
    </row>
    <row r="13" spans="1:7" x14ac:dyDescent="0.35">
      <c r="A13" t="s">
        <v>521</v>
      </c>
      <c r="B13" t="s">
        <v>530</v>
      </c>
      <c r="C13" t="s">
        <v>592</v>
      </c>
      <c r="D13" t="s">
        <v>590</v>
      </c>
      <c r="E13" t="s">
        <v>584</v>
      </c>
      <c r="F13" t="s">
        <v>590</v>
      </c>
      <c r="G13">
        <f>_xlfn.XLOOKUP(CleanData[[#This Row],[Batch]],DataTable[Batch],DataTable[Grand Total])</f>
        <v>2254</v>
      </c>
    </row>
    <row r="14" spans="1:7" x14ac:dyDescent="0.35">
      <c r="A14" t="s">
        <v>532</v>
      </c>
      <c r="B14" t="s">
        <v>533</v>
      </c>
      <c r="C14" t="s">
        <v>596</v>
      </c>
      <c r="D14" t="s">
        <v>588</v>
      </c>
      <c r="E14" t="s">
        <v>584</v>
      </c>
      <c r="F14" t="s">
        <v>588</v>
      </c>
      <c r="G14">
        <f>_xlfn.XLOOKUP(CleanData[[#This Row],[Batch]],DataTable[Batch],DataTable[Grand Total])</f>
        <v>118</v>
      </c>
    </row>
    <row r="15" spans="1:7" x14ac:dyDescent="0.35">
      <c r="A15" t="s">
        <v>532</v>
      </c>
      <c r="B15" t="s">
        <v>535</v>
      </c>
      <c r="C15" t="s">
        <v>589</v>
      </c>
      <c r="D15" t="s">
        <v>590</v>
      </c>
      <c r="E15" t="s">
        <v>584</v>
      </c>
      <c r="F15" t="s">
        <v>590</v>
      </c>
      <c r="G15">
        <f>_xlfn.XLOOKUP(CleanData[[#This Row],[Batch]],DataTable[Batch],DataTable[Grand Total])</f>
        <v>5132</v>
      </c>
    </row>
    <row r="16" spans="1:7" x14ac:dyDescent="0.35">
      <c r="A16" t="s">
        <v>532</v>
      </c>
      <c r="B16" t="s">
        <v>537</v>
      </c>
      <c r="C16" t="s">
        <v>589</v>
      </c>
      <c r="D16" t="s">
        <v>589</v>
      </c>
      <c r="E16" t="s">
        <v>585</v>
      </c>
      <c r="F16" t="s">
        <v>589</v>
      </c>
      <c r="G16">
        <f>_xlfn.XLOOKUP(CleanData[[#This Row],[Batch]],DataTable[Batch],DataTable[Grand Total])</f>
        <v>333</v>
      </c>
    </row>
    <row r="17" spans="1:7" x14ac:dyDescent="0.35">
      <c r="A17" t="s">
        <v>421</v>
      </c>
      <c r="B17" t="s">
        <v>422</v>
      </c>
      <c r="C17" t="s">
        <v>590</v>
      </c>
      <c r="D17" t="s">
        <v>590</v>
      </c>
      <c r="E17" t="s">
        <v>585</v>
      </c>
      <c r="F17" t="s">
        <v>590</v>
      </c>
      <c r="G17">
        <f>_xlfn.XLOOKUP(CleanData[[#This Row],[Batch]],DataTable[Batch],DataTable[Grand Total])</f>
        <v>324</v>
      </c>
    </row>
    <row r="18" spans="1:7" x14ac:dyDescent="0.35">
      <c r="A18" t="s">
        <v>482</v>
      </c>
      <c r="B18" t="s">
        <v>483</v>
      </c>
      <c r="C18" t="s">
        <v>594</v>
      </c>
      <c r="D18" t="s">
        <v>593</v>
      </c>
      <c r="E18" t="s">
        <v>584</v>
      </c>
      <c r="F18" t="s">
        <v>593</v>
      </c>
      <c r="G18">
        <f>_xlfn.XLOOKUP(CleanData[[#This Row],[Batch]],DataTable[Batch],DataTable[Grand Total])</f>
        <v>1900</v>
      </c>
    </row>
    <row r="19" spans="1:7" x14ac:dyDescent="0.35">
      <c r="A19" t="s">
        <v>482</v>
      </c>
      <c r="B19" t="s">
        <v>480</v>
      </c>
      <c r="C19" t="s">
        <v>594</v>
      </c>
      <c r="D19" t="s">
        <v>593</v>
      </c>
      <c r="E19" t="s">
        <v>584</v>
      </c>
      <c r="F19" t="s">
        <v>593</v>
      </c>
      <c r="G19">
        <f>_xlfn.XLOOKUP(CleanData[[#This Row],[Batch]],DataTable[Batch],DataTable[Grand Total])</f>
        <v>654</v>
      </c>
    </row>
    <row r="20" spans="1:7" x14ac:dyDescent="0.35">
      <c r="A20" t="s">
        <v>479</v>
      </c>
      <c r="B20" t="s">
        <v>480</v>
      </c>
      <c r="C20" t="s">
        <v>594</v>
      </c>
      <c r="D20" t="s">
        <v>593</v>
      </c>
      <c r="E20" t="s">
        <v>584</v>
      </c>
      <c r="F20" t="s">
        <v>593</v>
      </c>
      <c r="G20">
        <f>_xlfn.XLOOKUP(CleanData[[#This Row],[Batch]],DataTable[Batch],DataTable[Grand Total])</f>
        <v>654</v>
      </c>
    </row>
    <row r="21" spans="1:7" x14ac:dyDescent="0.35">
      <c r="A21" t="s">
        <v>476</v>
      </c>
      <c r="B21" t="s">
        <v>477</v>
      </c>
      <c r="C21" t="s">
        <v>594</v>
      </c>
      <c r="D21" t="s">
        <v>594</v>
      </c>
      <c r="E21" t="s">
        <v>585</v>
      </c>
      <c r="F21" t="s">
        <v>594</v>
      </c>
      <c r="G21">
        <f>_xlfn.XLOOKUP(CleanData[[#This Row],[Batch]],DataTable[Batch],DataTable[Grand Total])</f>
        <v>31.2</v>
      </c>
    </row>
    <row r="22" spans="1:7" x14ac:dyDescent="0.35">
      <c r="A22" t="s">
        <v>220</v>
      </c>
      <c r="B22" t="s">
        <v>221</v>
      </c>
      <c r="C22" t="s">
        <v>588</v>
      </c>
      <c r="D22" t="s">
        <v>594</v>
      </c>
      <c r="E22" t="s">
        <v>584</v>
      </c>
      <c r="F22" t="s">
        <v>594</v>
      </c>
      <c r="G22">
        <f>_xlfn.XLOOKUP(CleanData[[#This Row],[Batch]],DataTable[Batch],DataTable[Grand Total])</f>
        <v>325</v>
      </c>
    </row>
    <row r="23" spans="1:7" x14ac:dyDescent="0.35">
      <c r="A23" t="s">
        <v>220</v>
      </c>
      <c r="B23" t="s">
        <v>223</v>
      </c>
      <c r="C23" t="s">
        <v>588</v>
      </c>
      <c r="D23" t="s">
        <v>593</v>
      </c>
      <c r="E23" t="s">
        <v>584</v>
      </c>
      <c r="F23" t="s">
        <v>593</v>
      </c>
      <c r="G23">
        <f>_xlfn.XLOOKUP(CleanData[[#This Row],[Batch]],DataTable[Batch],DataTable[Grand Total])</f>
        <v>490</v>
      </c>
    </row>
    <row r="24" spans="1:7" x14ac:dyDescent="0.35">
      <c r="A24" t="s">
        <v>220</v>
      </c>
      <c r="B24" t="s">
        <v>225</v>
      </c>
      <c r="C24" t="s">
        <v>588</v>
      </c>
      <c r="D24" t="s">
        <v>593</v>
      </c>
      <c r="E24" t="s">
        <v>584</v>
      </c>
      <c r="F24" t="s">
        <v>593</v>
      </c>
      <c r="G24">
        <f>_xlfn.XLOOKUP(CleanData[[#This Row],[Batch]],DataTable[Batch],DataTable[Grand Total])</f>
        <v>755</v>
      </c>
    </row>
    <row r="25" spans="1:7" x14ac:dyDescent="0.35">
      <c r="A25" t="s">
        <v>175</v>
      </c>
      <c r="B25" t="s">
        <v>176</v>
      </c>
      <c r="C25" t="s">
        <v>588</v>
      </c>
      <c r="D25" t="s">
        <v>594</v>
      </c>
      <c r="E25" t="s">
        <v>584</v>
      </c>
      <c r="F25" t="s">
        <v>594</v>
      </c>
      <c r="G25">
        <f>_xlfn.XLOOKUP(CleanData[[#This Row],[Batch]],DataTable[Batch],DataTable[Grand Total])</f>
        <v>302</v>
      </c>
    </row>
    <row r="26" spans="1:7" x14ac:dyDescent="0.35">
      <c r="A26" t="s">
        <v>175</v>
      </c>
      <c r="B26" t="s">
        <v>178</v>
      </c>
      <c r="C26" t="s">
        <v>588</v>
      </c>
      <c r="D26" t="s">
        <v>594</v>
      </c>
      <c r="E26" t="s">
        <v>584</v>
      </c>
      <c r="F26" t="s">
        <v>594</v>
      </c>
      <c r="G26">
        <f>_xlfn.XLOOKUP(CleanData[[#This Row],[Batch]],DataTable[Batch],DataTable[Grand Total])</f>
        <v>168</v>
      </c>
    </row>
    <row r="27" spans="1:7" x14ac:dyDescent="0.35">
      <c r="A27" t="s">
        <v>175</v>
      </c>
      <c r="B27" t="s">
        <v>180</v>
      </c>
      <c r="C27" t="s">
        <v>588</v>
      </c>
      <c r="D27" t="s">
        <v>593</v>
      </c>
      <c r="E27" t="s">
        <v>584</v>
      </c>
      <c r="F27" t="s">
        <v>593</v>
      </c>
      <c r="G27">
        <f>_xlfn.XLOOKUP(CleanData[[#This Row],[Batch]],DataTable[Batch],DataTable[Grand Total])</f>
        <v>1200</v>
      </c>
    </row>
    <row r="28" spans="1:7" x14ac:dyDescent="0.35">
      <c r="A28" t="s">
        <v>210</v>
      </c>
      <c r="B28" t="s">
        <v>211</v>
      </c>
      <c r="C28" t="s">
        <v>589</v>
      </c>
      <c r="D28" t="s">
        <v>594</v>
      </c>
      <c r="E28" t="s">
        <v>584</v>
      </c>
      <c r="F28" t="s">
        <v>594</v>
      </c>
      <c r="G28">
        <f>_xlfn.XLOOKUP(CleanData[[#This Row],[Batch]],DataTable[Batch],DataTable[Grand Total])</f>
        <v>200</v>
      </c>
    </row>
    <row r="29" spans="1:7" x14ac:dyDescent="0.35">
      <c r="A29" t="s">
        <v>210</v>
      </c>
      <c r="B29" t="s">
        <v>213</v>
      </c>
      <c r="C29" t="s">
        <v>588</v>
      </c>
      <c r="D29" t="s">
        <v>594</v>
      </c>
      <c r="E29" t="s">
        <v>584</v>
      </c>
      <c r="F29" t="s">
        <v>594</v>
      </c>
      <c r="G29">
        <f>_xlfn.XLOOKUP(CleanData[[#This Row],[Batch]],DataTable[Batch],DataTable[Grand Total])</f>
        <v>664</v>
      </c>
    </row>
    <row r="30" spans="1:7" x14ac:dyDescent="0.35">
      <c r="A30" t="s">
        <v>558</v>
      </c>
      <c r="B30" t="s">
        <v>559</v>
      </c>
      <c r="C30" t="s">
        <v>592</v>
      </c>
      <c r="D30" t="s">
        <v>593</v>
      </c>
      <c r="E30" t="s">
        <v>584</v>
      </c>
      <c r="F30" t="s">
        <v>593</v>
      </c>
      <c r="G30">
        <f>_xlfn.XLOOKUP(CleanData[[#This Row],[Batch]],DataTable[Batch],DataTable[Grand Total])</f>
        <v>33620</v>
      </c>
    </row>
    <row r="31" spans="1:7" x14ac:dyDescent="0.35">
      <c r="A31" t="s">
        <v>558</v>
      </c>
      <c r="B31" t="s">
        <v>561</v>
      </c>
      <c r="C31" t="s">
        <v>592</v>
      </c>
      <c r="D31" t="s">
        <v>593</v>
      </c>
      <c r="E31" t="s">
        <v>584</v>
      </c>
      <c r="F31" t="s">
        <v>593</v>
      </c>
      <c r="G31">
        <f>_xlfn.XLOOKUP(CleanData[[#This Row],[Batch]],DataTable[Batch],DataTable[Grand Total])</f>
        <v>31010</v>
      </c>
    </row>
    <row r="32" spans="1:7" x14ac:dyDescent="0.35">
      <c r="A32" t="s">
        <v>553</v>
      </c>
      <c r="B32" t="s">
        <v>554</v>
      </c>
      <c r="C32" t="s">
        <v>592</v>
      </c>
      <c r="D32" t="s">
        <v>593</v>
      </c>
      <c r="E32" t="s">
        <v>584</v>
      </c>
      <c r="F32" t="s">
        <v>593</v>
      </c>
      <c r="G32">
        <f>_xlfn.XLOOKUP(CleanData[[#This Row],[Batch]],DataTable[Batch],DataTable[Grand Total])</f>
        <v>21670</v>
      </c>
    </row>
    <row r="33" spans="1:7" x14ac:dyDescent="0.35">
      <c r="A33" t="s">
        <v>553</v>
      </c>
      <c r="B33" t="s">
        <v>556</v>
      </c>
      <c r="C33" t="s">
        <v>592</v>
      </c>
      <c r="D33" t="s">
        <v>593</v>
      </c>
      <c r="E33" t="s">
        <v>584</v>
      </c>
      <c r="F33" t="s">
        <v>593</v>
      </c>
      <c r="G33">
        <f>_xlfn.XLOOKUP(CleanData[[#This Row],[Batch]],DataTable[Batch],DataTable[Grand Total])</f>
        <v>81820</v>
      </c>
    </row>
    <row r="34" spans="1:7" x14ac:dyDescent="0.35">
      <c r="A34" t="s">
        <v>387</v>
      </c>
      <c r="B34" t="s">
        <v>388</v>
      </c>
      <c r="C34" t="s">
        <v>588</v>
      </c>
      <c r="D34" t="s">
        <v>588</v>
      </c>
      <c r="E34" t="s">
        <v>585</v>
      </c>
      <c r="F34" t="s">
        <v>588</v>
      </c>
      <c r="G34">
        <f>_xlfn.XLOOKUP(CleanData[[#This Row],[Batch]],DataTable[Batch],DataTable[Grand Total])</f>
        <v>360</v>
      </c>
    </row>
    <row r="35" spans="1:7" x14ac:dyDescent="0.35">
      <c r="A35" t="s">
        <v>387</v>
      </c>
      <c r="B35" t="s">
        <v>390</v>
      </c>
      <c r="C35" t="s">
        <v>588</v>
      </c>
      <c r="D35" t="s">
        <v>593</v>
      </c>
      <c r="E35" t="s">
        <v>584</v>
      </c>
      <c r="F35" t="s">
        <v>593</v>
      </c>
      <c r="G35">
        <f>_xlfn.XLOOKUP(CleanData[[#This Row],[Batch]],DataTable[Batch],DataTable[Grand Total])</f>
        <v>788</v>
      </c>
    </row>
    <row r="36" spans="1:7" x14ac:dyDescent="0.35">
      <c r="A36" t="s">
        <v>387</v>
      </c>
      <c r="B36" t="s">
        <v>392</v>
      </c>
      <c r="C36" t="s">
        <v>588</v>
      </c>
      <c r="D36" t="s">
        <v>593</v>
      </c>
      <c r="E36" t="s">
        <v>584</v>
      </c>
      <c r="F36" t="s">
        <v>593</v>
      </c>
      <c r="G36">
        <f>_xlfn.XLOOKUP(CleanData[[#This Row],[Batch]],DataTable[Batch],DataTable[Grand Total])</f>
        <v>456</v>
      </c>
    </row>
    <row r="37" spans="1:7" x14ac:dyDescent="0.35">
      <c r="A37" t="s">
        <v>387</v>
      </c>
      <c r="B37" t="s">
        <v>394</v>
      </c>
      <c r="C37" t="s">
        <v>592</v>
      </c>
      <c r="D37" t="s">
        <v>593</v>
      </c>
      <c r="E37" t="s">
        <v>584</v>
      </c>
      <c r="F37" t="s">
        <v>593</v>
      </c>
      <c r="G37">
        <f>_xlfn.XLOOKUP(CleanData[[#This Row],[Batch]],DataTable[Batch],DataTable[Grand Total])</f>
        <v>530</v>
      </c>
    </row>
    <row r="38" spans="1:7" x14ac:dyDescent="0.35">
      <c r="A38" t="s">
        <v>486</v>
      </c>
      <c r="B38" t="s">
        <v>487</v>
      </c>
      <c r="C38" t="s">
        <v>588</v>
      </c>
      <c r="D38" t="s">
        <v>593</v>
      </c>
      <c r="E38" t="s">
        <v>584</v>
      </c>
      <c r="F38" t="s">
        <v>593</v>
      </c>
      <c r="G38">
        <f>_xlfn.XLOOKUP(CleanData[[#This Row],[Batch]],DataTable[Batch],DataTable[Grand Total])</f>
        <v>1049</v>
      </c>
    </row>
    <row r="39" spans="1:7" x14ac:dyDescent="0.35">
      <c r="A39" t="s">
        <v>486</v>
      </c>
      <c r="B39" t="s">
        <v>489</v>
      </c>
      <c r="C39" t="s">
        <v>588</v>
      </c>
      <c r="D39" t="s">
        <v>593</v>
      </c>
      <c r="E39" t="s">
        <v>584</v>
      </c>
      <c r="F39" t="s">
        <v>593</v>
      </c>
      <c r="G39">
        <f>_xlfn.XLOOKUP(CleanData[[#This Row],[Batch]],DataTable[Batch],DataTable[Grand Total])</f>
        <v>347</v>
      </c>
    </row>
    <row r="40" spans="1:7" x14ac:dyDescent="0.35">
      <c r="A40" t="s">
        <v>486</v>
      </c>
      <c r="B40" t="s">
        <v>491</v>
      </c>
      <c r="C40" t="s">
        <v>588</v>
      </c>
      <c r="D40" t="s">
        <v>588</v>
      </c>
      <c r="E40" t="s">
        <v>585</v>
      </c>
      <c r="F40" t="s">
        <v>588</v>
      </c>
      <c r="G40">
        <f>_xlfn.XLOOKUP(CleanData[[#This Row],[Batch]],DataTable[Batch],DataTable[Grand Total])</f>
        <v>2099</v>
      </c>
    </row>
    <row r="41" spans="1:7" x14ac:dyDescent="0.35">
      <c r="A41" t="s">
        <v>486</v>
      </c>
      <c r="B41" t="s">
        <v>388</v>
      </c>
      <c r="C41" t="s">
        <v>588</v>
      </c>
      <c r="D41" t="s">
        <v>588</v>
      </c>
      <c r="E41" t="s">
        <v>585</v>
      </c>
      <c r="F41" t="s">
        <v>588</v>
      </c>
      <c r="G41">
        <f>_xlfn.XLOOKUP(CleanData[[#This Row],[Batch]],DataTable[Batch],DataTable[Grand Total])</f>
        <v>360</v>
      </c>
    </row>
    <row r="42" spans="1:7" x14ac:dyDescent="0.35">
      <c r="A42" t="s">
        <v>486</v>
      </c>
      <c r="B42" t="s">
        <v>494</v>
      </c>
      <c r="C42" t="s">
        <v>594</v>
      </c>
      <c r="D42" t="s">
        <v>593</v>
      </c>
      <c r="E42" t="s">
        <v>584</v>
      </c>
      <c r="F42" t="s">
        <v>593</v>
      </c>
      <c r="G42">
        <f>_xlfn.XLOOKUP(CleanData[[#This Row],[Batch]],DataTable[Batch],DataTable[Grand Total])</f>
        <v>1069</v>
      </c>
    </row>
    <row r="43" spans="1:7" x14ac:dyDescent="0.35">
      <c r="A43" t="s">
        <v>236</v>
      </c>
      <c r="B43" t="s">
        <v>237</v>
      </c>
      <c r="C43" t="s">
        <v>588</v>
      </c>
      <c r="D43" t="s">
        <v>592</v>
      </c>
      <c r="E43" t="s">
        <v>584</v>
      </c>
      <c r="F43" t="s">
        <v>592</v>
      </c>
      <c r="G43">
        <f>_xlfn.XLOOKUP(CleanData[[#This Row],[Batch]],DataTable[Batch],DataTable[Grand Total])</f>
        <v>1635</v>
      </c>
    </row>
    <row r="44" spans="1:7" x14ac:dyDescent="0.35">
      <c r="A44" t="s">
        <v>236</v>
      </c>
      <c r="B44" t="s">
        <v>239</v>
      </c>
      <c r="C44" t="s">
        <v>588</v>
      </c>
      <c r="D44" t="s">
        <v>592</v>
      </c>
      <c r="E44" t="s">
        <v>584</v>
      </c>
      <c r="F44" t="s">
        <v>592</v>
      </c>
      <c r="G44">
        <f>_xlfn.XLOOKUP(CleanData[[#This Row],[Batch]],DataTable[Batch],DataTable[Grand Total])</f>
        <v>605</v>
      </c>
    </row>
    <row r="45" spans="1:7" x14ac:dyDescent="0.35">
      <c r="A45" t="s">
        <v>236</v>
      </c>
      <c r="B45" t="s">
        <v>241</v>
      </c>
      <c r="C45" t="s">
        <v>590</v>
      </c>
      <c r="D45" t="s">
        <v>593</v>
      </c>
      <c r="E45" t="s">
        <v>584</v>
      </c>
      <c r="F45" t="s">
        <v>593</v>
      </c>
      <c r="G45">
        <f>_xlfn.XLOOKUP(CleanData[[#This Row],[Batch]],DataTable[Batch],DataTable[Grand Total])</f>
        <v>2630</v>
      </c>
    </row>
    <row r="46" spans="1:7" x14ac:dyDescent="0.35">
      <c r="A46" t="s">
        <v>236</v>
      </c>
      <c r="B46" t="s">
        <v>243</v>
      </c>
      <c r="C46" t="s">
        <v>593</v>
      </c>
      <c r="D46" t="s">
        <v>593</v>
      </c>
      <c r="E46" t="s">
        <v>585</v>
      </c>
      <c r="F46" t="s">
        <v>593</v>
      </c>
      <c r="G46">
        <f>_xlfn.XLOOKUP(CleanData[[#This Row],[Batch]],DataTable[Batch],DataTable[Grand Total])</f>
        <v>805</v>
      </c>
    </row>
    <row r="47" spans="1:7" x14ac:dyDescent="0.35">
      <c r="A47" t="s">
        <v>256</v>
      </c>
      <c r="B47" t="s">
        <v>257</v>
      </c>
      <c r="C47" t="s">
        <v>588</v>
      </c>
      <c r="D47" t="s">
        <v>588</v>
      </c>
      <c r="E47" t="s">
        <v>585</v>
      </c>
      <c r="F47" t="s">
        <v>588</v>
      </c>
      <c r="G47">
        <f>_xlfn.XLOOKUP(CleanData[[#This Row],[Batch]],DataTable[Batch],DataTable[Grand Total])</f>
        <v>325</v>
      </c>
    </row>
    <row r="48" spans="1:7" x14ac:dyDescent="0.35">
      <c r="A48" t="s">
        <v>256</v>
      </c>
      <c r="B48" t="s">
        <v>259</v>
      </c>
      <c r="C48" t="s">
        <v>590</v>
      </c>
      <c r="D48" t="s">
        <v>590</v>
      </c>
      <c r="E48" t="s">
        <v>585</v>
      </c>
      <c r="F48" t="s">
        <v>590</v>
      </c>
      <c r="G48">
        <f>_xlfn.XLOOKUP(CleanData[[#This Row],[Batch]],DataTable[Batch],DataTable[Grand Total])</f>
        <v>990</v>
      </c>
    </row>
    <row r="49" spans="1:7" x14ac:dyDescent="0.35">
      <c r="A49" t="s">
        <v>256</v>
      </c>
      <c r="B49" t="s">
        <v>261</v>
      </c>
      <c r="C49" t="s">
        <v>590</v>
      </c>
      <c r="D49" t="s">
        <v>593</v>
      </c>
      <c r="E49" t="s">
        <v>584</v>
      </c>
      <c r="F49" t="s">
        <v>593</v>
      </c>
      <c r="G49">
        <f>_xlfn.XLOOKUP(CleanData[[#This Row],[Batch]],DataTable[Batch],DataTable[Grand Total])</f>
        <v>1695</v>
      </c>
    </row>
    <row r="50" spans="1:7" x14ac:dyDescent="0.35">
      <c r="A50" t="s">
        <v>256</v>
      </c>
      <c r="B50" t="s">
        <v>263</v>
      </c>
      <c r="C50" t="s">
        <v>590</v>
      </c>
      <c r="D50" t="s">
        <v>593</v>
      </c>
      <c r="E50" t="s">
        <v>584</v>
      </c>
      <c r="F50" t="s">
        <v>593</v>
      </c>
      <c r="G50">
        <f>_xlfn.XLOOKUP(CleanData[[#This Row],[Batch]],DataTable[Batch],DataTable[Grand Total])</f>
        <v>1925</v>
      </c>
    </row>
    <row r="51" spans="1:7" x14ac:dyDescent="0.35">
      <c r="A51" t="s">
        <v>265</v>
      </c>
      <c r="B51" t="s">
        <v>266</v>
      </c>
      <c r="C51" t="s">
        <v>592</v>
      </c>
      <c r="D51" t="s">
        <v>592</v>
      </c>
      <c r="E51" t="s">
        <v>585</v>
      </c>
      <c r="F51" t="s">
        <v>592</v>
      </c>
      <c r="G51">
        <f>_xlfn.XLOOKUP(CleanData[[#This Row],[Batch]],DataTable[Batch],DataTable[Grand Total])</f>
        <v>392.5</v>
      </c>
    </row>
    <row r="52" spans="1:7" x14ac:dyDescent="0.35">
      <c r="A52" t="s">
        <v>265</v>
      </c>
      <c r="B52" t="s">
        <v>268</v>
      </c>
      <c r="C52" t="s">
        <v>590</v>
      </c>
      <c r="D52" t="s">
        <v>590</v>
      </c>
      <c r="E52" t="s">
        <v>585</v>
      </c>
      <c r="F52" t="s">
        <v>590</v>
      </c>
      <c r="G52">
        <f>_xlfn.XLOOKUP(CleanData[[#This Row],[Batch]],DataTable[Batch],DataTable[Grand Total])</f>
        <v>1375</v>
      </c>
    </row>
    <row r="53" spans="1:7" x14ac:dyDescent="0.35">
      <c r="A53" t="s">
        <v>110</v>
      </c>
      <c r="B53" t="s">
        <v>111</v>
      </c>
      <c r="C53" t="s">
        <v>592</v>
      </c>
      <c r="D53" t="s">
        <v>594</v>
      </c>
      <c r="E53" t="s">
        <v>584</v>
      </c>
      <c r="F53" t="s">
        <v>594</v>
      </c>
      <c r="G53">
        <f>_xlfn.XLOOKUP(CleanData[[#This Row],[Batch]],DataTable[Batch],DataTable[Grand Total])</f>
        <v>764</v>
      </c>
    </row>
    <row r="54" spans="1:7" x14ac:dyDescent="0.35">
      <c r="A54" t="s">
        <v>110</v>
      </c>
      <c r="B54" t="s">
        <v>113</v>
      </c>
      <c r="C54" t="s">
        <v>592</v>
      </c>
      <c r="D54" t="s">
        <v>594</v>
      </c>
      <c r="E54" t="s">
        <v>584</v>
      </c>
      <c r="F54" t="s">
        <v>594</v>
      </c>
      <c r="G54">
        <f>_xlfn.XLOOKUP(CleanData[[#This Row],[Batch]],DataTable[Batch],DataTable[Grand Total])</f>
        <v>268</v>
      </c>
    </row>
    <row r="55" spans="1:7" x14ac:dyDescent="0.35">
      <c r="A55" t="s">
        <v>110</v>
      </c>
      <c r="B55" t="s">
        <v>115</v>
      </c>
      <c r="C55" t="s">
        <v>593</v>
      </c>
      <c r="D55" t="s">
        <v>593</v>
      </c>
      <c r="E55" t="s">
        <v>585</v>
      </c>
      <c r="F55" t="s">
        <v>593</v>
      </c>
      <c r="G55">
        <f>_xlfn.XLOOKUP(CleanData[[#This Row],[Batch]],DataTable[Batch],DataTable[Grand Total])</f>
        <v>812</v>
      </c>
    </row>
    <row r="56" spans="1:7" x14ac:dyDescent="0.35">
      <c r="A56" t="s">
        <v>110</v>
      </c>
      <c r="B56" t="s">
        <v>117</v>
      </c>
      <c r="C56" t="s">
        <v>593</v>
      </c>
      <c r="D56" t="s">
        <v>593</v>
      </c>
      <c r="E56" t="s">
        <v>585</v>
      </c>
      <c r="F56" t="s">
        <v>593</v>
      </c>
      <c r="G56">
        <f>_xlfn.XLOOKUP(CleanData[[#This Row],[Batch]],DataTable[Batch],DataTable[Grand Total])</f>
        <v>916</v>
      </c>
    </row>
    <row r="57" spans="1:7" x14ac:dyDescent="0.35">
      <c r="A57" t="s">
        <v>539</v>
      </c>
      <c r="B57" t="s">
        <v>540</v>
      </c>
      <c r="C57" t="s">
        <v>597</v>
      </c>
      <c r="D57" t="s">
        <v>590</v>
      </c>
      <c r="E57" t="s">
        <v>584</v>
      </c>
      <c r="F57" t="s">
        <v>590</v>
      </c>
      <c r="G57">
        <f>_xlfn.XLOOKUP(CleanData[[#This Row],[Batch]],DataTable[Batch],DataTable[Grand Total])</f>
        <v>6920</v>
      </c>
    </row>
    <row r="58" spans="1:7" x14ac:dyDescent="0.35">
      <c r="A58" t="s">
        <v>539</v>
      </c>
      <c r="B58" t="s">
        <v>542</v>
      </c>
      <c r="C58" t="s">
        <v>592</v>
      </c>
      <c r="D58" t="s">
        <v>590</v>
      </c>
      <c r="E58" t="s">
        <v>584</v>
      </c>
      <c r="F58" t="s">
        <v>590</v>
      </c>
      <c r="G58">
        <f>_xlfn.XLOOKUP(CleanData[[#This Row],[Batch]],DataTable[Batch],DataTable[Grand Total])</f>
        <v>3340</v>
      </c>
    </row>
    <row r="59" spans="1:7" x14ac:dyDescent="0.35">
      <c r="A59" t="s">
        <v>539</v>
      </c>
      <c r="B59" t="s">
        <v>544</v>
      </c>
      <c r="C59" t="s">
        <v>594</v>
      </c>
      <c r="D59" t="s">
        <v>593</v>
      </c>
      <c r="E59" t="s">
        <v>584</v>
      </c>
      <c r="F59" t="s">
        <v>593</v>
      </c>
      <c r="G59">
        <f>_xlfn.XLOOKUP(CleanData[[#This Row],[Batch]],DataTable[Batch],DataTable[Grand Total])</f>
        <v>34570</v>
      </c>
    </row>
    <row r="60" spans="1:7" x14ac:dyDescent="0.35">
      <c r="A60" t="s">
        <v>546</v>
      </c>
      <c r="B60" t="s">
        <v>542</v>
      </c>
      <c r="C60" t="s">
        <v>592</v>
      </c>
      <c r="D60" t="s">
        <v>590</v>
      </c>
      <c r="E60" t="s">
        <v>584</v>
      </c>
      <c r="F60" t="s">
        <v>590</v>
      </c>
      <c r="G60">
        <f>_xlfn.XLOOKUP(CleanData[[#This Row],[Batch]],DataTable[Batch],DataTable[Grand Total])</f>
        <v>3340</v>
      </c>
    </row>
    <row r="61" spans="1:7" x14ac:dyDescent="0.35">
      <c r="A61" t="s">
        <v>412</v>
      </c>
      <c r="B61" t="s">
        <v>413</v>
      </c>
      <c r="C61" t="s">
        <v>591</v>
      </c>
      <c r="D61" t="s">
        <v>591</v>
      </c>
      <c r="E61" t="s">
        <v>585</v>
      </c>
      <c r="F61" t="s">
        <v>591</v>
      </c>
      <c r="G61">
        <f>_xlfn.XLOOKUP(CleanData[[#This Row],[Batch]],DataTable[Batch],DataTable[Grand Total])</f>
        <v>884</v>
      </c>
    </row>
    <row r="62" spans="1:7" x14ac:dyDescent="0.35">
      <c r="A62" t="s">
        <v>405</v>
      </c>
      <c r="B62" t="s">
        <v>406</v>
      </c>
      <c r="C62" t="s">
        <v>593</v>
      </c>
      <c r="D62" t="s">
        <v>593</v>
      </c>
      <c r="E62" t="s">
        <v>585</v>
      </c>
      <c r="F62" t="s">
        <v>593</v>
      </c>
      <c r="G62">
        <f>_xlfn.XLOOKUP(CleanData[[#This Row],[Batch]],DataTable[Batch],DataTable[Grand Total])</f>
        <v>1217</v>
      </c>
    </row>
    <row r="63" spans="1:7" x14ac:dyDescent="0.35">
      <c r="A63" t="s">
        <v>405</v>
      </c>
      <c r="B63" t="s">
        <v>408</v>
      </c>
      <c r="C63" t="s">
        <v>593</v>
      </c>
      <c r="D63" t="s">
        <v>593</v>
      </c>
      <c r="E63" t="s">
        <v>585</v>
      </c>
      <c r="F63" t="s">
        <v>593</v>
      </c>
      <c r="G63">
        <f>_xlfn.XLOOKUP(CleanData[[#This Row],[Batch]],DataTable[Batch],DataTable[Grand Total])</f>
        <v>1972</v>
      </c>
    </row>
    <row r="64" spans="1:7" x14ac:dyDescent="0.35">
      <c r="A64" t="s">
        <v>405</v>
      </c>
      <c r="B64" t="s">
        <v>410</v>
      </c>
      <c r="C64" t="s">
        <v>593</v>
      </c>
      <c r="D64" t="s">
        <v>593</v>
      </c>
      <c r="E64" t="s">
        <v>585</v>
      </c>
      <c r="F64" t="s">
        <v>593</v>
      </c>
      <c r="G64">
        <f>_xlfn.XLOOKUP(CleanData[[#This Row],[Batch]],DataTable[Batch],DataTable[Grand Total])</f>
        <v>3238</v>
      </c>
    </row>
    <row r="65" spans="1:7" x14ac:dyDescent="0.35">
      <c r="A65" t="s">
        <v>283</v>
      </c>
      <c r="B65" t="s">
        <v>284</v>
      </c>
      <c r="C65" t="s">
        <v>590</v>
      </c>
      <c r="D65" t="s">
        <v>594</v>
      </c>
      <c r="E65" t="s">
        <v>584</v>
      </c>
      <c r="F65" t="s">
        <v>594</v>
      </c>
      <c r="G65">
        <f>_xlfn.XLOOKUP(CleanData[[#This Row],[Batch]],DataTable[Batch],DataTable[Grand Total])</f>
        <v>30</v>
      </c>
    </row>
    <row r="66" spans="1:7" x14ac:dyDescent="0.35">
      <c r="A66" t="s">
        <v>326</v>
      </c>
      <c r="B66" t="s">
        <v>324</v>
      </c>
      <c r="C66" t="s">
        <v>590</v>
      </c>
      <c r="D66" t="s">
        <v>590</v>
      </c>
      <c r="E66" t="s">
        <v>585</v>
      </c>
      <c r="F66" t="s">
        <v>590</v>
      </c>
      <c r="G66">
        <f>_xlfn.XLOOKUP(CleanData[[#This Row],[Batch]],DataTable[Batch],DataTable[Grand Total])</f>
        <v>426</v>
      </c>
    </row>
    <row r="67" spans="1:7" x14ac:dyDescent="0.35">
      <c r="A67" t="s">
        <v>321</v>
      </c>
      <c r="B67" t="s">
        <v>322</v>
      </c>
      <c r="C67" t="s">
        <v>594</v>
      </c>
      <c r="D67" t="s">
        <v>594</v>
      </c>
      <c r="E67" t="s">
        <v>585</v>
      </c>
      <c r="F67" t="s">
        <v>594</v>
      </c>
      <c r="G67">
        <f>_xlfn.XLOOKUP(CleanData[[#This Row],[Batch]],DataTable[Batch],DataTable[Grand Total])</f>
        <v>100</v>
      </c>
    </row>
    <row r="68" spans="1:7" x14ac:dyDescent="0.35">
      <c r="A68" t="s">
        <v>321</v>
      </c>
      <c r="B68" t="s">
        <v>324</v>
      </c>
      <c r="C68" t="s">
        <v>590</v>
      </c>
      <c r="D68" t="s">
        <v>591</v>
      </c>
      <c r="E68" t="s">
        <v>584</v>
      </c>
      <c r="F68" t="s">
        <v>591</v>
      </c>
      <c r="G68">
        <f>_xlfn.XLOOKUP(CleanData[[#This Row],[Batch]],DataTable[Batch],DataTable[Grand Total])</f>
        <v>426</v>
      </c>
    </row>
    <row r="69" spans="1:7" x14ac:dyDescent="0.35">
      <c r="A69" t="s">
        <v>471</v>
      </c>
      <c r="B69" t="s">
        <v>343</v>
      </c>
      <c r="C69" t="s">
        <v>594</v>
      </c>
      <c r="D69" t="s">
        <v>594</v>
      </c>
      <c r="E69" t="s">
        <v>585</v>
      </c>
      <c r="F69" t="s">
        <v>594</v>
      </c>
      <c r="G69">
        <f>_xlfn.XLOOKUP(CleanData[[#This Row],[Batch]],DataTable[Batch],DataTable[Grand Total])</f>
        <v>330</v>
      </c>
    </row>
    <row r="70" spans="1:7" x14ac:dyDescent="0.35">
      <c r="A70" t="s">
        <v>342</v>
      </c>
      <c r="B70" t="s">
        <v>343</v>
      </c>
      <c r="C70" t="s">
        <v>594</v>
      </c>
      <c r="D70" t="s">
        <v>590</v>
      </c>
      <c r="E70" t="s">
        <v>584</v>
      </c>
      <c r="F70" t="s">
        <v>590</v>
      </c>
      <c r="G70">
        <f>_xlfn.XLOOKUP(CleanData[[#This Row],[Batch]],DataTable[Batch],DataTable[Grand Total])</f>
        <v>330</v>
      </c>
    </row>
    <row r="71" spans="1:7" x14ac:dyDescent="0.35">
      <c r="A71" t="s">
        <v>233</v>
      </c>
      <c r="B71" t="s">
        <v>234</v>
      </c>
      <c r="C71" t="s">
        <v>594</v>
      </c>
      <c r="D71" t="s">
        <v>594</v>
      </c>
      <c r="E71" t="s">
        <v>585</v>
      </c>
      <c r="F71" t="s">
        <v>594</v>
      </c>
      <c r="G71">
        <f>_xlfn.XLOOKUP(CleanData[[#This Row],[Batch]],DataTable[Batch],DataTable[Grand Total])</f>
        <v>200</v>
      </c>
    </row>
    <row r="72" spans="1:7" x14ac:dyDescent="0.35">
      <c r="A72" t="s">
        <v>131</v>
      </c>
      <c r="B72" t="s">
        <v>132</v>
      </c>
      <c r="C72" t="s">
        <v>590</v>
      </c>
      <c r="D72" t="s">
        <v>587</v>
      </c>
      <c r="E72" t="s">
        <v>584</v>
      </c>
      <c r="F72" t="s">
        <v>587</v>
      </c>
      <c r="G72">
        <f>_xlfn.XLOOKUP(CleanData[[#This Row],[Batch]],DataTable[Batch],DataTable[Grand Total])</f>
        <v>10</v>
      </c>
    </row>
    <row r="73" spans="1:7" x14ac:dyDescent="0.35">
      <c r="A73" t="s">
        <v>131</v>
      </c>
      <c r="B73" t="s">
        <v>134</v>
      </c>
      <c r="C73" t="s">
        <v>593</v>
      </c>
      <c r="D73" t="s">
        <v>596</v>
      </c>
      <c r="E73" t="s">
        <v>584</v>
      </c>
      <c r="F73" t="s">
        <v>596</v>
      </c>
      <c r="G73">
        <f>_xlfn.XLOOKUP(CleanData[[#This Row],[Batch]],DataTable[Batch],DataTable[Grand Total])</f>
        <v>355</v>
      </c>
    </row>
    <row r="74" spans="1:7" x14ac:dyDescent="0.35">
      <c r="A74" t="s">
        <v>122</v>
      </c>
      <c r="B74" t="s">
        <v>123</v>
      </c>
      <c r="C74" t="s">
        <v>593</v>
      </c>
      <c r="D74" t="s">
        <v>593</v>
      </c>
      <c r="E74" t="s">
        <v>585</v>
      </c>
      <c r="F74" t="s">
        <v>593</v>
      </c>
      <c r="G74">
        <f>_xlfn.XLOOKUP(CleanData[[#This Row],[Batch]],DataTable[Batch],DataTable[Grand Total])</f>
        <v>243</v>
      </c>
    </row>
    <row r="75" spans="1:7" x14ac:dyDescent="0.35">
      <c r="A75" t="s">
        <v>122</v>
      </c>
      <c r="B75" t="s">
        <v>125</v>
      </c>
      <c r="C75" t="s">
        <v>593</v>
      </c>
      <c r="D75" t="s">
        <v>590</v>
      </c>
      <c r="E75" t="s">
        <v>584</v>
      </c>
      <c r="F75" t="s">
        <v>590</v>
      </c>
      <c r="G75">
        <f>_xlfn.XLOOKUP(CleanData[[#This Row],[Batch]],DataTable[Batch],DataTable[Grand Total])</f>
        <v>774</v>
      </c>
    </row>
    <row r="76" spans="1:7" x14ac:dyDescent="0.35">
      <c r="A76" t="s">
        <v>122</v>
      </c>
      <c r="B76" t="s">
        <v>127</v>
      </c>
      <c r="C76" t="s">
        <v>593</v>
      </c>
      <c r="D76" t="s">
        <v>595</v>
      </c>
      <c r="E76" t="s">
        <v>584</v>
      </c>
      <c r="F76" t="s">
        <v>595</v>
      </c>
      <c r="G76">
        <f>_xlfn.XLOOKUP(CleanData[[#This Row],[Batch]],DataTable[Batch],DataTable[Grand Total])</f>
        <v>648</v>
      </c>
    </row>
    <row r="77" spans="1:7" x14ac:dyDescent="0.35">
      <c r="A77" t="s">
        <v>122</v>
      </c>
      <c r="B77" t="s">
        <v>129</v>
      </c>
      <c r="C77" t="s">
        <v>593</v>
      </c>
      <c r="D77" t="s">
        <v>595</v>
      </c>
      <c r="E77" t="s">
        <v>584</v>
      </c>
      <c r="F77" t="s">
        <v>595</v>
      </c>
      <c r="G77">
        <f>_xlfn.XLOOKUP(CleanData[[#This Row],[Batch]],DataTable[Batch],DataTable[Grand Total])</f>
        <v>264</v>
      </c>
    </row>
    <row r="78" spans="1:7" x14ac:dyDescent="0.35">
      <c r="A78" t="s">
        <v>71</v>
      </c>
      <c r="B78" t="s">
        <v>72</v>
      </c>
      <c r="C78" t="s">
        <v>588</v>
      </c>
      <c r="D78" t="s">
        <v>593</v>
      </c>
      <c r="E78" t="s">
        <v>584</v>
      </c>
      <c r="F78" t="s">
        <v>593</v>
      </c>
      <c r="G78">
        <f>_xlfn.XLOOKUP(CleanData[[#This Row],[Batch]],DataTable[Batch],DataTable[Grand Total])</f>
        <v>115</v>
      </c>
    </row>
    <row r="79" spans="1:7" x14ac:dyDescent="0.35">
      <c r="A79" t="s">
        <v>71</v>
      </c>
      <c r="B79" t="s">
        <v>74</v>
      </c>
      <c r="C79" t="s">
        <v>594</v>
      </c>
      <c r="D79" t="s">
        <v>593</v>
      </c>
      <c r="E79" t="s">
        <v>584</v>
      </c>
      <c r="F79" t="s">
        <v>593</v>
      </c>
      <c r="G79">
        <f>_xlfn.XLOOKUP(CleanData[[#This Row],[Batch]],DataTable[Batch],DataTable[Grand Total])</f>
        <v>100</v>
      </c>
    </row>
    <row r="80" spans="1:7" x14ac:dyDescent="0.35">
      <c r="A80" t="s">
        <v>82</v>
      </c>
      <c r="B80" t="s">
        <v>83</v>
      </c>
      <c r="C80" t="s">
        <v>594</v>
      </c>
      <c r="D80" t="s">
        <v>593</v>
      </c>
      <c r="E80" t="s">
        <v>584</v>
      </c>
      <c r="F80" t="s">
        <v>593</v>
      </c>
      <c r="G80">
        <f>_xlfn.XLOOKUP(CleanData[[#This Row],[Batch]],DataTable[Batch],DataTable[Grand Total])</f>
        <v>70</v>
      </c>
    </row>
    <row r="81" spans="1:7" x14ac:dyDescent="0.35">
      <c r="A81" t="s">
        <v>82</v>
      </c>
      <c r="B81" t="s">
        <v>85</v>
      </c>
      <c r="C81" t="s">
        <v>594</v>
      </c>
      <c r="D81" t="s">
        <v>591</v>
      </c>
      <c r="E81" t="s">
        <v>584</v>
      </c>
      <c r="F81" t="s">
        <v>591</v>
      </c>
      <c r="G81">
        <f>_xlfn.XLOOKUP(CleanData[[#This Row],[Batch]],DataTable[Batch],DataTable[Grand Total])</f>
        <v>400</v>
      </c>
    </row>
    <row r="82" spans="1:7" x14ac:dyDescent="0.35">
      <c r="A82" t="s">
        <v>68</v>
      </c>
      <c r="B82" t="s">
        <v>69</v>
      </c>
      <c r="C82" t="s">
        <v>590</v>
      </c>
      <c r="D82" t="s">
        <v>593</v>
      </c>
      <c r="E82" t="s">
        <v>584</v>
      </c>
      <c r="F82" t="s">
        <v>593</v>
      </c>
      <c r="G82">
        <f>_xlfn.XLOOKUP(CleanData[[#This Row],[Batch]],DataTable[Batch],DataTable[Grand Total])</f>
        <v>416</v>
      </c>
    </row>
    <row r="83" spans="1:7" x14ac:dyDescent="0.35">
      <c r="A83" t="s">
        <v>76</v>
      </c>
      <c r="B83" t="s">
        <v>77</v>
      </c>
      <c r="C83" t="s">
        <v>590</v>
      </c>
      <c r="D83" t="s">
        <v>593</v>
      </c>
      <c r="E83" t="s">
        <v>584</v>
      </c>
      <c r="F83" t="s">
        <v>593</v>
      </c>
      <c r="G83">
        <f>_xlfn.XLOOKUP(CleanData[[#This Row],[Batch]],DataTable[Batch],DataTable[Grand Total])</f>
        <v>530</v>
      </c>
    </row>
    <row r="84" spans="1:7" x14ac:dyDescent="0.35">
      <c r="A84" t="s">
        <v>79</v>
      </c>
      <c r="B84" t="s">
        <v>80</v>
      </c>
      <c r="C84" t="s">
        <v>590</v>
      </c>
      <c r="D84" t="s">
        <v>590</v>
      </c>
      <c r="E84" t="s">
        <v>585</v>
      </c>
      <c r="F84" t="s">
        <v>590</v>
      </c>
      <c r="G84">
        <f>_xlfn.XLOOKUP(CleanData[[#This Row],[Batch]],DataTable[Batch],DataTable[Grand Total])</f>
        <v>40</v>
      </c>
    </row>
    <row r="85" spans="1:7" x14ac:dyDescent="0.35">
      <c r="A85" t="s">
        <v>66</v>
      </c>
      <c r="B85" t="s">
        <v>60</v>
      </c>
      <c r="C85" t="s">
        <v>589</v>
      </c>
      <c r="D85" t="s">
        <v>592</v>
      </c>
      <c r="E85" t="s">
        <v>584</v>
      </c>
      <c r="F85" t="s">
        <v>592</v>
      </c>
      <c r="G85">
        <f>_xlfn.XLOOKUP(CleanData[[#This Row],[Batch]],DataTable[Batch],DataTable[Grand Total])</f>
        <v>69</v>
      </c>
    </row>
    <row r="86" spans="1:7" x14ac:dyDescent="0.35">
      <c r="A86" t="s">
        <v>150</v>
      </c>
      <c r="B86" t="s">
        <v>62</v>
      </c>
      <c r="C86" t="s">
        <v>589</v>
      </c>
      <c r="D86" t="s">
        <v>590</v>
      </c>
      <c r="E86" t="s">
        <v>584</v>
      </c>
      <c r="F86" t="s">
        <v>590</v>
      </c>
      <c r="G86">
        <f>_xlfn.XLOOKUP(CleanData[[#This Row],[Batch]],DataTable[Batch],DataTable[Grand Total])</f>
        <v>960</v>
      </c>
    </row>
    <row r="87" spans="1:7" x14ac:dyDescent="0.35">
      <c r="A87" t="s">
        <v>150</v>
      </c>
      <c r="B87" t="s">
        <v>64</v>
      </c>
      <c r="C87" t="s">
        <v>589</v>
      </c>
      <c r="D87" t="s">
        <v>589</v>
      </c>
      <c r="E87" t="s">
        <v>585</v>
      </c>
      <c r="F87" t="s">
        <v>589</v>
      </c>
      <c r="G87">
        <f>_xlfn.XLOOKUP(CleanData[[#This Row],[Batch]],DataTable[Batch],DataTable[Grand Total])</f>
        <v>1200</v>
      </c>
    </row>
    <row r="88" spans="1:7" x14ac:dyDescent="0.35">
      <c r="A88" t="s">
        <v>57</v>
      </c>
      <c r="B88" t="s">
        <v>58</v>
      </c>
      <c r="C88" t="s">
        <v>587</v>
      </c>
      <c r="D88" t="s">
        <v>588</v>
      </c>
      <c r="E88" t="s">
        <v>584</v>
      </c>
      <c r="F88" t="s">
        <v>588</v>
      </c>
      <c r="G88">
        <f>_xlfn.XLOOKUP(CleanData[[#This Row],[Batch]],DataTable[Batch],DataTable[Grand Total])</f>
        <v>138</v>
      </c>
    </row>
    <row r="89" spans="1:7" x14ac:dyDescent="0.35">
      <c r="A89" t="s">
        <v>57</v>
      </c>
      <c r="B89" t="s">
        <v>60</v>
      </c>
      <c r="C89" t="s">
        <v>589</v>
      </c>
      <c r="D89" t="s">
        <v>589</v>
      </c>
      <c r="E89" t="s">
        <v>585</v>
      </c>
      <c r="F89" t="s">
        <v>589</v>
      </c>
      <c r="G89">
        <f>_xlfn.XLOOKUP(CleanData[[#This Row],[Batch]],DataTable[Batch],DataTable[Grand Total])</f>
        <v>69</v>
      </c>
    </row>
    <row r="90" spans="1:7" x14ac:dyDescent="0.35">
      <c r="A90" t="s">
        <v>57</v>
      </c>
      <c r="B90" t="s">
        <v>62</v>
      </c>
      <c r="C90" t="s">
        <v>589</v>
      </c>
      <c r="D90" t="s">
        <v>590</v>
      </c>
      <c r="E90" t="s">
        <v>584</v>
      </c>
      <c r="F90" t="s">
        <v>590</v>
      </c>
      <c r="G90">
        <f>_xlfn.XLOOKUP(CleanData[[#This Row],[Batch]],DataTable[Batch],DataTable[Grand Total])</f>
        <v>960</v>
      </c>
    </row>
    <row r="91" spans="1:7" x14ac:dyDescent="0.35">
      <c r="A91" t="s">
        <v>57</v>
      </c>
      <c r="B91" t="s">
        <v>64</v>
      </c>
      <c r="C91" t="s">
        <v>589</v>
      </c>
      <c r="D91" t="s">
        <v>591</v>
      </c>
      <c r="E91" t="s">
        <v>584</v>
      </c>
      <c r="F91" t="s">
        <v>591</v>
      </c>
      <c r="G91">
        <f>_xlfn.XLOOKUP(CleanData[[#This Row],[Batch]],DataTable[Batch],DataTable[Grand Total])</f>
        <v>1200</v>
      </c>
    </row>
    <row r="92" spans="1:7" x14ac:dyDescent="0.35">
      <c r="A92" t="s">
        <v>230</v>
      </c>
      <c r="B92" t="s">
        <v>231</v>
      </c>
      <c r="C92" t="s">
        <v>588</v>
      </c>
      <c r="D92" t="s">
        <v>593</v>
      </c>
      <c r="E92" t="s">
        <v>584</v>
      </c>
      <c r="F92" t="s">
        <v>593</v>
      </c>
      <c r="G92">
        <f>_xlfn.XLOOKUP(CleanData[[#This Row],[Batch]],DataTable[Batch],DataTable[Grand Total])</f>
        <v>220</v>
      </c>
    </row>
    <row r="93" spans="1:7" x14ac:dyDescent="0.35">
      <c r="A93" t="s">
        <v>551</v>
      </c>
      <c r="B93" t="s">
        <v>549</v>
      </c>
      <c r="C93" t="s">
        <v>595</v>
      </c>
      <c r="D93" t="s">
        <v>593</v>
      </c>
      <c r="E93" t="s">
        <v>584</v>
      </c>
      <c r="F93" t="s">
        <v>593</v>
      </c>
      <c r="G93">
        <f>_xlfn.XLOOKUP(CleanData[[#This Row],[Batch]],DataTable[Batch],DataTable[Grand Total])</f>
        <v>840</v>
      </c>
    </row>
    <row r="94" spans="1:7" x14ac:dyDescent="0.35">
      <c r="A94" t="s">
        <v>548</v>
      </c>
      <c r="B94" t="s">
        <v>549</v>
      </c>
      <c r="C94" t="s">
        <v>595</v>
      </c>
      <c r="D94" t="s">
        <v>593</v>
      </c>
      <c r="E94" t="s">
        <v>584</v>
      </c>
      <c r="F94" t="s">
        <v>593</v>
      </c>
      <c r="G94">
        <f>_xlfn.XLOOKUP(CleanData[[#This Row],[Batch]],DataTable[Batch],DataTable[Grand Total])</f>
        <v>840</v>
      </c>
    </row>
    <row r="95" spans="1:7" x14ac:dyDescent="0.35">
      <c r="A95" t="s">
        <v>245</v>
      </c>
      <c r="B95" t="s">
        <v>246</v>
      </c>
      <c r="C95" t="s">
        <v>590</v>
      </c>
      <c r="D95" t="s">
        <v>590</v>
      </c>
      <c r="E95" t="s">
        <v>585</v>
      </c>
      <c r="F95" t="s">
        <v>590</v>
      </c>
      <c r="G95">
        <f>_xlfn.XLOOKUP(CleanData[[#This Row],[Batch]],DataTable[Batch],DataTable[Grand Total])</f>
        <v>945</v>
      </c>
    </row>
    <row r="96" spans="1:7" x14ac:dyDescent="0.35">
      <c r="A96" t="s">
        <v>251</v>
      </c>
      <c r="B96" t="s">
        <v>252</v>
      </c>
      <c r="C96" t="s">
        <v>590</v>
      </c>
      <c r="D96" t="s">
        <v>593</v>
      </c>
      <c r="E96" t="s">
        <v>584</v>
      </c>
      <c r="F96" t="s">
        <v>593</v>
      </c>
      <c r="G96">
        <f>_xlfn.XLOOKUP(CleanData[[#This Row],[Batch]],DataTable[Batch],DataTable[Grand Total])</f>
        <v>580</v>
      </c>
    </row>
    <row r="97" spans="1:7" x14ac:dyDescent="0.35">
      <c r="A97" t="s">
        <v>251</v>
      </c>
      <c r="B97" t="s">
        <v>254</v>
      </c>
      <c r="C97" t="s">
        <v>593</v>
      </c>
      <c r="D97" t="s">
        <v>593</v>
      </c>
      <c r="E97" t="s">
        <v>585</v>
      </c>
      <c r="F97" t="s">
        <v>593</v>
      </c>
      <c r="G97">
        <f>_xlfn.XLOOKUP(CleanData[[#This Row],[Batch]],DataTable[Batch],DataTable[Grand Total])</f>
        <v>358</v>
      </c>
    </row>
    <row r="98" spans="1:7" x14ac:dyDescent="0.35">
      <c r="A98" t="s">
        <v>248</v>
      </c>
      <c r="B98" t="s">
        <v>249</v>
      </c>
      <c r="C98" t="s">
        <v>594</v>
      </c>
      <c r="D98" t="s">
        <v>594</v>
      </c>
      <c r="E98" t="s">
        <v>585</v>
      </c>
      <c r="F98" t="s">
        <v>594</v>
      </c>
      <c r="G98">
        <f>_xlfn.XLOOKUP(CleanData[[#This Row],[Batch]],DataTable[Batch],DataTable[Grand Total])</f>
        <v>449</v>
      </c>
    </row>
    <row r="99" spans="1:7" x14ac:dyDescent="0.35">
      <c r="A99" t="s">
        <v>305</v>
      </c>
      <c r="B99" t="s">
        <v>306</v>
      </c>
      <c r="C99" t="s">
        <v>592</v>
      </c>
      <c r="D99" t="s">
        <v>594</v>
      </c>
      <c r="E99" t="s">
        <v>584</v>
      </c>
      <c r="F99" t="s">
        <v>594</v>
      </c>
      <c r="G99">
        <f>_xlfn.XLOOKUP(CleanData[[#This Row],[Batch]],DataTable[Batch],DataTable[Grand Total])</f>
        <v>850</v>
      </c>
    </row>
    <row r="100" spans="1:7" x14ac:dyDescent="0.35">
      <c r="A100" t="s">
        <v>298</v>
      </c>
      <c r="B100" t="s">
        <v>299</v>
      </c>
      <c r="C100" t="s">
        <v>593</v>
      </c>
      <c r="D100" t="s">
        <v>593</v>
      </c>
      <c r="E100" t="s">
        <v>585</v>
      </c>
      <c r="F100" t="s">
        <v>593</v>
      </c>
      <c r="G100">
        <f>_xlfn.XLOOKUP(CleanData[[#This Row],[Batch]],DataTable[Batch],DataTable[Grand Total])</f>
        <v>254</v>
      </c>
    </row>
    <row r="101" spans="1:7" x14ac:dyDescent="0.35">
      <c r="A101" t="s">
        <v>298</v>
      </c>
      <c r="B101" t="s">
        <v>301</v>
      </c>
      <c r="C101" t="s">
        <v>593</v>
      </c>
      <c r="D101" t="s">
        <v>593</v>
      </c>
      <c r="E101" t="s">
        <v>585</v>
      </c>
      <c r="F101" t="s">
        <v>593</v>
      </c>
      <c r="G101">
        <f>_xlfn.XLOOKUP(CleanData[[#This Row],[Batch]],DataTable[Batch],DataTable[Grand Total])</f>
        <v>528</v>
      </c>
    </row>
    <row r="102" spans="1:7" x14ac:dyDescent="0.35">
      <c r="A102" t="s">
        <v>298</v>
      </c>
      <c r="B102" t="s">
        <v>303</v>
      </c>
      <c r="C102" t="s">
        <v>593</v>
      </c>
      <c r="D102" t="s">
        <v>593</v>
      </c>
      <c r="E102" t="s">
        <v>585</v>
      </c>
      <c r="F102" t="s">
        <v>593</v>
      </c>
      <c r="G102">
        <f>_xlfn.XLOOKUP(CleanData[[#This Row],[Batch]],DataTable[Batch],DataTable[Grand Total])</f>
        <v>720</v>
      </c>
    </row>
    <row r="103" spans="1:7" x14ac:dyDescent="0.35">
      <c r="A103" t="s">
        <v>295</v>
      </c>
      <c r="B103" t="s">
        <v>296</v>
      </c>
      <c r="C103" t="s">
        <v>593</v>
      </c>
      <c r="D103" t="s">
        <v>593</v>
      </c>
      <c r="E103" t="s">
        <v>585</v>
      </c>
      <c r="F103" t="s">
        <v>593</v>
      </c>
      <c r="G103">
        <f>_xlfn.XLOOKUP(CleanData[[#This Row],[Batch]],DataTable[Batch],DataTable[Grand Total])</f>
        <v>627</v>
      </c>
    </row>
    <row r="104" spans="1:7" x14ac:dyDescent="0.35">
      <c r="A104" t="s">
        <v>418</v>
      </c>
      <c r="B104" t="s">
        <v>419</v>
      </c>
      <c r="C104" t="s">
        <v>592</v>
      </c>
      <c r="D104" t="s">
        <v>592</v>
      </c>
      <c r="E104" t="s">
        <v>585</v>
      </c>
      <c r="F104" t="s">
        <v>592</v>
      </c>
      <c r="G104">
        <f>_xlfn.XLOOKUP(CleanData[[#This Row],[Batch]],DataTable[Batch],DataTable[Grand Total])</f>
        <v>342.375</v>
      </c>
    </row>
    <row r="105" spans="1:7" x14ac:dyDescent="0.35">
      <c r="A105" t="s">
        <v>345</v>
      </c>
      <c r="B105" t="s">
        <v>346</v>
      </c>
      <c r="C105" t="s">
        <v>594</v>
      </c>
      <c r="D105" t="s">
        <v>594</v>
      </c>
      <c r="E105" t="s">
        <v>585</v>
      </c>
      <c r="F105" t="s">
        <v>594</v>
      </c>
      <c r="G105">
        <f>_xlfn.XLOOKUP(CleanData[[#This Row],[Batch]],DataTable[Batch],DataTable[Grand Total])</f>
        <v>566.4</v>
      </c>
    </row>
    <row r="106" spans="1:7" x14ac:dyDescent="0.35">
      <c r="A106" t="s">
        <v>348</v>
      </c>
      <c r="B106" t="s">
        <v>349</v>
      </c>
      <c r="C106" t="s">
        <v>592</v>
      </c>
      <c r="D106" t="s">
        <v>594</v>
      </c>
      <c r="E106" t="s">
        <v>584</v>
      </c>
      <c r="F106" t="s">
        <v>592</v>
      </c>
      <c r="G106">
        <f>_xlfn.XLOOKUP(CleanData[[#This Row],[Batch]],DataTable[Batch],DataTable[Grand Total])</f>
        <v>207.6</v>
      </c>
    </row>
    <row r="107" spans="1:7" x14ac:dyDescent="0.35">
      <c r="A107" t="s">
        <v>348</v>
      </c>
      <c r="B107" t="s">
        <v>351</v>
      </c>
      <c r="C107" t="s">
        <v>592</v>
      </c>
      <c r="D107" t="s">
        <v>592</v>
      </c>
      <c r="E107" t="s">
        <v>585</v>
      </c>
      <c r="F107" t="s">
        <v>592</v>
      </c>
      <c r="G107">
        <f>_xlfn.XLOOKUP(CleanData[[#This Row],[Batch]],DataTable[Batch],DataTable[Grand Total])</f>
        <v>80</v>
      </c>
    </row>
    <row r="108" spans="1:7" x14ac:dyDescent="0.35">
      <c r="A108" t="s">
        <v>348</v>
      </c>
      <c r="B108" t="s">
        <v>353</v>
      </c>
      <c r="C108" t="s">
        <v>592</v>
      </c>
      <c r="D108" t="s">
        <v>590</v>
      </c>
      <c r="E108" t="s">
        <v>584</v>
      </c>
      <c r="F108" t="s">
        <v>590</v>
      </c>
      <c r="G108">
        <f>_xlfn.XLOOKUP(CleanData[[#This Row],[Batch]],DataTable[Batch],DataTable[Grand Total])</f>
        <v>634.4</v>
      </c>
    </row>
    <row r="109" spans="1:7" x14ac:dyDescent="0.35">
      <c r="A109" t="s">
        <v>348</v>
      </c>
      <c r="B109" t="s">
        <v>355</v>
      </c>
      <c r="C109" t="s">
        <v>592</v>
      </c>
      <c r="D109" t="s">
        <v>592</v>
      </c>
      <c r="E109" t="s">
        <v>585</v>
      </c>
      <c r="F109" t="s">
        <v>592</v>
      </c>
      <c r="G109">
        <f>_xlfn.XLOOKUP(CleanData[[#This Row],[Batch]],DataTable[Batch],DataTable[Grand Total])</f>
        <v>833.6</v>
      </c>
    </row>
    <row r="110" spans="1:7" x14ac:dyDescent="0.35">
      <c r="A110" t="s">
        <v>348</v>
      </c>
      <c r="B110" t="s">
        <v>357</v>
      </c>
      <c r="C110" t="s">
        <v>592</v>
      </c>
      <c r="D110" t="s">
        <v>590</v>
      </c>
      <c r="E110" t="s">
        <v>584</v>
      </c>
      <c r="F110" t="s">
        <v>590</v>
      </c>
      <c r="G110">
        <f>_xlfn.XLOOKUP(CleanData[[#This Row],[Batch]],DataTable[Batch],DataTable[Grand Total])</f>
        <v>762</v>
      </c>
    </row>
    <row r="111" spans="1:7" x14ac:dyDescent="0.35">
      <c r="A111" t="s">
        <v>348</v>
      </c>
      <c r="B111" t="s">
        <v>359</v>
      </c>
      <c r="C111" t="s">
        <v>592</v>
      </c>
      <c r="D111" t="s">
        <v>590</v>
      </c>
      <c r="E111" t="s">
        <v>584</v>
      </c>
      <c r="F111" t="s">
        <v>590</v>
      </c>
      <c r="G111">
        <f>_xlfn.XLOOKUP(CleanData[[#This Row],[Batch]],DataTable[Batch],DataTable[Grand Total])</f>
        <v>672</v>
      </c>
    </row>
    <row r="112" spans="1:7" x14ac:dyDescent="0.35">
      <c r="A112" t="s">
        <v>348</v>
      </c>
      <c r="B112" t="s">
        <v>361</v>
      </c>
      <c r="C112" t="s">
        <v>594</v>
      </c>
      <c r="D112" t="s">
        <v>593</v>
      </c>
      <c r="E112" t="s">
        <v>584</v>
      </c>
      <c r="F112" t="s">
        <v>593</v>
      </c>
      <c r="G112">
        <f>_xlfn.XLOOKUP(CleanData[[#This Row],[Batch]],DataTable[Batch],DataTable[Grand Total])</f>
        <v>646.4</v>
      </c>
    </row>
    <row r="113" spans="1:7" x14ac:dyDescent="0.35">
      <c r="A113" t="s">
        <v>158</v>
      </c>
      <c r="B113" t="s">
        <v>159</v>
      </c>
      <c r="C113" t="s">
        <v>591</v>
      </c>
      <c r="D113" t="s">
        <v>590</v>
      </c>
      <c r="E113" t="s">
        <v>584</v>
      </c>
      <c r="F113" t="s">
        <v>590</v>
      </c>
      <c r="G113">
        <f>_xlfn.XLOOKUP(CleanData[[#This Row],[Batch]],DataTable[Batch],DataTable[Grand Total])</f>
        <v>253</v>
      </c>
    </row>
    <row r="114" spans="1:7" x14ac:dyDescent="0.35">
      <c r="A114" t="s">
        <v>158</v>
      </c>
      <c r="B114" t="s">
        <v>161</v>
      </c>
      <c r="C114" t="s">
        <v>589</v>
      </c>
      <c r="D114" t="s">
        <v>589</v>
      </c>
      <c r="E114" t="s">
        <v>585</v>
      </c>
      <c r="F114" t="s">
        <v>589</v>
      </c>
      <c r="G114">
        <f>_xlfn.XLOOKUP(CleanData[[#This Row],[Batch]],DataTable[Batch],DataTable[Grand Total])</f>
        <v>561</v>
      </c>
    </row>
    <row r="115" spans="1:7" x14ac:dyDescent="0.35">
      <c r="A115" t="s">
        <v>158</v>
      </c>
      <c r="B115" t="s">
        <v>163</v>
      </c>
      <c r="C115" t="s">
        <v>589</v>
      </c>
      <c r="D115" t="s">
        <v>593</v>
      </c>
      <c r="E115" t="s">
        <v>584</v>
      </c>
      <c r="F115" t="s">
        <v>593</v>
      </c>
      <c r="G115">
        <f>_xlfn.XLOOKUP(CleanData[[#This Row],[Batch]],DataTable[Batch],DataTable[Grand Total])</f>
        <v>958</v>
      </c>
    </row>
  </sheetData>
  <mergeCells count="1">
    <mergeCell ref="A1:G1"/>
  </mergeCells>
  <phoneticPr fontId="3" type="noConversion"/>
  <conditionalFormatting sqref="E2:E115 A3:D115 G116:G1048576">
    <cfRule type="cellIs" dxfId="1" priority="7" operator="equal">
      <formula>$E$3</formula>
    </cfRule>
  </conditionalFormatting>
  <conditionalFormatting sqref="E3:E115">
    <cfRule type="cellIs" dxfId="0" priority="4" operator="equal">
      <formula>$E$100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3E5B-4BA9-4189-A3E8-4D2B4E40C1DC}">
  <dimension ref="A1:E85"/>
  <sheetViews>
    <sheetView topLeftCell="A67" workbookViewId="0">
      <selection activeCell="A2" sqref="A2:A85"/>
    </sheetView>
  </sheetViews>
  <sheetFormatPr defaultRowHeight="14.5" x14ac:dyDescent="0.35"/>
  <cols>
    <col min="1" max="1" width="27" bestFit="1" customWidth="1"/>
    <col min="2" max="2" width="12.6328125" bestFit="1" customWidth="1"/>
    <col min="3" max="3" width="21.453125" bestFit="1" customWidth="1"/>
    <col min="4" max="4" width="19.08984375" bestFit="1" customWidth="1"/>
    <col min="5" max="5" width="30.36328125" bestFit="1" customWidth="1"/>
    <col min="6" max="6" width="19.08984375" bestFit="1" customWidth="1"/>
    <col min="7" max="7" width="21.453125" bestFit="1" customWidth="1"/>
    <col min="8" max="8" width="19.08984375" bestFit="1" customWidth="1"/>
  </cols>
  <sheetData>
    <row r="1" spans="1:5" x14ac:dyDescent="0.35">
      <c r="A1" t="s">
        <v>741</v>
      </c>
      <c r="B1" t="s">
        <v>604</v>
      </c>
      <c r="C1" t="s">
        <v>747</v>
      </c>
      <c r="D1" t="s">
        <v>746</v>
      </c>
      <c r="E1" t="s">
        <v>804</v>
      </c>
    </row>
    <row r="2" spans="1:5" x14ac:dyDescent="0.35">
      <c r="A2" t="s">
        <v>748</v>
      </c>
      <c r="B2" t="s">
        <v>603</v>
      </c>
      <c r="C2" t="s">
        <v>590</v>
      </c>
      <c r="D2">
        <v>935</v>
      </c>
      <c r="E2" t="s">
        <v>805</v>
      </c>
    </row>
    <row r="3" spans="1:5" x14ac:dyDescent="0.35">
      <c r="A3" t="s">
        <v>752</v>
      </c>
      <c r="B3" t="s">
        <v>606</v>
      </c>
      <c r="C3" t="s">
        <v>597</v>
      </c>
      <c r="D3">
        <v>7201</v>
      </c>
      <c r="E3" t="s">
        <v>806</v>
      </c>
    </row>
    <row r="4" spans="1:5" x14ac:dyDescent="0.35">
      <c r="A4" t="s">
        <v>751</v>
      </c>
      <c r="B4" t="s">
        <v>610</v>
      </c>
      <c r="C4" t="s">
        <v>597</v>
      </c>
      <c r="D4">
        <v>2265</v>
      </c>
      <c r="E4" t="s">
        <v>807</v>
      </c>
    </row>
    <row r="5" spans="1:5" x14ac:dyDescent="0.35">
      <c r="A5" t="s">
        <v>751</v>
      </c>
      <c r="B5" t="s">
        <v>611</v>
      </c>
      <c r="C5" t="s">
        <v>597</v>
      </c>
      <c r="D5">
        <v>4295</v>
      </c>
      <c r="E5" t="s">
        <v>808</v>
      </c>
    </row>
    <row r="6" spans="1:5" x14ac:dyDescent="0.35">
      <c r="A6" t="s">
        <v>750</v>
      </c>
      <c r="B6" t="s">
        <v>522</v>
      </c>
      <c r="C6" t="s">
        <v>597</v>
      </c>
      <c r="D6">
        <v>143</v>
      </c>
      <c r="E6" t="s">
        <v>809</v>
      </c>
    </row>
    <row r="7" spans="1:5" x14ac:dyDescent="0.35">
      <c r="A7" t="s">
        <v>750</v>
      </c>
      <c r="B7" t="s">
        <v>513</v>
      </c>
      <c r="C7" t="s">
        <v>588</v>
      </c>
      <c r="D7">
        <v>2795</v>
      </c>
      <c r="E7" t="s">
        <v>810</v>
      </c>
    </row>
    <row r="8" spans="1:5" x14ac:dyDescent="0.35">
      <c r="A8" t="s">
        <v>753</v>
      </c>
      <c r="B8" t="s">
        <v>422</v>
      </c>
      <c r="C8" t="s">
        <v>594</v>
      </c>
      <c r="D8">
        <v>162</v>
      </c>
      <c r="E8" t="s">
        <v>811</v>
      </c>
    </row>
    <row r="9" spans="1:5" x14ac:dyDescent="0.35">
      <c r="A9" t="s">
        <v>749</v>
      </c>
      <c r="B9" t="s">
        <v>620</v>
      </c>
      <c r="C9" t="s">
        <v>589</v>
      </c>
      <c r="D9">
        <v>530</v>
      </c>
      <c r="E9" t="s">
        <v>812</v>
      </c>
    </row>
    <row r="10" spans="1:5" x14ac:dyDescent="0.35">
      <c r="A10" t="s">
        <v>755</v>
      </c>
      <c r="B10" t="s">
        <v>622</v>
      </c>
      <c r="C10" t="s">
        <v>597</v>
      </c>
      <c r="D10">
        <v>8</v>
      </c>
      <c r="E10" t="s">
        <v>813</v>
      </c>
    </row>
    <row r="11" spans="1:5" x14ac:dyDescent="0.35">
      <c r="A11" t="s">
        <v>755</v>
      </c>
      <c r="B11" t="s">
        <v>623</v>
      </c>
      <c r="C11" t="s">
        <v>589</v>
      </c>
      <c r="D11">
        <v>256</v>
      </c>
      <c r="E11" t="s">
        <v>814</v>
      </c>
    </row>
    <row r="12" spans="1:5" x14ac:dyDescent="0.35">
      <c r="A12" t="s">
        <v>755</v>
      </c>
      <c r="B12" t="s">
        <v>480</v>
      </c>
      <c r="C12" t="s">
        <v>592</v>
      </c>
      <c r="D12">
        <v>734</v>
      </c>
      <c r="E12" t="s">
        <v>815</v>
      </c>
    </row>
    <row r="13" spans="1:5" x14ac:dyDescent="0.35">
      <c r="A13" t="s">
        <v>754</v>
      </c>
      <c r="B13" t="s">
        <v>626</v>
      </c>
      <c r="C13" t="s">
        <v>588</v>
      </c>
      <c r="D13">
        <v>289</v>
      </c>
      <c r="E13" t="s">
        <v>816</v>
      </c>
    </row>
    <row r="14" spans="1:5" x14ac:dyDescent="0.35">
      <c r="A14" t="s">
        <v>754</v>
      </c>
      <c r="B14" t="s">
        <v>483</v>
      </c>
      <c r="C14" t="s">
        <v>592</v>
      </c>
      <c r="D14">
        <v>1018</v>
      </c>
      <c r="E14" t="s">
        <v>817</v>
      </c>
    </row>
    <row r="15" spans="1:5" x14ac:dyDescent="0.35">
      <c r="A15" t="s">
        <v>756</v>
      </c>
      <c r="B15" t="s">
        <v>477</v>
      </c>
      <c r="C15" t="s">
        <v>592</v>
      </c>
      <c r="D15">
        <v>134</v>
      </c>
      <c r="E15" t="s">
        <v>818</v>
      </c>
    </row>
    <row r="16" spans="1:5" x14ac:dyDescent="0.35">
      <c r="A16" t="s">
        <v>759</v>
      </c>
      <c r="B16" t="s">
        <v>638</v>
      </c>
      <c r="C16" t="s">
        <v>592</v>
      </c>
      <c r="D16">
        <v>18</v>
      </c>
      <c r="E16" t="s">
        <v>819</v>
      </c>
    </row>
    <row r="17" spans="1:5" x14ac:dyDescent="0.35">
      <c r="A17" t="s">
        <v>759</v>
      </c>
      <c r="B17" t="s">
        <v>213</v>
      </c>
      <c r="C17" t="s">
        <v>589</v>
      </c>
      <c r="D17">
        <v>861</v>
      </c>
      <c r="E17" t="s">
        <v>820</v>
      </c>
    </row>
    <row r="18" spans="1:5" x14ac:dyDescent="0.35">
      <c r="A18" t="s">
        <v>758</v>
      </c>
      <c r="B18" t="s">
        <v>213</v>
      </c>
      <c r="C18" t="s">
        <v>589</v>
      </c>
      <c r="D18">
        <v>845</v>
      </c>
      <c r="E18" t="s">
        <v>821</v>
      </c>
    </row>
    <row r="19" spans="1:5" x14ac:dyDescent="0.35">
      <c r="A19" t="s">
        <v>757</v>
      </c>
      <c r="B19" t="s">
        <v>641</v>
      </c>
      <c r="C19" t="s">
        <v>589</v>
      </c>
      <c r="D19">
        <v>314</v>
      </c>
      <c r="E19" t="s">
        <v>822</v>
      </c>
    </row>
    <row r="20" spans="1:5" x14ac:dyDescent="0.35">
      <c r="A20" t="s">
        <v>760</v>
      </c>
      <c r="B20" t="s">
        <v>559</v>
      </c>
      <c r="C20" t="s">
        <v>588</v>
      </c>
      <c r="D20">
        <v>9456</v>
      </c>
      <c r="E20" t="s">
        <v>823</v>
      </c>
    </row>
    <row r="21" spans="1:5" x14ac:dyDescent="0.35">
      <c r="A21" t="s">
        <v>760</v>
      </c>
      <c r="B21" t="s">
        <v>644</v>
      </c>
      <c r="C21" t="s">
        <v>589</v>
      </c>
      <c r="D21">
        <v>135</v>
      </c>
      <c r="E21" t="s">
        <v>824</v>
      </c>
    </row>
    <row r="22" spans="1:5" x14ac:dyDescent="0.35">
      <c r="A22" t="s">
        <v>761</v>
      </c>
      <c r="B22" t="s">
        <v>646</v>
      </c>
      <c r="C22" t="s">
        <v>588</v>
      </c>
      <c r="D22">
        <v>13536</v>
      </c>
      <c r="E22" t="s">
        <v>825</v>
      </c>
    </row>
    <row r="23" spans="1:5" x14ac:dyDescent="0.35">
      <c r="A23" t="s">
        <v>763</v>
      </c>
      <c r="B23" t="s">
        <v>648</v>
      </c>
      <c r="C23" t="s">
        <v>587</v>
      </c>
      <c r="D23">
        <v>1729</v>
      </c>
      <c r="E23" t="s">
        <v>826</v>
      </c>
    </row>
    <row r="24" spans="1:5" x14ac:dyDescent="0.35">
      <c r="A24" t="s">
        <v>763</v>
      </c>
      <c r="B24" t="s">
        <v>650</v>
      </c>
      <c r="C24" t="s">
        <v>589</v>
      </c>
      <c r="D24">
        <v>8641</v>
      </c>
      <c r="E24" t="s">
        <v>827</v>
      </c>
    </row>
    <row r="25" spans="1:5" x14ac:dyDescent="0.35">
      <c r="A25" t="s">
        <v>762</v>
      </c>
      <c r="B25" t="s">
        <v>390</v>
      </c>
      <c r="C25" t="s">
        <v>589</v>
      </c>
      <c r="D25">
        <v>22</v>
      </c>
      <c r="E25" t="s">
        <v>828</v>
      </c>
    </row>
    <row r="26" spans="1:5" x14ac:dyDescent="0.35">
      <c r="A26" t="s">
        <v>762</v>
      </c>
      <c r="B26" t="s">
        <v>652</v>
      </c>
      <c r="C26" t="s">
        <v>588</v>
      </c>
      <c r="D26">
        <v>1740</v>
      </c>
      <c r="E26" t="s">
        <v>829</v>
      </c>
    </row>
    <row r="27" spans="1:5" x14ac:dyDescent="0.35">
      <c r="A27" t="s">
        <v>766</v>
      </c>
      <c r="B27" t="s">
        <v>662</v>
      </c>
      <c r="C27" t="s">
        <v>588</v>
      </c>
      <c r="D27">
        <v>212</v>
      </c>
      <c r="E27" t="s">
        <v>830</v>
      </c>
    </row>
    <row r="28" spans="1:5" x14ac:dyDescent="0.35">
      <c r="A28" t="s">
        <v>766</v>
      </c>
      <c r="B28" t="s">
        <v>268</v>
      </c>
      <c r="C28" t="s">
        <v>594</v>
      </c>
      <c r="D28">
        <v>550</v>
      </c>
      <c r="E28" t="s">
        <v>831</v>
      </c>
    </row>
    <row r="29" spans="1:5" x14ac:dyDescent="0.35">
      <c r="A29" t="s">
        <v>765</v>
      </c>
      <c r="B29" t="s">
        <v>664</v>
      </c>
      <c r="C29" t="s">
        <v>597</v>
      </c>
      <c r="D29">
        <v>226</v>
      </c>
      <c r="E29" t="s">
        <v>832</v>
      </c>
    </row>
    <row r="30" spans="1:5" x14ac:dyDescent="0.35">
      <c r="A30" t="s">
        <v>765</v>
      </c>
      <c r="B30" t="s">
        <v>261</v>
      </c>
      <c r="C30" t="s">
        <v>594</v>
      </c>
      <c r="D30">
        <v>922</v>
      </c>
      <c r="E30" t="s">
        <v>833</v>
      </c>
    </row>
    <row r="31" spans="1:5" x14ac:dyDescent="0.35">
      <c r="A31" t="s">
        <v>764</v>
      </c>
      <c r="B31" t="s">
        <v>666</v>
      </c>
      <c r="C31" t="s">
        <v>589</v>
      </c>
      <c r="D31">
        <v>461</v>
      </c>
      <c r="E31" t="s">
        <v>834</v>
      </c>
    </row>
    <row r="32" spans="1:5" x14ac:dyDescent="0.35">
      <c r="A32" t="s">
        <v>764</v>
      </c>
      <c r="B32" t="s">
        <v>241</v>
      </c>
      <c r="C32" t="s">
        <v>594</v>
      </c>
      <c r="D32">
        <v>680</v>
      </c>
      <c r="E32" t="s">
        <v>835</v>
      </c>
    </row>
    <row r="33" spans="1:5" x14ac:dyDescent="0.35">
      <c r="A33" t="s">
        <v>767</v>
      </c>
      <c r="B33" t="s">
        <v>669</v>
      </c>
      <c r="C33" t="s">
        <v>589</v>
      </c>
      <c r="D33">
        <v>200</v>
      </c>
      <c r="E33" t="s">
        <v>836</v>
      </c>
    </row>
    <row r="34" spans="1:5" x14ac:dyDescent="0.35">
      <c r="A34" t="s">
        <v>767</v>
      </c>
      <c r="B34" t="s">
        <v>113</v>
      </c>
      <c r="C34" t="s">
        <v>588</v>
      </c>
      <c r="D34">
        <v>648</v>
      </c>
      <c r="E34" t="s">
        <v>837</v>
      </c>
    </row>
    <row r="35" spans="1:5" x14ac:dyDescent="0.35">
      <c r="A35" t="s">
        <v>768</v>
      </c>
      <c r="B35" t="s">
        <v>540</v>
      </c>
      <c r="C35" t="s">
        <v>595</v>
      </c>
      <c r="D35">
        <v>1910</v>
      </c>
      <c r="E35" t="s">
        <v>838</v>
      </c>
    </row>
    <row r="36" spans="1:5" x14ac:dyDescent="0.35">
      <c r="A36" t="s">
        <v>768</v>
      </c>
      <c r="B36" t="s">
        <v>673</v>
      </c>
      <c r="C36" t="s">
        <v>597</v>
      </c>
      <c r="D36">
        <v>629</v>
      </c>
      <c r="E36" t="s">
        <v>839</v>
      </c>
    </row>
    <row r="37" spans="1:5" x14ac:dyDescent="0.35">
      <c r="A37" t="s">
        <v>768</v>
      </c>
      <c r="B37" t="s">
        <v>542</v>
      </c>
      <c r="C37" t="s">
        <v>588</v>
      </c>
      <c r="D37">
        <v>1321</v>
      </c>
      <c r="E37" t="s">
        <v>840</v>
      </c>
    </row>
    <row r="38" spans="1:5" x14ac:dyDescent="0.35">
      <c r="A38" t="s">
        <v>768</v>
      </c>
      <c r="B38" t="s">
        <v>544</v>
      </c>
      <c r="C38" t="s">
        <v>592</v>
      </c>
      <c r="D38">
        <v>2770</v>
      </c>
      <c r="E38" t="s">
        <v>841</v>
      </c>
    </row>
    <row r="39" spans="1:5" x14ac:dyDescent="0.35">
      <c r="A39" t="s">
        <v>769</v>
      </c>
      <c r="B39" t="s">
        <v>675</v>
      </c>
      <c r="C39" t="s">
        <v>595</v>
      </c>
      <c r="D39">
        <v>534</v>
      </c>
      <c r="E39" t="s">
        <v>842</v>
      </c>
    </row>
    <row r="40" spans="1:5" x14ac:dyDescent="0.35">
      <c r="A40" t="s">
        <v>769</v>
      </c>
      <c r="B40" t="s">
        <v>542</v>
      </c>
      <c r="C40" t="s">
        <v>588</v>
      </c>
      <c r="D40">
        <v>2366</v>
      </c>
      <c r="E40" t="s">
        <v>843</v>
      </c>
    </row>
    <row r="41" spans="1:5" x14ac:dyDescent="0.35">
      <c r="A41" t="s">
        <v>771</v>
      </c>
      <c r="B41" t="s">
        <v>410</v>
      </c>
      <c r="C41" t="s">
        <v>590</v>
      </c>
      <c r="D41">
        <v>6427</v>
      </c>
      <c r="E41" t="s">
        <v>844</v>
      </c>
    </row>
    <row r="42" spans="1:5" x14ac:dyDescent="0.35">
      <c r="A42" t="s">
        <v>770</v>
      </c>
      <c r="B42" t="s">
        <v>413</v>
      </c>
      <c r="C42" t="s">
        <v>593</v>
      </c>
      <c r="D42">
        <v>442</v>
      </c>
      <c r="E42" t="s">
        <v>845</v>
      </c>
    </row>
    <row r="43" spans="1:5" x14ac:dyDescent="0.35">
      <c r="A43" t="s">
        <v>801</v>
      </c>
      <c r="B43" t="s">
        <v>284</v>
      </c>
      <c r="C43" t="s">
        <v>594</v>
      </c>
      <c r="D43">
        <v>349</v>
      </c>
      <c r="E43" t="s">
        <v>846</v>
      </c>
    </row>
    <row r="44" spans="1:5" x14ac:dyDescent="0.35">
      <c r="A44" t="s">
        <v>772</v>
      </c>
      <c r="B44" t="s">
        <v>680</v>
      </c>
      <c r="C44" t="s">
        <v>594</v>
      </c>
      <c r="D44">
        <v>135</v>
      </c>
      <c r="E44" t="s">
        <v>847</v>
      </c>
    </row>
    <row r="45" spans="1:5" x14ac:dyDescent="0.35">
      <c r="A45" t="s">
        <v>775</v>
      </c>
      <c r="B45" t="s">
        <v>682</v>
      </c>
      <c r="C45" t="s">
        <v>592</v>
      </c>
      <c r="D45">
        <v>713</v>
      </c>
      <c r="E45" t="s">
        <v>848</v>
      </c>
    </row>
    <row r="46" spans="1:5" x14ac:dyDescent="0.35">
      <c r="A46" t="s">
        <v>776</v>
      </c>
      <c r="B46" t="s">
        <v>343</v>
      </c>
      <c r="C46" t="s">
        <v>592</v>
      </c>
      <c r="D46">
        <v>555</v>
      </c>
      <c r="E46" t="s">
        <v>849</v>
      </c>
    </row>
    <row r="47" spans="1:5" x14ac:dyDescent="0.35">
      <c r="A47" t="s">
        <v>777</v>
      </c>
      <c r="B47" t="s">
        <v>693</v>
      </c>
      <c r="C47" t="s">
        <v>592</v>
      </c>
      <c r="D47">
        <v>592</v>
      </c>
      <c r="E47" t="s">
        <v>850</v>
      </c>
    </row>
    <row r="48" spans="1:5" x14ac:dyDescent="0.35">
      <c r="A48" t="s">
        <v>802</v>
      </c>
      <c r="B48" t="s">
        <v>693</v>
      </c>
      <c r="C48" t="s">
        <v>592</v>
      </c>
      <c r="D48">
        <v>96</v>
      </c>
      <c r="E48" t="s">
        <v>851</v>
      </c>
    </row>
    <row r="49" spans="1:5" x14ac:dyDescent="0.35">
      <c r="A49" t="s">
        <v>779</v>
      </c>
      <c r="B49" t="s">
        <v>696</v>
      </c>
      <c r="C49" t="s">
        <v>590</v>
      </c>
      <c r="D49">
        <v>804</v>
      </c>
      <c r="E49" t="s">
        <v>852</v>
      </c>
    </row>
    <row r="50" spans="1:5" x14ac:dyDescent="0.35">
      <c r="A50" t="s">
        <v>778</v>
      </c>
      <c r="B50" t="s">
        <v>696</v>
      </c>
      <c r="C50" t="s">
        <v>590</v>
      </c>
      <c r="D50">
        <v>381</v>
      </c>
      <c r="E50" t="s">
        <v>853</v>
      </c>
    </row>
    <row r="51" spans="1:5" x14ac:dyDescent="0.35">
      <c r="A51" t="s">
        <v>781</v>
      </c>
      <c r="B51" t="s">
        <v>699</v>
      </c>
      <c r="C51" t="s">
        <v>595</v>
      </c>
      <c r="D51">
        <v>99</v>
      </c>
      <c r="E51" t="s">
        <v>854</v>
      </c>
    </row>
    <row r="52" spans="1:5" x14ac:dyDescent="0.35">
      <c r="A52" t="s">
        <v>781</v>
      </c>
      <c r="B52" t="s">
        <v>83</v>
      </c>
      <c r="C52" t="s">
        <v>592</v>
      </c>
      <c r="D52">
        <v>200</v>
      </c>
      <c r="E52" t="s">
        <v>855</v>
      </c>
    </row>
    <row r="53" spans="1:5" x14ac:dyDescent="0.35">
      <c r="A53" t="s">
        <v>780</v>
      </c>
      <c r="B53" t="s">
        <v>701</v>
      </c>
      <c r="C53" t="s">
        <v>979</v>
      </c>
      <c r="D53" t="s">
        <v>716</v>
      </c>
      <c r="E53" t="s">
        <v>856</v>
      </c>
    </row>
    <row r="54" spans="1:5" x14ac:dyDescent="0.35">
      <c r="A54" t="s">
        <v>780</v>
      </c>
      <c r="B54" t="s">
        <v>703</v>
      </c>
      <c r="C54" t="s">
        <v>595</v>
      </c>
      <c r="D54" t="s">
        <v>716</v>
      </c>
      <c r="E54" t="s">
        <v>857</v>
      </c>
    </row>
    <row r="55" spans="1:5" x14ac:dyDescent="0.35">
      <c r="A55" t="s">
        <v>780</v>
      </c>
      <c r="B55" t="s">
        <v>704</v>
      </c>
      <c r="C55" t="s">
        <v>589</v>
      </c>
      <c r="D55">
        <v>549</v>
      </c>
      <c r="E55" t="s">
        <v>858</v>
      </c>
    </row>
    <row r="56" spans="1:5" x14ac:dyDescent="0.35">
      <c r="A56" t="s">
        <v>784</v>
      </c>
      <c r="B56" t="s">
        <v>80</v>
      </c>
      <c r="C56" t="s">
        <v>594</v>
      </c>
      <c r="D56">
        <v>304</v>
      </c>
      <c r="E56" t="s">
        <v>859</v>
      </c>
    </row>
    <row r="57" spans="1:5" x14ac:dyDescent="0.35">
      <c r="A57" t="s">
        <v>782</v>
      </c>
      <c r="B57" t="s">
        <v>80</v>
      </c>
      <c r="C57" t="s">
        <v>594</v>
      </c>
      <c r="D57">
        <v>992</v>
      </c>
      <c r="E57" t="s">
        <v>860</v>
      </c>
    </row>
    <row r="58" spans="1:5" x14ac:dyDescent="0.35">
      <c r="A58" t="s">
        <v>783</v>
      </c>
      <c r="B58" t="s">
        <v>77</v>
      </c>
      <c r="C58" t="s">
        <v>594</v>
      </c>
      <c r="D58">
        <v>356</v>
      </c>
      <c r="E58" t="s">
        <v>861</v>
      </c>
    </row>
    <row r="59" spans="1:5" x14ac:dyDescent="0.35">
      <c r="A59" t="s">
        <v>787</v>
      </c>
      <c r="B59" t="s">
        <v>60</v>
      </c>
      <c r="C59" t="s">
        <v>597</v>
      </c>
      <c r="D59">
        <v>1909</v>
      </c>
      <c r="E59" t="s">
        <v>862</v>
      </c>
    </row>
    <row r="60" spans="1:5" x14ac:dyDescent="0.35">
      <c r="A60" t="s">
        <v>786</v>
      </c>
      <c r="B60" t="s">
        <v>710</v>
      </c>
      <c r="C60" t="s">
        <v>597</v>
      </c>
      <c r="D60">
        <v>923</v>
      </c>
      <c r="E60" t="s">
        <v>863</v>
      </c>
    </row>
    <row r="61" spans="1:5" x14ac:dyDescent="0.35">
      <c r="A61" t="s">
        <v>785</v>
      </c>
      <c r="B61" t="s">
        <v>58</v>
      </c>
      <c r="C61" t="s">
        <v>979</v>
      </c>
      <c r="D61">
        <v>2</v>
      </c>
      <c r="E61" t="s">
        <v>864</v>
      </c>
    </row>
    <row r="62" spans="1:5" x14ac:dyDescent="0.35">
      <c r="A62" t="s">
        <v>785</v>
      </c>
      <c r="B62" t="s">
        <v>60</v>
      </c>
      <c r="C62" t="s">
        <v>597</v>
      </c>
      <c r="D62">
        <v>288</v>
      </c>
      <c r="E62" t="s">
        <v>865</v>
      </c>
    </row>
    <row r="63" spans="1:5" x14ac:dyDescent="0.35">
      <c r="A63" t="s">
        <v>788</v>
      </c>
      <c r="B63" t="s">
        <v>713</v>
      </c>
      <c r="C63" t="s">
        <v>589</v>
      </c>
      <c r="D63">
        <v>191</v>
      </c>
      <c r="E63" t="s">
        <v>866</v>
      </c>
    </row>
    <row r="64" spans="1:5" x14ac:dyDescent="0.35">
      <c r="A64" t="s">
        <v>803</v>
      </c>
      <c r="B64" t="s">
        <v>715</v>
      </c>
      <c r="C64" t="s">
        <v>589</v>
      </c>
      <c r="D64">
        <v>223</v>
      </c>
      <c r="E64" t="s">
        <v>867</v>
      </c>
    </row>
    <row r="65" spans="1:5" x14ac:dyDescent="0.35">
      <c r="A65" t="s">
        <v>789</v>
      </c>
      <c r="B65" t="s">
        <v>718</v>
      </c>
      <c r="C65" t="s">
        <v>593</v>
      </c>
      <c r="D65">
        <v>182</v>
      </c>
      <c r="E65" t="s">
        <v>868</v>
      </c>
    </row>
    <row r="66" spans="1:5" x14ac:dyDescent="0.35">
      <c r="A66" t="s">
        <v>789</v>
      </c>
      <c r="B66" t="s">
        <v>549</v>
      </c>
      <c r="C66" t="s">
        <v>596</v>
      </c>
      <c r="D66">
        <v>455</v>
      </c>
      <c r="E66" t="s">
        <v>869</v>
      </c>
    </row>
    <row r="67" spans="1:5" x14ac:dyDescent="0.35">
      <c r="A67" t="s">
        <v>790</v>
      </c>
      <c r="B67" t="s">
        <v>549</v>
      </c>
      <c r="C67" t="s">
        <v>596</v>
      </c>
      <c r="D67">
        <v>2269</v>
      </c>
      <c r="E67" t="s">
        <v>870</v>
      </c>
    </row>
    <row r="68" spans="1:5" x14ac:dyDescent="0.35">
      <c r="A68" t="s">
        <v>793</v>
      </c>
      <c r="B68" t="s">
        <v>722</v>
      </c>
      <c r="C68" t="s">
        <v>592</v>
      </c>
      <c r="D68">
        <v>801</v>
      </c>
      <c r="E68" t="s">
        <v>871</v>
      </c>
    </row>
    <row r="69" spans="1:5" x14ac:dyDescent="0.35">
      <c r="A69" t="s">
        <v>792</v>
      </c>
      <c r="B69" t="s">
        <v>724</v>
      </c>
      <c r="C69" t="s">
        <v>597</v>
      </c>
      <c r="D69">
        <v>63</v>
      </c>
      <c r="E69" t="s">
        <v>872</v>
      </c>
    </row>
    <row r="70" spans="1:5" x14ac:dyDescent="0.35">
      <c r="A70" t="s">
        <v>792</v>
      </c>
      <c r="B70" t="s">
        <v>252</v>
      </c>
      <c r="C70" t="s">
        <v>594</v>
      </c>
      <c r="D70">
        <v>540</v>
      </c>
      <c r="E70" t="s">
        <v>873</v>
      </c>
    </row>
    <row r="71" spans="1:5" x14ac:dyDescent="0.35">
      <c r="A71" t="s">
        <v>791</v>
      </c>
      <c r="B71" t="s">
        <v>726</v>
      </c>
      <c r="C71" t="s">
        <v>592</v>
      </c>
      <c r="D71">
        <v>38</v>
      </c>
      <c r="E71" t="s">
        <v>874</v>
      </c>
    </row>
    <row r="72" spans="1:5" x14ac:dyDescent="0.35">
      <c r="A72" t="s">
        <v>791</v>
      </c>
      <c r="B72" t="s">
        <v>246</v>
      </c>
      <c r="C72" t="s">
        <v>594</v>
      </c>
      <c r="D72">
        <v>306</v>
      </c>
      <c r="E72" t="s">
        <v>875</v>
      </c>
    </row>
    <row r="73" spans="1:5" x14ac:dyDescent="0.35">
      <c r="A73" t="s">
        <v>797</v>
      </c>
      <c r="B73" t="s">
        <v>419</v>
      </c>
      <c r="C73" t="s">
        <v>588</v>
      </c>
      <c r="D73">
        <v>913</v>
      </c>
      <c r="E73" t="s">
        <v>876</v>
      </c>
    </row>
    <row r="74" spans="1:5" x14ac:dyDescent="0.35">
      <c r="A74" t="s">
        <v>796</v>
      </c>
      <c r="B74" t="s">
        <v>729</v>
      </c>
      <c r="C74" t="s">
        <v>588</v>
      </c>
      <c r="D74">
        <v>22</v>
      </c>
      <c r="E74" t="s">
        <v>877</v>
      </c>
    </row>
    <row r="75" spans="1:5" x14ac:dyDescent="0.35">
      <c r="A75" t="s">
        <v>796</v>
      </c>
      <c r="B75" t="s">
        <v>730</v>
      </c>
      <c r="C75" t="s">
        <v>594</v>
      </c>
      <c r="D75">
        <v>795</v>
      </c>
      <c r="E75" t="s">
        <v>878</v>
      </c>
    </row>
    <row r="76" spans="1:5" x14ac:dyDescent="0.35">
      <c r="A76" t="s">
        <v>796</v>
      </c>
      <c r="B76" t="s">
        <v>296</v>
      </c>
      <c r="C76" t="s">
        <v>590</v>
      </c>
      <c r="D76">
        <v>720</v>
      </c>
      <c r="E76" t="s">
        <v>879</v>
      </c>
    </row>
    <row r="77" spans="1:5" x14ac:dyDescent="0.35">
      <c r="A77" t="s">
        <v>795</v>
      </c>
      <c r="B77" t="s">
        <v>733</v>
      </c>
      <c r="C77" t="s">
        <v>588</v>
      </c>
      <c r="D77">
        <v>199</v>
      </c>
      <c r="E77" t="s">
        <v>880</v>
      </c>
    </row>
    <row r="78" spans="1:5" x14ac:dyDescent="0.35">
      <c r="A78" t="s">
        <v>795</v>
      </c>
      <c r="B78" t="s">
        <v>296</v>
      </c>
      <c r="C78" t="s">
        <v>590</v>
      </c>
      <c r="D78">
        <v>1118</v>
      </c>
      <c r="E78" t="s">
        <v>881</v>
      </c>
    </row>
    <row r="79" spans="1:5" x14ac:dyDescent="0.35">
      <c r="A79" t="s">
        <v>794</v>
      </c>
      <c r="B79" t="s">
        <v>735</v>
      </c>
      <c r="C79" t="s">
        <v>592</v>
      </c>
      <c r="D79">
        <v>293</v>
      </c>
      <c r="E79" t="s">
        <v>882</v>
      </c>
    </row>
    <row r="80" spans="1:5" x14ac:dyDescent="0.35">
      <c r="A80" t="s">
        <v>799</v>
      </c>
      <c r="B80" t="s">
        <v>349</v>
      </c>
      <c r="C80" t="s">
        <v>588</v>
      </c>
      <c r="D80">
        <v>8351</v>
      </c>
      <c r="E80" t="s">
        <v>883</v>
      </c>
    </row>
    <row r="81" spans="1:5" x14ac:dyDescent="0.35">
      <c r="A81" t="s">
        <v>798</v>
      </c>
      <c r="B81" t="s">
        <v>351</v>
      </c>
      <c r="C81" t="s">
        <v>588</v>
      </c>
      <c r="D81">
        <v>418</v>
      </c>
      <c r="E81" t="s">
        <v>884</v>
      </c>
    </row>
    <row r="82" spans="1:5" x14ac:dyDescent="0.35">
      <c r="A82" t="s">
        <v>798</v>
      </c>
      <c r="B82" t="s">
        <v>346</v>
      </c>
      <c r="C82" t="s">
        <v>592</v>
      </c>
      <c r="D82">
        <v>1244</v>
      </c>
      <c r="E82" t="s">
        <v>885</v>
      </c>
    </row>
    <row r="83" spans="1:5" x14ac:dyDescent="0.35">
      <c r="A83" t="s">
        <v>800</v>
      </c>
      <c r="B83" t="s">
        <v>739</v>
      </c>
      <c r="C83" t="s">
        <v>593</v>
      </c>
      <c r="D83">
        <v>474</v>
      </c>
      <c r="E83" t="s">
        <v>886</v>
      </c>
    </row>
    <row r="84" spans="1:5" x14ac:dyDescent="0.35">
      <c r="A84" t="s">
        <v>800</v>
      </c>
      <c r="B84" t="s">
        <v>161</v>
      </c>
      <c r="C84" t="s">
        <v>597</v>
      </c>
      <c r="D84">
        <v>1438</v>
      </c>
      <c r="E84" t="s">
        <v>887</v>
      </c>
    </row>
    <row r="85" spans="1:5" x14ac:dyDescent="0.35">
      <c r="A85" t="s">
        <v>774</v>
      </c>
      <c r="B85" t="s">
        <v>322</v>
      </c>
      <c r="C85" t="s">
        <v>592</v>
      </c>
      <c r="D85">
        <v>50</v>
      </c>
      <c r="E85" t="s">
        <v>888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989B-AD1B-4C72-8DA6-D5DF534FC57A}">
  <dimension ref="A1"/>
  <sheetViews>
    <sheetView tabSelected="1" workbookViewId="0">
      <selection sqref="A1:A55"/>
    </sheetView>
  </sheetViews>
  <sheetFormatPr defaultRowHeight="14.5" x14ac:dyDescent="0.35"/>
  <cols>
    <col min="1" max="1" width="17.632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840D-4199-4931-A27C-DE9807CFF4BE}">
  <dimension ref="A1:D104"/>
  <sheetViews>
    <sheetView workbookViewId="0">
      <selection activeCell="A3" sqref="A3"/>
    </sheetView>
  </sheetViews>
  <sheetFormatPr defaultColWidth="23.453125" defaultRowHeight="14.5" x14ac:dyDescent="0.35"/>
  <cols>
    <col min="1" max="1" width="55.1796875" style="8" customWidth="1"/>
    <col min="2" max="2" width="16.54296875" style="8" customWidth="1"/>
    <col min="3" max="3" width="21.26953125" style="8" customWidth="1"/>
    <col min="4" max="4" width="40.7265625" style="8" customWidth="1"/>
    <col min="5" max="16384" width="23.453125" style="8"/>
  </cols>
  <sheetData>
    <row r="1" spans="1:4" ht="21" x14ac:dyDescent="0.35">
      <c r="A1" s="21" t="s">
        <v>743</v>
      </c>
      <c r="B1" s="21"/>
      <c r="C1" s="21"/>
      <c r="D1" s="21"/>
    </row>
    <row r="2" spans="1:4" x14ac:dyDescent="0.35">
      <c r="A2" s="17" t="s">
        <v>741</v>
      </c>
      <c r="B2" s="17" t="s">
        <v>604</v>
      </c>
      <c r="C2" s="17" t="s">
        <v>601</v>
      </c>
      <c r="D2" s="17" t="s">
        <v>746</v>
      </c>
    </row>
    <row r="3" spans="1:4" x14ac:dyDescent="0.35">
      <c r="A3" s="8" t="s">
        <v>602</v>
      </c>
      <c r="B3" s="8" t="s">
        <v>603</v>
      </c>
      <c r="C3" s="15" t="s">
        <v>607</v>
      </c>
      <c r="D3" s="8">
        <v>935</v>
      </c>
    </row>
    <row r="4" spans="1:4" x14ac:dyDescent="0.35">
      <c r="A4" s="8" t="s">
        <v>605</v>
      </c>
      <c r="B4" s="8" t="s">
        <v>606</v>
      </c>
      <c r="C4" s="15" t="s">
        <v>608</v>
      </c>
      <c r="D4" s="8">
        <v>7201</v>
      </c>
    </row>
    <row r="5" spans="1:4" x14ac:dyDescent="0.35">
      <c r="A5" s="8" t="s">
        <v>609</v>
      </c>
      <c r="B5" s="8" t="s">
        <v>610</v>
      </c>
      <c r="C5" s="8" t="s">
        <v>608</v>
      </c>
      <c r="D5" s="8">
        <v>2265</v>
      </c>
    </row>
    <row r="6" spans="1:4" x14ac:dyDescent="0.35">
      <c r="A6" s="8" t="s">
        <v>609</v>
      </c>
      <c r="B6" s="8" t="s">
        <v>611</v>
      </c>
      <c r="C6" s="8" t="s">
        <v>612</v>
      </c>
      <c r="D6" s="8">
        <v>4295</v>
      </c>
    </row>
    <row r="7" spans="1:4" x14ac:dyDescent="0.35">
      <c r="A7" s="8" t="s">
        <v>613</v>
      </c>
      <c r="B7" s="8" t="s">
        <v>522</v>
      </c>
      <c r="C7" s="8" t="s">
        <v>608</v>
      </c>
      <c r="D7" s="8">
        <v>143</v>
      </c>
    </row>
    <row r="8" spans="1:4" x14ac:dyDescent="0.35">
      <c r="A8" s="8" t="s">
        <v>613</v>
      </c>
      <c r="B8" s="8" t="s">
        <v>513</v>
      </c>
      <c r="C8" s="8" t="s">
        <v>614</v>
      </c>
      <c r="D8" s="8">
        <v>2795</v>
      </c>
    </row>
    <row r="9" spans="1:4" x14ac:dyDescent="0.35">
      <c r="A9" s="8" t="s">
        <v>615</v>
      </c>
      <c r="B9" s="8" t="s">
        <v>497</v>
      </c>
      <c r="C9" s="8" t="s">
        <v>616</v>
      </c>
      <c r="D9" s="8">
        <v>62</v>
      </c>
    </row>
    <row r="10" spans="1:4" x14ac:dyDescent="0.35">
      <c r="A10" s="8" t="s">
        <v>617</v>
      </c>
      <c r="B10" s="8" t="s">
        <v>422</v>
      </c>
      <c r="C10" s="8" t="s">
        <v>618</v>
      </c>
      <c r="D10" s="8">
        <v>162</v>
      </c>
    </row>
    <row r="11" spans="1:4" x14ac:dyDescent="0.35">
      <c r="A11" s="8" t="s">
        <v>619</v>
      </c>
      <c r="B11" s="8" t="s">
        <v>620</v>
      </c>
      <c r="C11" s="8" t="s">
        <v>616</v>
      </c>
      <c r="D11" s="8">
        <v>530</v>
      </c>
    </row>
    <row r="12" spans="1:4" x14ac:dyDescent="0.35">
      <c r="A12" s="8" t="s">
        <v>621</v>
      </c>
      <c r="B12" s="8" t="s">
        <v>622</v>
      </c>
      <c r="C12" s="8" t="s">
        <v>608</v>
      </c>
      <c r="D12" s="8">
        <v>8</v>
      </c>
    </row>
    <row r="13" spans="1:4" x14ac:dyDescent="0.35">
      <c r="A13" s="8" t="s">
        <v>621</v>
      </c>
      <c r="B13" s="8" t="s">
        <v>623</v>
      </c>
      <c r="C13" s="8" t="s">
        <v>616</v>
      </c>
      <c r="D13" s="8">
        <v>256</v>
      </c>
    </row>
    <row r="14" spans="1:4" x14ac:dyDescent="0.35">
      <c r="A14" s="8" t="s">
        <v>621</v>
      </c>
      <c r="B14" s="8" t="s">
        <v>480</v>
      </c>
      <c r="C14" s="8" t="s">
        <v>624</v>
      </c>
      <c r="D14" s="8">
        <v>734</v>
      </c>
    </row>
    <row r="15" spans="1:4" x14ac:dyDescent="0.35">
      <c r="A15" s="8" t="s">
        <v>625</v>
      </c>
      <c r="B15" s="8" t="s">
        <v>626</v>
      </c>
      <c r="C15" s="8" t="s">
        <v>614</v>
      </c>
      <c r="D15" s="8">
        <v>289</v>
      </c>
    </row>
    <row r="16" spans="1:4" x14ac:dyDescent="0.35">
      <c r="A16" s="8" t="s">
        <v>625</v>
      </c>
      <c r="B16" s="8" t="s">
        <v>483</v>
      </c>
      <c r="C16" s="8" t="s">
        <v>624</v>
      </c>
      <c r="D16" s="8">
        <v>1018</v>
      </c>
    </row>
    <row r="17" spans="1:4" x14ac:dyDescent="0.35">
      <c r="A17" s="8" t="s">
        <v>627</v>
      </c>
      <c r="B17" s="8" t="s">
        <v>628</v>
      </c>
      <c r="C17" s="8" t="s">
        <v>629</v>
      </c>
      <c r="D17" s="8">
        <v>3</v>
      </c>
    </row>
    <row r="18" spans="1:4" x14ac:dyDescent="0.35">
      <c r="A18" s="8" t="s">
        <v>627</v>
      </c>
      <c r="B18" s="8" t="s">
        <v>311</v>
      </c>
      <c r="C18" s="8" t="s">
        <v>614</v>
      </c>
      <c r="D18" s="8">
        <v>2295</v>
      </c>
    </row>
    <row r="19" spans="1:4" x14ac:dyDescent="0.35">
      <c r="A19" s="8" t="s">
        <v>627</v>
      </c>
      <c r="B19" s="8" t="s">
        <v>319</v>
      </c>
      <c r="C19" s="8" t="s">
        <v>624</v>
      </c>
      <c r="D19" s="8">
        <v>468</v>
      </c>
    </row>
    <row r="20" spans="1:4" x14ac:dyDescent="0.35">
      <c r="A20" s="8" t="s">
        <v>627</v>
      </c>
      <c r="B20" s="8" t="s">
        <v>630</v>
      </c>
      <c r="C20" s="8" t="s">
        <v>614</v>
      </c>
      <c r="D20" s="8">
        <v>1283</v>
      </c>
    </row>
    <row r="21" spans="1:4" x14ac:dyDescent="0.35">
      <c r="A21" s="8" t="s">
        <v>631</v>
      </c>
      <c r="B21" s="8" t="s">
        <v>477</v>
      </c>
      <c r="C21" s="8" t="s">
        <v>632</v>
      </c>
      <c r="D21" s="8">
        <v>134</v>
      </c>
    </row>
    <row r="22" spans="1:4" x14ac:dyDescent="0.35">
      <c r="A22" s="8" t="s">
        <v>633</v>
      </c>
      <c r="B22" s="8" t="s">
        <v>329</v>
      </c>
      <c r="C22" s="8" t="s">
        <v>634</v>
      </c>
      <c r="D22" s="8">
        <v>567</v>
      </c>
    </row>
    <row r="23" spans="1:4" x14ac:dyDescent="0.35">
      <c r="A23" s="8" t="s">
        <v>635</v>
      </c>
      <c r="B23" s="8" t="s">
        <v>636</v>
      </c>
      <c r="C23" s="8" t="s">
        <v>634</v>
      </c>
      <c r="D23" s="8">
        <v>164</v>
      </c>
    </row>
    <row r="24" spans="1:4" x14ac:dyDescent="0.35">
      <c r="A24" s="8" t="s">
        <v>637</v>
      </c>
      <c r="B24" s="8" t="s">
        <v>638</v>
      </c>
      <c r="C24" s="8" t="s">
        <v>632</v>
      </c>
      <c r="D24" s="8">
        <v>18</v>
      </c>
    </row>
    <row r="25" spans="1:4" x14ac:dyDescent="0.35">
      <c r="A25" s="8" t="s">
        <v>637</v>
      </c>
      <c r="B25" s="8" t="s">
        <v>213</v>
      </c>
      <c r="C25" s="8" t="s">
        <v>616</v>
      </c>
      <c r="D25" s="8">
        <v>861</v>
      </c>
    </row>
    <row r="26" spans="1:4" x14ac:dyDescent="0.35">
      <c r="A26" s="8" t="s">
        <v>639</v>
      </c>
      <c r="B26" s="8" t="s">
        <v>213</v>
      </c>
      <c r="C26" s="8" t="s">
        <v>616</v>
      </c>
      <c r="D26" s="8">
        <v>845</v>
      </c>
    </row>
    <row r="27" spans="1:4" x14ac:dyDescent="0.35">
      <c r="A27" s="8" t="s">
        <v>640</v>
      </c>
      <c r="B27" s="8" t="s">
        <v>641</v>
      </c>
      <c r="C27" s="8" t="s">
        <v>616</v>
      </c>
      <c r="D27" s="8">
        <v>314</v>
      </c>
    </row>
    <row r="28" spans="1:4" x14ac:dyDescent="0.35">
      <c r="A28" s="8" t="s">
        <v>642</v>
      </c>
      <c r="B28" s="8" t="s">
        <v>332</v>
      </c>
      <c r="C28" s="8" t="s">
        <v>629</v>
      </c>
      <c r="D28" s="8">
        <v>215</v>
      </c>
    </row>
    <row r="29" spans="1:4" x14ac:dyDescent="0.35">
      <c r="A29" s="8" t="s">
        <v>643</v>
      </c>
      <c r="B29" s="8" t="s">
        <v>559</v>
      </c>
      <c r="C29" s="8" t="s">
        <v>614</v>
      </c>
      <c r="D29" s="8">
        <v>9456</v>
      </c>
    </row>
    <row r="30" spans="1:4" x14ac:dyDescent="0.35">
      <c r="A30" s="8" t="s">
        <v>643</v>
      </c>
      <c r="B30" s="8" t="s">
        <v>644</v>
      </c>
      <c r="C30" s="8" t="s">
        <v>616</v>
      </c>
      <c r="D30" s="8">
        <v>135</v>
      </c>
    </row>
    <row r="31" spans="1:4" x14ac:dyDescent="0.35">
      <c r="A31" s="8" t="s">
        <v>645</v>
      </c>
      <c r="B31" s="8" t="s">
        <v>646</v>
      </c>
      <c r="C31" s="8" t="s">
        <v>614</v>
      </c>
      <c r="D31" s="8">
        <v>13536</v>
      </c>
    </row>
    <row r="32" spans="1:4" x14ac:dyDescent="0.35">
      <c r="A32" s="8" t="s">
        <v>647</v>
      </c>
      <c r="B32" s="8" t="s">
        <v>648</v>
      </c>
      <c r="C32" s="8" t="s">
        <v>649</v>
      </c>
      <c r="D32" s="8">
        <v>1729</v>
      </c>
    </row>
    <row r="33" spans="1:4" x14ac:dyDescent="0.35">
      <c r="A33" s="8" t="s">
        <v>647</v>
      </c>
      <c r="B33" s="8" t="s">
        <v>650</v>
      </c>
      <c r="C33" s="8" t="s">
        <v>616</v>
      </c>
      <c r="D33" s="8">
        <v>8641</v>
      </c>
    </row>
    <row r="34" spans="1:4" x14ac:dyDescent="0.35">
      <c r="A34" s="8" t="s">
        <v>651</v>
      </c>
      <c r="B34" s="8" t="s">
        <v>390</v>
      </c>
      <c r="C34" s="8" t="s">
        <v>616</v>
      </c>
      <c r="D34" s="8">
        <v>22</v>
      </c>
    </row>
    <row r="35" spans="1:4" x14ac:dyDescent="0.35">
      <c r="A35" s="8" t="s">
        <v>651</v>
      </c>
      <c r="B35" s="8" t="s">
        <v>652</v>
      </c>
      <c r="C35" s="8" t="s">
        <v>614</v>
      </c>
      <c r="D35" s="8">
        <v>1740</v>
      </c>
    </row>
    <row r="36" spans="1:4" x14ac:dyDescent="0.35">
      <c r="A36" s="8" t="s">
        <v>653</v>
      </c>
      <c r="B36" s="8" t="s">
        <v>654</v>
      </c>
      <c r="C36" s="8" t="s">
        <v>616</v>
      </c>
      <c r="D36" s="8">
        <v>270</v>
      </c>
    </row>
    <row r="37" spans="1:4" x14ac:dyDescent="0.35">
      <c r="A37" s="8" t="s">
        <v>655</v>
      </c>
      <c r="B37" s="8" t="s">
        <v>656</v>
      </c>
      <c r="C37" s="8" t="s">
        <v>657</v>
      </c>
      <c r="D37" s="8">
        <v>335</v>
      </c>
    </row>
    <row r="38" spans="1:4" x14ac:dyDescent="0.35">
      <c r="A38" s="8" t="s">
        <v>655</v>
      </c>
      <c r="B38" s="8" t="s">
        <v>658</v>
      </c>
      <c r="C38" s="8" t="s">
        <v>649</v>
      </c>
      <c r="D38" s="8">
        <v>1700</v>
      </c>
    </row>
    <row r="39" spans="1:4" x14ac:dyDescent="0.35">
      <c r="A39" s="8" t="s">
        <v>659</v>
      </c>
      <c r="B39" s="8" t="s">
        <v>660</v>
      </c>
      <c r="C39" s="8" t="s">
        <v>614</v>
      </c>
      <c r="D39" s="8">
        <v>558</v>
      </c>
    </row>
    <row r="40" spans="1:4" x14ac:dyDescent="0.35">
      <c r="A40" s="8" t="s">
        <v>661</v>
      </c>
      <c r="B40" s="8" t="s">
        <v>662</v>
      </c>
      <c r="C40" s="8" t="s">
        <v>614</v>
      </c>
      <c r="D40" s="8">
        <v>212</v>
      </c>
    </row>
    <row r="41" spans="1:4" x14ac:dyDescent="0.35">
      <c r="A41" s="8" t="s">
        <v>661</v>
      </c>
      <c r="B41" s="8" t="s">
        <v>268</v>
      </c>
      <c r="C41" s="8" t="s">
        <v>634</v>
      </c>
      <c r="D41" s="8">
        <v>550</v>
      </c>
    </row>
    <row r="42" spans="1:4" x14ac:dyDescent="0.35">
      <c r="A42" s="8" t="s">
        <v>663</v>
      </c>
      <c r="B42" s="8" t="s">
        <v>664</v>
      </c>
      <c r="C42" s="8" t="s">
        <v>608</v>
      </c>
      <c r="D42" s="8">
        <v>226</v>
      </c>
    </row>
    <row r="43" spans="1:4" x14ac:dyDescent="0.35">
      <c r="A43" s="8" t="s">
        <v>663</v>
      </c>
      <c r="B43" s="8" t="s">
        <v>261</v>
      </c>
      <c r="C43" s="8" t="s">
        <v>634</v>
      </c>
      <c r="D43" s="8">
        <v>922</v>
      </c>
    </row>
    <row r="44" spans="1:4" x14ac:dyDescent="0.35">
      <c r="A44" s="8" t="s">
        <v>665</v>
      </c>
      <c r="B44" s="8" t="s">
        <v>666</v>
      </c>
      <c r="C44" s="8" t="s">
        <v>667</v>
      </c>
      <c r="D44" s="8">
        <v>461</v>
      </c>
    </row>
    <row r="45" spans="1:4" x14ac:dyDescent="0.35">
      <c r="A45" s="8" t="s">
        <v>665</v>
      </c>
      <c r="B45" s="8" t="s">
        <v>241</v>
      </c>
      <c r="C45" s="8" t="s">
        <v>634</v>
      </c>
      <c r="D45" s="8">
        <v>680</v>
      </c>
    </row>
    <row r="46" spans="1:4" x14ac:dyDescent="0.35">
      <c r="A46" s="8" t="s">
        <v>668</v>
      </c>
      <c r="B46" s="8" t="s">
        <v>669</v>
      </c>
      <c r="C46" s="8" t="s">
        <v>616</v>
      </c>
      <c r="D46" s="8">
        <v>200</v>
      </c>
    </row>
    <row r="47" spans="1:4" x14ac:dyDescent="0.35">
      <c r="A47" s="8" t="s">
        <v>668</v>
      </c>
      <c r="B47" s="8" t="s">
        <v>113</v>
      </c>
      <c r="C47" s="8" t="s">
        <v>614</v>
      </c>
      <c r="D47" s="8">
        <v>648</v>
      </c>
    </row>
    <row r="48" spans="1:4" x14ac:dyDescent="0.35">
      <c r="A48" s="8" t="s">
        <v>670</v>
      </c>
      <c r="B48" s="8" t="s">
        <v>154</v>
      </c>
      <c r="C48" s="8" t="s">
        <v>671</v>
      </c>
      <c r="D48" s="8">
        <v>1451</v>
      </c>
    </row>
    <row r="49" spans="1:4" x14ac:dyDescent="0.35">
      <c r="A49" s="8" t="s">
        <v>672</v>
      </c>
      <c r="B49" s="8" t="s">
        <v>540</v>
      </c>
      <c r="C49" s="8" t="s">
        <v>629</v>
      </c>
      <c r="D49" s="8">
        <v>1910</v>
      </c>
    </row>
    <row r="50" spans="1:4" x14ac:dyDescent="0.35">
      <c r="A50" s="8" t="s">
        <v>672</v>
      </c>
      <c r="B50" s="8" t="s">
        <v>673</v>
      </c>
      <c r="C50" s="8" t="s">
        <v>608</v>
      </c>
      <c r="D50" s="8">
        <v>629</v>
      </c>
    </row>
    <row r="51" spans="1:4" x14ac:dyDescent="0.35">
      <c r="A51" s="8" t="s">
        <v>672</v>
      </c>
      <c r="B51" s="8" t="s">
        <v>542</v>
      </c>
      <c r="C51" s="8" t="s">
        <v>614</v>
      </c>
      <c r="D51" s="8">
        <v>1321</v>
      </c>
    </row>
    <row r="52" spans="1:4" x14ac:dyDescent="0.35">
      <c r="A52" s="8" t="s">
        <v>672</v>
      </c>
      <c r="B52" s="8" t="s">
        <v>544</v>
      </c>
      <c r="C52" s="8" t="s">
        <v>624</v>
      </c>
      <c r="D52" s="8">
        <v>2770</v>
      </c>
    </row>
    <row r="53" spans="1:4" x14ac:dyDescent="0.35">
      <c r="A53" s="8" t="s">
        <v>674</v>
      </c>
      <c r="B53" s="8" t="s">
        <v>675</v>
      </c>
      <c r="C53" s="8" t="s">
        <v>629</v>
      </c>
      <c r="D53" s="8">
        <v>534</v>
      </c>
    </row>
    <row r="54" spans="1:4" x14ac:dyDescent="0.35">
      <c r="A54" s="8" t="s">
        <v>674</v>
      </c>
      <c r="B54" s="8" t="s">
        <v>542</v>
      </c>
      <c r="C54" s="8" t="s">
        <v>614</v>
      </c>
      <c r="D54" s="8">
        <v>2366</v>
      </c>
    </row>
    <row r="55" spans="1:4" x14ac:dyDescent="0.35">
      <c r="A55" s="8" t="s">
        <v>676</v>
      </c>
      <c r="B55" s="8" t="s">
        <v>410</v>
      </c>
      <c r="C55" s="8" t="s">
        <v>607</v>
      </c>
      <c r="D55" s="8">
        <v>6427</v>
      </c>
    </row>
    <row r="56" spans="1:4" x14ac:dyDescent="0.35">
      <c r="A56" s="8" t="s">
        <v>677</v>
      </c>
      <c r="B56" s="8" t="s">
        <v>413</v>
      </c>
      <c r="C56" s="8" t="s">
        <v>671</v>
      </c>
      <c r="D56" s="8">
        <v>442</v>
      </c>
    </row>
    <row r="57" spans="1:4" x14ac:dyDescent="0.35">
      <c r="A57" s="8" t="s">
        <v>678</v>
      </c>
      <c r="B57" s="8" t="s">
        <v>284</v>
      </c>
      <c r="C57" s="8" t="s">
        <v>618</v>
      </c>
      <c r="D57" s="8">
        <v>349</v>
      </c>
    </row>
    <row r="58" spans="1:4" x14ac:dyDescent="0.35">
      <c r="A58" s="8" t="s">
        <v>679</v>
      </c>
      <c r="B58" s="8" t="s">
        <v>680</v>
      </c>
      <c r="C58" s="8" t="s">
        <v>618</v>
      </c>
      <c r="D58" s="8">
        <v>135</v>
      </c>
    </row>
    <row r="59" spans="1:4" x14ac:dyDescent="0.35">
      <c r="A59" s="8" t="s">
        <v>681</v>
      </c>
      <c r="B59" s="8" t="s">
        <v>682</v>
      </c>
      <c r="C59" s="8" t="s">
        <v>632</v>
      </c>
      <c r="D59" s="8">
        <v>713</v>
      </c>
    </row>
    <row r="60" spans="1:4" x14ac:dyDescent="0.35">
      <c r="A60" s="8" t="s">
        <v>683</v>
      </c>
      <c r="B60" s="8" t="s">
        <v>343</v>
      </c>
      <c r="C60" s="8" t="s">
        <v>632</v>
      </c>
      <c r="D60" s="8">
        <v>555</v>
      </c>
    </row>
    <row r="61" spans="1:4" x14ac:dyDescent="0.35">
      <c r="A61" s="8" t="s">
        <v>684</v>
      </c>
      <c r="B61" s="8" t="s">
        <v>271</v>
      </c>
      <c r="C61" s="8" t="s">
        <v>685</v>
      </c>
      <c r="D61" s="8">
        <v>1227</v>
      </c>
    </row>
    <row r="62" spans="1:4" x14ac:dyDescent="0.35">
      <c r="A62" s="8" t="s">
        <v>686</v>
      </c>
      <c r="B62" s="8" t="s">
        <v>274</v>
      </c>
      <c r="C62" s="8" t="s">
        <v>687</v>
      </c>
      <c r="D62" s="8">
        <v>448</v>
      </c>
    </row>
    <row r="63" spans="1:4" x14ac:dyDescent="0.35">
      <c r="A63" s="8" t="s">
        <v>688</v>
      </c>
      <c r="B63" s="8" t="s">
        <v>279</v>
      </c>
      <c r="C63" s="8" t="s">
        <v>689</v>
      </c>
      <c r="D63" s="8">
        <v>527</v>
      </c>
    </row>
    <row r="64" spans="1:4" x14ac:dyDescent="0.35">
      <c r="A64" s="8" t="s">
        <v>690</v>
      </c>
      <c r="D64" s="8">
        <v>379</v>
      </c>
    </row>
    <row r="65" spans="1:4" x14ac:dyDescent="0.35">
      <c r="A65" s="8" t="s">
        <v>691</v>
      </c>
      <c r="D65" s="8">
        <v>258</v>
      </c>
    </row>
    <row r="66" spans="1:4" x14ac:dyDescent="0.35">
      <c r="A66" s="8" t="s">
        <v>692</v>
      </c>
      <c r="B66" s="8" t="s">
        <v>693</v>
      </c>
      <c r="C66" s="8" t="s">
        <v>632</v>
      </c>
      <c r="D66" s="8">
        <v>592</v>
      </c>
    </row>
    <row r="67" spans="1:4" x14ac:dyDescent="0.35">
      <c r="A67" s="8" t="s">
        <v>694</v>
      </c>
      <c r="B67" s="8" t="s">
        <v>693</v>
      </c>
      <c r="C67" s="8" t="s">
        <v>632</v>
      </c>
      <c r="D67" s="8">
        <v>96</v>
      </c>
    </row>
    <row r="68" spans="1:4" x14ac:dyDescent="0.35">
      <c r="A68" s="8" t="s">
        <v>695</v>
      </c>
      <c r="B68" s="8" t="s">
        <v>696</v>
      </c>
      <c r="C68" s="8" t="s">
        <v>607</v>
      </c>
      <c r="D68" s="8">
        <v>804</v>
      </c>
    </row>
    <row r="69" spans="1:4" x14ac:dyDescent="0.35">
      <c r="A69" s="8" t="s">
        <v>697</v>
      </c>
      <c r="B69" s="8" t="s">
        <v>696</v>
      </c>
      <c r="C69" s="8" t="s">
        <v>607</v>
      </c>
      <c r="D69" s="8">
        <v>381</v>
      </c>
    </row>
    <row r="70" spans="1:4" x14ac:dyDescent="0.35">
      <c r="A70" s="8" t="s">
        <v>698</v>
      </c>
      <c r="B70" s="8" t="s">
        <v>699</v>
      </c>
      <c r="C70" s="8" t="s">
        <v>629</v>
      </c>
      <c r="D70" s="8">
        <v>99</v>
      </c>
    </row>
    <row r="71" spans="1:4" x14ac:dyDescent="0.35">
      <c r="A71" s="8" t="s">
        <v>698</v>
      </c>
      <c r="B71" s="8" t="s">
        <v>83</v>
      </c>
      <c r="C71" s="8" t="s">
        <v>624</v>
      </c>
      <c r="D71" s="8">
        <v>200</v>
      </c>
    </row>
    <row r="72" spans="1:4" x14ac:dyDescent="0.35">
      <c r="A72" s="8" t="s">
        <v>700</v>
      </c>
      <c r="B72" s="8" t="s">
        <v>701</v>
      </c>
      <c r="C72" s="8" t="s">
        <v>702</v>
      </c>
      <c r="D72" s="16" t="s">
        <v>716</v>
      </c>
    </row>
    <row r="73" spans="1:4" x14ac:dyDescent="0.35">
      <c r="A73" s="8" t="s">
        <v>700</v>
      </c>
      <c r="B73" s="8" t="s">
        <v>703</v>
      </c>
      <c r="C73" s="8" t="s">
        <v>629</v>
      </c>
      <c r="D73" s="16" t="s">
        <v>716</v>
      </c>
    </row>
    <row r="74" spans="1:4" x14ac:dyDescent="0.35">
      <c r="A74" s="8" t="s">
        <v>700</v>
      </c>
      <c r="B74" s="8" t="s">
        <v>704</v>
      </c>
      <c r="C74" s="8" t="s">
        <v>616</v>
      </c>
      <c r="D74" s="8">
        <v>549</v>
      </c>
    </row>
    <row r="75" spans="1:4" x14ac:dyDescent="0.35">
      <c r="A75" s="8" t="s">
        <v>706</v>
      </c>
      <c r="B75" s="8" t="s">
        <v>80</v>
      </c>
      <c r="C75" s="8" t="s">
        <v>634</v>
      </c>
      <c r="D75" s="8">
        <v>304</v>
      </c>
    </row>
    <row r="76" spans="1:4" x14ac:dyDescent="0.35">
      <c r="A76" s="8" t="s">
        <v>707</v>
      </c>
      <c r="B76" s="8" t="s">
        <v>80</v>
      </c>
      <c r="C76" s="8" t="s">
        <v>634</v>
      </c>
      <c r="D76" s="8">
        <v>992</v>
      </c>
    </row>
    <row r="77" spans="1:4" x14ac:dyDescent="0.35">
      <c r="A77" s="8" t="s">
        <v>705</v>
      </c>
      <c r="B77" s="8" t="s">
        <v>77</v>
      </c>
      <c r="C77" s="8" t="s">
        <v>634</v>
      </c>
      <c r="D77" s="8">
        <v>356</v>
      </c>
    </row>
    <row r="78" spans="1:4" x14ac:dyDescent="0.35">
      <c r="A78" s="8" t="s">
        <v>708</v>
      </c>
      <c r="B78" s="8" t="s">
        <v>60</v>
      </c>
      <c r="C78" s="8" t="s">
        <v>608</v>
      </c>
      <c r="D78" s="8">
        <v>1909</v>
      </c>
    </row>
    <row r="79" spans="1:4" x14ac:dyDescent="0.35">
      <c r="A79" s="8" t="s">
        <v>709</v>
      </c>
      <c r="B79" s="8" t="s">
        <v>710</v>
      </c>
      <c r="C79" s="8" t="s">
        <v>608</v>
      </c>
      <c r="D79" s="8">
        <v>923</v>
      </c>
    </row>
    <row r="80" spans="1:4" x14ac:dyDescent="0.35">
      <c r="A80" s="8" t="s">
        <v>711</v>
      </c>
      <c r="B80" s="8" t="s">
        <v>58</v>
      </c>
      <c r="C80" s="8" t="s">
        <v>702</v>
      </c>
      <c r="D80" s="8">
        <v>2</v>
      </c>
    </row>
    <row r="81" spans="1:4" x14ac:dyDescent="0.35">
      <c r="A81" s="8" t="s">
        <v>711</v>
      </c>
      <c r="B81" s="8" t="s">
        <v>60</v>
      </c>
      <c r="C81" s="8" t="s">
        <v>608</v>
      </c>
      <c r="D81" s="8">
        <v>288</v>
      </c>
    </row>
    <row r="82" spans="1:4" x14ac:dyDescent="0.35">
      <c r="A82" s="8" t="s">
        <v>712</v>
      </c>
      <c r="B82" s="8" t="s">
        <v>713</v>
      </c>
      <c r="C82" s="8" t="s">
        <v>616</v>
      </c>
      <c r="D82" s="8">
        <v>191</v>
      </c>
    </row>
    <row r="83" spans="1:4" x14ac:dyDescent="0.35">
      <c r="A83" s="8" t="s">
        <v>714</v>
      </c>
      <c r="B83" s="8" t="s">
        <v>715</v>
      </c>
      <c r="C83" s="8" t="s">
        <v>616</v>
      </c>
      <c r="D83" s="8">
        <v>223</v>
      </c>
    </row>
    <row r="84" spans="1:4" x14ac:dyDescent="0.35">
      <c r="A84" s="8" t="s">
        <v>717</v>
      </c>
      <c r="B84" s="8" t="s">
        <v>718</v>
      </c>
      <c r="C84" s="8" t="s">
        <v>671</v>
      </c>
      <c r="D84" s="8">
        <v>182</v>
      </c>
    </row>
    <row r="85" spans="1:4" x14ac:dyDescent="0.35">
      <c r="A85" s="8" t="s">
        <v>717</v>
      </c>
      <c r="B85" s="8" t="s">
        <v>549</v>
      </c>
      <c r="C85" s="8" t="s">
        <v>719</v>
      </c>
      <c r="D85" s="8">
        <v>455</v>
      </c>
    </row>
    <row r="86" spans="1:4" x14ac:dyDescent="0.35">
      <c r="A86" s="8" t="s">
        <v>720</v>
      </c>
      <c r="B86" s="8" t="s">
        <v>549</v>
      </c>
      <c r="C86" s="8" t="s">
        <v>719</v>
      </c>
      <c r="D86" s="8">
        <v>2269</v>
      </c>
    </row>
    <row r="87" spans="1:4" x14ac:dyDescent="0.35">
      <c r="A87" s="8" t="s">
        <v>721</v>
      </c>
      <c r="B87" s="8" t="s">
        <v>722</v>
      </c>
      <c r="C87" s="8" t="s">
        <v>624</v>
      </c>
      <c r="D87" s="8">
        <v>801</v>
      </c>
    </row>
    <row r="88" spans="1:4" x14ac:dyDescent="0.35">
      <c r="A88" s="8" t="s">
        <v>723</v>
      </c>
      <c r="B88" s="8" t="s">
        <v>724</v>
      </c>
      <c r="C88" s="8" t="s">
        <v>608</v>
      </c>
      <c r="D88" s="8">
        <v>63</v>
      </c>
    </row>
    <row r="89" spans="1:4" x14ac:dyDescent="0.35">
      <c r="A89" s="8" t="s">
        <v>723</v>
      </c>
      <c r="B89" s="8" t="s">
        <v>252</v>
      </c>
      <c r="C89" s="8" t="s">
        <v>634</v>
      </c>
      <c r="D89" s="8">
        <v>540</v>
      </c>
    </row>
    <row r="90" spans="1:4" x14ac:dyDescent="0.35">
      <c r="A90" s="8" t="s">
        <v>725</v>
      </c>
      <c r="B90" s="8" t="s">
        <v>726</v>
      </c>
      <c r="C90" s="8" t="s">
        <v>624</v>
      </c>
      <c r="D90" s="8">
        <v>38</v>
      </c>
    </row>
    <row r="91" spans="1:4" x14ac:dyDescent="0.35">
      <c r="A91" s="8" t="s">
        <v>725</v>
      </c>
      <c r="B91" s="8" t="s">
        <v>246</v>
      </c>
      <c r="C91" s="8" t="s">
        <v>634</v>
      </c>
      <c r="D91" s="8">
        <v>306</v>
      </c>
    </row>
    <row r="92" spans="1:4" x14ac:dyDescent="0.35">
      <c r="A92" s="8" t="s">
        <v>727</v>
      </c>
      <c r="B92" s="8" t="s">
        <v>419</v>
      </c>
      <c r="C92" s="8" t="s">
        <v>614</v>
      </c>
      <c r="D92" s="8">
        <v>913</v>
      </c>
    </row>
    <row r="93" spans="1:4" x14ac:dyDescent="0.35">
      <c r="A93" s="8" t="s">
        <v>728</v>
      </c>
      <c r="B93" s="8" t="s">
        <v>729</v>
      </c>
      <c r="C93" s="8" t="s">
        <v>614</v>
      </c>
      <c r="D93" s="8">
        <v>22</v>
      </c>
    </row>
    <row r="94" spans="1:4" x14ac:dyDescent="0.35">
      <c r="A94" s="8" t="s">
        <v>728</v>
      </c>
      <c r="B94" s="8" t="s">
        <v>730</v>
      </c>
      <c r="C94" s="8" t="s">
        <v>634</v>
      </c>
      <c r="D94" s="8">
        <v>795</v>
      </c>
    </row>
    <row r="95" spans="1:4" x14ac:dyDescent="0.35">
      <c r="A95" s="8" t="s">
        <v>728</v>
      </c>
      <c r="B95" s="8" t="s">
        <v>296</v>
      </c>
      <c r="C95" s="8" t="s">
        <v>731</v>
      </c>
      <c r="D95" s="8">
        <v>720</v>
      </c>
    </row>
    <row r="96" spans="1:4" x14ac:dyDescent="0.35">
      <c r="A96" s="8" t="s">
        <v>732</v>
      </c>
      <c r="B96" s="8" t="s">
        <v>733</v>
      </c>
      <c r="C96" s="8" t="s">
        <v>614</v>
      </c>
      <c r="D96" s="8">
        <v>199</v>
      </c>
    </row>
    <row r="97" spans="1:4" x14ac:dyDescent="0.35">
      <c r="A97" s="8" t="s">
        <v>732</v>
      </c>
      <c r="B97" s="8" t="s">
        <v>296</v>
      </c>
      <c r="C97" s="8" t="s">
        <v>731</v>
      </c>
      <c r="D97" s="8">
        <v>1118</v>
      </c>
    </row>
    <row r="98" spans="1:4" x14ac:dyDescent="0.35">
      <c r="A98" s="8" t="s">
        <v>734</v>
      </c>
      <c r="B98" s="8" t="s">
        <v>735</v>
      </c>
      <c r="C98" s="8" t="s">
        <v>624</v>
      </c>
      <c r="D98" s="8">
        <v>293</v>
      </c>
    </row>
    <row r="99" spans="1:4" x14ac:dyDescent="0.35">
      <c r="A99" s="8" t="s">
        <v>736</v>
      </c>
      <c r="B99" s="8" t="s">
        <v>349</v>
      </c>
      <c r="C99" s="8" t="s">
        <v>614</v>
      </c>
      <c r="D99" s="8">
        <v>8351</v>
      </c>
    </row>
    <row r="100" spans="1:4" x14ac:dyDescent="0.35">
      <c r="A100" s="8" t="s">
        <v>737</v>
      </c>
      <c r="B100" s="8" t="s">
        <v>351</v>
      </c>
      <c r="C100" s="8" t="s">
        <v>614</v>
      </c>
      <c r="D100" s="8">
        <v>418</v>
      </c>
    </row>
    <row r="101" spans="1:4" x14ac:dyDescent="0.35">
      <c r="A101" s="8" t="s">
        <v>737</v>
      </c>
      <c r="B101" s="8" t="s">
        <v>346</v>
      </c>
      <c r="C101" s="8" t="s">
        <v>624</v>
      </c>
      <c r="D101" s="8">
        <v>1244</v>
      </c>
    </row>
    <row r="102" spans="1:4" x14ac:dyDescent="0.35">
      <c r="A102" s="8" t="s">
        <v>738</v>
      </c>
      <c r="B102" s="8" t="s">
        <v>739</v>
      </c>
      <c r="C102" s="8" t="s">
        <v>671</v>
      </c>
      <c r="D102" s="8">
        <v>474</v>
      </c>
    </row>
    <row r="103" spans="1:4" x14ac:dyDescent="0.35">
      <c r="A103" s="8" t="s">
        <v>738</v>
      </c>
      <c r="B103" s="8" t="s">
        <v>161</v>
      </c>
      <c r="C103" s="8" t="s">
        <v>608</v>
      </c>
      <c r="D103" s="8">
        <v>1438</v>
      </c>
    </row>
    <row r="104" spans="1:4" x14ac:dyDescent="0.35">
      <c r="A104" s="8" t="s">
        <v>740</v>
      </c>
      <c r="B104" s="8" t="s">
        <v>322</v>
      </c>
      <c r="C104" s="8" t="s">
        <v>624</v>
      </c>
      <c r="D104" s="8">
        <v>50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0"/>
  <sheetViews>
    <sheetView workbookViewId="0">
      <pane ySplit="2" topLeftCell="A3" activePane="bottomLeft" state="frozen"/>
      <selection pane="bottomLeft" activeCell="C12" sqref="C12"/>
    </sheetView>
  </sheetViews>
  <sheetFormatPr defaultRowHeight="14.5" x14ac:dyDescent="0.35"/>
  <cols>
    <col min="1" max="1" width="9.7265625" bestFit="1" customWidth="1"/>
    <col min="2" max="2" width="42.90625" bestFit="1" customWidth="1"/>
    <col min="3" max="3" width="7.26953125" bestFit="1" customWidth="1"/>
    <col min="4" max="4" width="7" bestFit="1" customWidth="1"/>
    <col min="5" max="5" width="12.26953125" bestFit="1" customWidth="1"/>
    <col min="6" max="6" width="16.26953125" bestFit="1" customWidth="1"/>
    <col min="7" max="7" width="17.81640625" bestFit="1" customWidth="1"/>
    <col min="8" max="8" width="17.1796875" bestFit="1" customWidth="1"/>
    <col min="9" max="9" width="20.1796875" customWidth="1"/>
    <col min="10" max="10" width="19.1796875" customWidth="1"/>
    <col min="11" max="11" width="23.08984375" customWidth="1"/>
    <col min="12" max="12" width="19.26953125" customWidth="1"/>
    <col min="13" max="13" width="14.1796875" customWidth="1"/>
    <col min="14" max="14" width="16.7265625" customWidth="1"/>
    <col min="15" max="15" width="13.6328125" customWidth="1"/>
    <col min="16" max="16" width="6.81640625" bestFit="1" customWidth="1"/>
    <col min="17" max="17" width="13.26953125" bestFit="1" customWidth="1"/>
    <col min="18" max="18" width="18.36328125" customWidth="1"/>
    <col min="19" max="19" width="10.453125" bestFit="1" customWidth="1"/>
    <col min="20" max="20" width="17" bestFit="1" customWidth="1"/>
    <col min="21" max="21" width="16.36328125" customWidth="1"/>
    <col min="22" max="22" width="15.36328125" customWidth="1"/>
    <col min="23" max="23" width="18.36328125" customWidth="1"/>
    <col min="24" max="24" width="20.08984375" bestFit="1" customWidth="1"/>
    <col min="25" max="25" width="16.54296875" customWidth="1"/>
    <col min="26" max="26" width="9.54296875" bestFit="1" customWidth="1"/>
    <col min="27" max="27" width="19.7265625" customWidth="1"/>
    <col min="28" max="28" width="9.36328125" bestFit="1" customWidth="1"/>
    <col min="29" max="29" width="18.7265625" customWidth="1"/>
    <col min="30" max="30" width="21.453125" customWidth="1"/>
    <col min="31" max="31" width="30.26953125" customWidth="1"/>
    <col min="32" max="32" width="16.6328125" customWidth="1"/>
    <col min="33" max="33" width="14" customWidth="1"/>
    <col min="34" max="34" width="12.6328125" bestFit="1" customWidth="1"/>
  </cols>
  <sheetData>
    <row r="1" spans="1:34" ht="21" x14ac:dyDescent="0.35">
      <c r="B1" s="23" t="s">
        <v>744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2" spans="1:3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600</v>
      </c>
    </row>
    <row r="3" spans="1:34" x14ac:dyDescent="0.3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3">
        <v>46098</v>
      </c>
      <c r="G3" s="3">
        <v>46118</v>
      </c>
      <c r="H3" s="3">
        <v>46138</v>
      </c>
      <c r="I3" s="3">
        <v>46472</v>
      </c>
      <c r="J3" s="3">
        <v>46098</v>
      </c>
      <c r="K3" s="3">
        <v>46829</v>
      </c>
      <c r="L3" s="3">
        <v>46829</v>
      </c>
      <c r="M3" s="2" t="s">
        <v>38</v>
      </c>
      <c r="N3" s="2" t="s">
        <v>38</v>
      </c>
      <c r="O3" s="2" t="s">
        <v>39</v>
      </c>
      <c r="P3" s="2" t="s">
        <v>40</v>
      </c>
      <c r="Q3" s="13">
        <v>2000</v>
      </c>
      <c r="R3" s="5">
        <v>2959983.38</v>
      </c>
      <c r="S3" s="2" t="s">
        <v>41</v>
      </c>
      <c r="T3" s="14">
        <v>0</v>
      </c>
      <c r="U3" s="6">
        <v>0</v>
      </c>
      <c r="V3" s="14">
        <v>0</v>
      </c>
      <c r="W3" s="6">
        <v>0</v>
      </c>
      <c r="X3" s="14">
        <v>0</v>
      </c>
      <c r="Y3" s="6">
        <v>0</v>
      </c>
      <c r="Z3" s="14">
        <v>0</v>
      </c>
      <c r="AA3" s="6">
        <v>0</v>
      </c>
      <c r="AB3" s="6">
        <v>0</v>
      </c>
      <c r="AC3" s="6">
        <v>0</v>
      </c>
      <c r="AD3" s="3">
        <v>47194</v>
      </c>
      <c r="AE3" s="3">
        <v>46829</v>
      </c>
      <c r="AF3" s="2" t="s">
        <v>38</v>
      </c>
      <c r="AG3" s="2" t="s">
        <v>38</v>
      </c>
      <c r="AH3" s="4">
        <f>DataTable[[#This Row],[Unrestricted]]+DataTable[[#This Row],[Transit &amp; transfer]]+DataTable[[#This Row],[In Quality Insp.]]+DataTable[[#This Row],[Restricted Use Stock]]+DataTable[[#This Row],[Blocked]]</f>
        <v>2000</v>
      </c>
    </row>
    <row r="4" spans="1:34" x14ac:dyDescent="0.35">
      <c r="A4" s="2" t="s">
        <v>33</v>
      </c>
      <c r="B4" s="2" t="s">
        <v>42</v>
      </c>
      <c r="C4" s="2" t="s">
        <v>35</v>
      </c>
      <c r="D4" s="2" t="s">
        <v>36</v>
      </c>
      <c r="E4" s="2" t="s">
        <v>43</v>
      </c>
      <c r="F4" s="3">
        <v>46099</v>
      </c>
      <c r="G4" s="3">
        <v>46118</v>
      </c>
      <c r="H4" s="3">
        <v>46138</v>
      </c>
      <c r="I4" s="3">
        <v>46472</v>
      </c>
      <c r="J4" s="3">
        <v>46099</v>
      </c>
      <c r="K4" s="3">
        <v>46830</v>
      </c>
      <c r="L4" s="3">
        <v>46830</v>
      </c>
      <c r="M4" s="2" t="s">
        <v>38</v>
      </c>
      <c r="N4" s="2" t="s">
        <v>38</v>
      </c>
      <c r="O4" s="2" t="s">
        <v>39</v>
      </c>
      <c r="P4" s="2" t="s">
        <v>40</v>
      </c>
      <c r="Q4" s="4">
        <v>7600</v>
      </c>
      <c r="R4" s="5">
        <v>11247936.84</v>
      </c>
      <c r="S4" s="2" t="s">
        <v>41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3">
        <v>47195</v>
      </c>
      <c r="AE4" s="3">
        <v>46830</v>
      </c>
      <c r="AF4" s="2" t="s">
        <v>38</v>
      </c>
      <c r="AG4" s="2" t="s">
        <v>38</v>
      </c>
      <c r="AH4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5" spans="1:34" x14ac:dyDescent="0.35">
      <c r="A5" s="2" t="s">
        <v>33</v>
      </c>
      <c r="B5" s="2" t="s">
        <v>44</v>
      </c>
      <c r="C5" s="2" t="s">
        <v>35</v>
      </c>
      <c r="D5" s="2" t="s">
        <v>36</v>
      </c>
      <c r="E5" s="2" t="s">
        <v>45</v>
      </c>
      <c r="F5" s="3">
        <v>46100</v>
      </c>
      <c r="G5" s="3">
        <v>46118</v>
      </c>
      <c r="H5" s="3">
        <v>46138</v>
      </c>
      <c r="I5" s="3">
        <v>46473</v>
      </c>
      <c r="J5" s="3">
        <v>46100</v>
      </c>
      <c r="K5" s="3">
        <v>46831</v>
      </c>
      <c r="L5" s="3">
        <v>46831</v>
      </c>
      <c r="M5" s="2" t="s">
        <v>38</v>
      </c>
      <c r="N5" s="2" t="s">
        <v>38</v>
      </c>
      <c r="O5" s="2" t="s">
        <v>39</v>
      </c>
      <c r="P5" s="2" t="s">
        <v>40</v>
      </c>
      <c r="Q5" s="4">
        <v>7600</v>
      </c>
      <c r="R5" s="5">
        <v>11247936.84</v>
      </c>
      <c r="S5" s="2" t="s">
        <v>41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3">
        <v>47196</v>
      </c>
      <c r="AE5" s="3">
        <v>46831</v>
      </c>
      <c r="AF5" s="2" t="s">
        <v>38</v>
      </c>
      <c r="AG5" s="2" t="s">
        <v>38</v>
      </c>
      <c r="AH5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6" spans="1:34" x14ac:dyDescent="0.35">
      <c r="A6" s="2" t="s">
        <v>33</v>
      </c>
      <c r="B6" s="2" t="s">
        <v>46</v>
      </c>
      <c r="C6" s="2" t="s">
        <v>35</v>
      </c>
      <c r="D6" s="2" t="s">
        <v>36</v>
      </c>
      <c r="E6" s="2" t="s">
        <v>47</v>
      </c>
      <c r="F6" s="3">
        <v>46104</v>
      </c>
      <c r="G6" s="3">
        <v>46118</v>
      </c>
      <c r="H6" s="3">
        <v>46138</v>
      </c>
      <c r="I6" s="3">
        <v>46473</v>
      </c>
      <c r="J6" s="3">
        <v>46104</v>
      </c>
      <c r="K6" s="3">
        <v>46835</v>
      </c>
      <c r="L6" s="3">
        <v>46835</v>
      </c>
      <c r="M6" s="2" t="s">
        <v>38</v>
      </c>
      <c r="N6" s="2" t="s">
        <v>38</v>
      </c>
      <c r="O6" s="2" t="s">
        <v>39</v>
      </c>
      <c r="P6" s="2" t="s">
        <v>40</v>
      </c>
      <c r="Q6" s="4">
        <v>7600</v>
      </c>
      <c r="R6" s="5">
        <v>11247936.84</v>
      </c>
      <c r="S6" s="2" t="s">
        <v>41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3">
        <v>47200</v>
      </c>
      <c r="AE6" s="3">
        <v>46835</v>
      </c>
      <c r="AF6" s="2" t="s">
        <v>38</v>
      </c>
      <c r="AG6" s="2" t="s">
        <v>38</v>
      </c>
      <c r="AH6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7" spans="1:34" x14ac:dyDescent="0.35">
      <c r="A7" s="2" t="s">
        <v>33</v>
      </c>
      <c r="B7" s="2" t="s">
        <v>48</v>
      </c>
      <c r="C7" s="2" t="s">
        <v>35</v>
      </c>
      <c r="D7" s="2" t="s">
        <v>36</v>
      </c>
      <c r="E7" s="2" t="s">
        <v>49</v>
      </c>
      <c r="F7" s="3">
        <v>46156</v>
      </c>
      <c r="G7" s="3">
        <v>46169</v>
      </c>
      <c r="H7" s="3">
        <v>46198</v>
      </c>
      <c r="I7" s="3">
        <v>46528</v>
      </c>
      <c r="J7" s="3">
        <v>46156</v>
      </c>
      <c r="K7" s="3">
        <v>46887</v>
      </c>
      <c r="L7" s="3">
        <v>46887</v>
      </c>
      <c r="M7" s="2" t="s">
        <v>38</v>
      </c>
      <c r="N7" s="2" t="s">
        <v>38</v>
      </c>
      <c r="O7" s="2" t="s">
        <v>39</v>
      </c>
      <c r="P7" s="2" t="s">
        <v>40</v>
      </c>
      <c r="Q7" s="4">
        <v>7600</v>
      </c>
      <c r="R7" s="5">
        <v>11247936.84</v>
      </c>
      <c r="S7" s="2" t="s">
        <v>41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3">
        <v>47252</v>
      </c>
      <c r="AE7" s="3">
        <v>46887</v>
      </c>
      <c r="AF7" s="2" t="s">
        <v>38</v>
      </c>
      <c r="AG7" s="2" t="s">
        <v>38</v>
      </c>
      <c r="AH7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8" spans="1:34" x14ac:dyDescent="0.35">
      <c r="A8" s="2" t="s">
        <v>33</v>
      </c>
      <c r="B8" s="2" t="s">
        <v>50</v>
      </c>
      <c r="C8" s="2" t="s">
        <v>35</v>
      </c>
      <c r="D8" s="2" t="s">
        <v>36</v>
      </c>
      <c r="E8" s="2" t="s">
        <v>51</v>
      </c>
      <c r="F8" s="3">
        <v>46157</v>
      </c>
      <c r="G8" s="3">
        <v>46169</v>
      </c>
      <c r="H8" s="3">
        <v>46198</v>
      </c>
      <c r="I8" s="3">
        <v>46528</v>
      </c>
      <c r="J8" s="3">
        <v>46157</v>
      </c>
      <c r="K8" s="3">
        <v>46888</v>
      </c>
      <c r="L8" s="3">
        <v>46888</v>
      </c>
      <c r="M8" s="2" t="s">
        <v>38</v>
      </c>
      <c r="N8" s="2" t="s">
        <v>38</v>
      </c>
      <c r="O8" s="2" t="s">
        <v>39</v>
      </c>
      <c r="P8" s="2" t="s">
        <v>40</v>
      </c>
      <c r="Q8" s="4">
        <v>7600</v>
      </c>
      <c r="R8" s="5">
        <v>11247936.84</v>
      </c>
      <c r="S8" s="2" t="s">
        <v>41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3">
        <v>47253</v>
      </c>
      <c r="AE8" s="3">
        <v>46888</v>
      </c>
      <c r="AF8" s="2" t="s">
        <v>38</v>
      </c>
      <c r="AG8" s="2" t="s">
        <v>38</v>
      </c>
      <c r="AH8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9" spans="1:34" x14ac:dyDescent="0.35">
      <c r="A9" s="2" t="s">
        <v>33</v>
      </c>
      <c r="B9" s="2" t="s">
        <v>52</v>
      </c>
      <c r="C9" s="2" t="s">
        <v>35</v>
      </c>
      <c r="D9" s="2" t="s">
        <v>36</v>
      </c>
      <c r="E9" s="2" t="s">
        <v>53</v>
      </c>
      <c r="F9" s="3">
        <v>46163</v>
      </c>
      <c r="G9" s="3">
        <v>46169</v>
      </c>
      <c r="H9" s="3">
        <v>46198</v>
      </c>
      <c r="I9" s="3">
        <v>46533</v>
      </c>
      <c r="J9" s="3">
        <v>46163</v>
      </c>
      <c r="K9" s="3">
        <v>46894</v>
      </c>
      <c r="L9" s="3">
        <v>46894</v>
      </c>
      <c r="M9" s="2" t="s">
        <v>38</v>
      </c>
      <c r="N9" s="2" t="s">
        <v>38</v>
      </c>
      <c r="O9" s="2" t="s">
        <v>39</v>
      </c>
      <c r="P9" s="2" t="s">
        <v>40</v>
      </c>
      <c r="Q9" s="4">
        <v>7600</v>
      </c>
      <c r="R9" s="5">
        <v>11247936.84</v>
      </c>
      <c r="S9" s="2" t="s">
        <v>41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3">
        <v>47259</v>
      </c>
      <c r="AE9" s="3">
        <v>46894</v>
      </c>
      <c r="AF9" s="2" t="s">
        <v>38</v>
      </c>
      <c r="AG9" s="2" t="s">
        <v>38</v>
      </c>
      <c r="AH9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10" spans="1:34" x14ac:dyDescent="0.35">
      <c r="A10" s="2" t="s">
        <v>33</v>
      </c>
      <c r="B10" s="2" t="s">
        <v>54</v>
      </c>
      <c r="C10" s="2" t="s">
        <v>35</v>
      </c>
      <c r="D10" s="2" t="s">
        <v>36</v>
      </c>
      <c r="E10" s="2" t="s">
        <v>55</v>
      </c>
      <c r="F10" s="3">
        <v>46164</v>
      </c>
      <c r="G10" s="3">
        <v>46169</v>
      </c>
      <c r="H10" s="3">
        <v>46198</v>
      </c>
      <c r="I10" s="3">
        <v>46533</v>
      </c>
      <c r="J10" s="3">
        <v>46164</v>
      </c>
      <c r="K10" s="3">
        <v>46895</v>
      </c>
      <c r="L10" s="3">
        <v>46895</v>
      </c>
      <c r="M10" s="2" t="s">
        <v>38</v>
      </c>
      <c r="N10" s="2" t="s">
        <v>38</v>
      </c>
      <c r="O10" s="2" t="s">
        <v>39</v>
      </c>
      <c r="P10" s="2" t="s">
        <v>40</v>
      </c>
      <c r="Q10" s="4">
        <v>7600</v>
      </c>
      <c r="R10" s="5">
        <v>11247936.84</v>
      </c>
      <c r="S10" s="2" t="s">
        <v>41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3">
        <v>47260</v>
      </c>
      <c r="AE10" s="3">
        <v>46895</v>
      </c>
      <c r="AF10" s="2" t="s">
        <v>38</v>
      </c>
      <c r="AG10" s="2" t="s">
        <v>38</v>
      </c>
      <c r="AH10" s="4">
        <f>DataTable[[#This Row],[Unrestricted]]+DataTable[[#This Row],[Transit &amp; transfer]]+DataTable[[#This Row],[In Quality Insp.]]+DataTable[[#This Row],[Restricted Use Stock]]+DataTable[[#This Row],[Blocked]]</f>
        <v>7600</v>
      </c>
    </row>
    <row r="11" spans="1:34" x14ac:dyDescent="0.35">
      <c r="A11" s="2" t="s">
        <v>56</v>
      </c>
      <c r="B11" s="2" t="s">
        <v>57</v>
      </c>
      <c r="C11" s="2" t="s">
        <v>35</v>
      </c>
      <c r="D11" s="2" t="s">
        <v>36</v>
      </c>
      <c r="E11" s="2" t="s">
        <v>58</v>
      </c>
      <c r="F11" s="3">
        <v>46062</v>
      </c>
      <c r="G11" s="3">
        <v>46081</v>
      </c>
      <c r="H11" s="3">
        <v>46081</v>
      </c>
      <c r="I11" s="3">
        <v>46427</v>
      </c>
      <c r="J11" s="3">
        <v>46062</v>
      </c>
      <c r="K11" s="3">
        <v>46792</v>
      </c>
      <c r="L11" s="3">
        <v>46792</v>
      </c>
      <c r="M11" s="2" t="s">
        <v>38</v>
      </c>
      <c r="N11" s="2" t="s">
        <v>38</v>
      </c>
      <c r="O11" s="2" t="s">
        <v>39</v>
      </c>
      <c r="P11" s="2" t="s">
        <v>40</v>
      </c>
      <c r="Q11" s="4">
        <v>138</v>
      </c>
      <c r="R11" s="5">
        <v>247769.44</v>
      </c>
      <c r="S11" s="2" t="s">
        <v>41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3">
        <v>47158</v>
      </c>
      <c r="AE11" s="3">
        <v>46792</v>
      </c>
      <c r="AF11" s="2" t="s">
        <v>38</v>
      </c>
      <c r="AG11" s="2" t="s">
        <v>38</v>
      </c>
      <c r="AH11" s="4">
        <f>DataTable[[#This Row],[Unrestricted]]+DataTable[[#This Row],[Transit &amp; transfer]]+DataTable[[#This Row],[In Quality Insp.]]+DataTable[[#This Row],[Restricted Use Stock]]+DataTable[[#This Row],[Blocked]]</f>
        <v>138</v>
      </c>
    </row>
    <row r="12" spans="1:34" x14ac:dyDescent="0.35">
      <c r="A12" s="2" t="s">
        <v>56</v>
      </c>
      <c r="B12" s="2" t="s">
        <v>59</v>
      </c>
      <c r="C12" s="2" t="s">
        <v>35</v>
      </c>
      <c r="D12" s="2" t="s">
        <v>36</v>
      </c>
      <c r="E12" s="2" t="s">
        <v>60</v>
      </c>
      <c r="F12" s="3">
        <v>46052</v>
      </c>
      <c r="G12" s="3">
        <v>46146</v>
      </c>
      <c r="H12" s="3">
        <v>46146</v>
      </c>
      <c r="I12" s="3">
        <v>46510</v>
      </c>
      <c r="J12" s="3">
        <v>46052</v>
      </c>
      <c r="K12" s="3">
        <v>46782</v>
      </c>
      <c r="L12" s="3">
        <v>46782</v>
      </c>
      <c r="M12" s="2" t="s">
        <v>38</v>
      </c>
      <c r="N12" s="2" t="s">
        <v>38</v>
      </c>
      <c r="O12" s="2" t="s">
        <v>39</v>
      </c>
      <c r="P12" s="2" t="s">
        <v>40</v>
      </c>
      <c r="Q12" s="4">
        <v>69</v>
      </c>
      <c r="R12" s="5">
        <v>123884.72</v>
      </c>
      <c r="S12" s="2" t="s">
        <v>41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3">
        <v>47148</v>
      </c>
      <c r="AE12" s="3">
        <v>46782</v>
      </c>
      <c r="AF12" s="2" t="s">
        <v>38</v>
      </c>
      <c r="AG12" s="2" t="s">
        <v>38</v>
      </c>
      <c r="AH12" s="4">
        <f>DataTable[[#This Row],[Unrestricted]]+DataTable[[#This Row],[Transit &amp; transfer]]+DataTable[[#This Row],[In Quality Insp.]]+DataTable[[#This Row],[Restricted Use Stock]]+DataTable[[#This Row],[Blocked]]</f>
        <v>69</v>
      </c>
    </row>
    <row r="13" spans="1:34" x14ac:dyDescent="0.35">
      <c r="A13" s="2" t="s">
        <v>56</v>
      </c>
      <c r="B13" s="2" t="s">
        <v>61</v>
      </c>
      <c r="C13" s="2" t="s">
        <v>35</v>
      </c>
      <c r="D13" s="2" t="s">
        <v>36</v>
      </c>
      <c r="E13" s="2" t="s">
        <v>62</v>
      </c>
      <c r="F13" s="3">
        <v>46152</v>
      </c>
      <c r="G13" s="3">
        <v>46204</v>
      </c>
      <c r="H13" s="3">
        <v>46204</v>
      </c>
      <c r="I13" s="3">
        <v>46517</v>
      </c>
      <c r="J13" s="3">
        <v>46152</v>
      </c>
      <c r="K13" s="3">
        <v>46883</v>
      </c>
      <c r="L13" s="3">
        <v>46883</v>
      </c>
      <c r="M13" s="2" t="s">
        <v>38</v>
      </c>
      <c r="N13" s="2" t="s">
        <v>38</v>
      </c>
      <c r="O13" s="2" t="s">
        <v>39</v>
      </c>
      <c r="P13" s="2" t="s">
        <v>40</v>
      </c>
      <c r="Q13" s="4">
        <v>960</v>
      </c>
      <c r="R13" s="5">
        <v>1723613.49</v>
      </c>
      <c r="S13" s="2" t="s">
        <v>41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3">
        <v>47248</v>
      </c>
      <c r="AE13" s="3">
        <v>46883</v>
      </c>
      <c r="AF13" s="2" t="s">
        <v>38</v>
      </c>
      <c r="AG13" s="2" t="s">
        <v>38</v>
      </c>
      <c r="AH13" s="4">
        <f>DataTable[[#This Row],[Unrestricted]]+DataTable[[#This Row],[Transit &amp; transfer]]+DataTable[[#This Row],[In Quality Insp.]]+DataTable[[#This Row],[Restricted Use Stock]]+DataTable[[#This Row],[Blocked]]</f>
        <v>960</v>
      </c>
    </row>
    <row r="14" spans="1:34" x14ac:dyDescent="0.35">
      <c r="A14" s="2" t="s">
        <v>56</v>
      </c>
      <c r="B14" s="2" t="s">
        <v>63</v>
      </c>
      <c r="C14" s="2" t="s">
        <v>35</v>
      </c>
      <c r="D14" s="2" t="s">
        <v>36</v>
      </c>
      <c r="E14" s="2" t="s">
        <v>64</v>
      </c>
      <c r="F14" s="3">
        <v>46204</v>
      </c>
      <c r="G14" s="3">
        <v>46205</v>
      </c>
      <c r="H14" s="3">
        <v>46205</v>
      </c>
      <c r="I14" s="3">
        <v>46569</v>
      </c>
      <c r="J14" s="3">
        <v>46204</v>
      </c>
      <c r="K14" s="3">
        <v>46935</v>
      </c>
      <c r="L14" s="3">
        <v>46935</v>
      </c>
      <c r="M14" s="2" t="s">
        <v>38</v>
      </c>
      <c r="N14" s="2" t="s">
        <v>38</v>
      </c>
      <c r="O14" s="2" t="s">
        <v>39</v>
      </c>
      <c r="P14" s="2" t="s">
        <v>40</v>
      </c>
      <c r="Q14" s="4">
        <v>1200</v>
      </c>
      <c r="R14" s="5">
        <v>2154516.87</v>
      </c>
      <c r="S14" s="2" t="s">
        <v>41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3">
        <v>47300</v>
      </c>
      <c r="AE14" s="3">
        <v>46935</v>
      </c>
      <c r="AF14" s="2" t="s">
        <v>38</v>
      </c>
      <c r="AG14" s="2" t="s">
        <v>38</v>
      </c>
      <c r="AH14" s="4">
        <f>DataTable[[#This Row],[Unrestricted]]+DataTable[[#This Row],[Transit &amp; transfer]]+DataTable[[#This Row],[In Quality Insp.]]+DataTable[[#This Row],[Restricted Use Stock]]+DataTable[[#This Row],[Blocked]]</f>
        <v>1200</v>
      </c>
    </row>
    <row r="15" spans="1:34" x14ac:dyDescent="0.35">
      <c r="A15" s="2" t="s">
        <v>65</v>
      </c>
      <c r="B15" s="2" t="s">
        <v>66</v>
      </c>
      <c r="C15" s="2" t="s">
        <v>35</v>
      </c>
      <c r="D15" s="2" t="s">
        <v>36</v>
      </c>
      <c r="E15" s="2" t="s">
        <v>60</v>
      </c>
      <c r="F15" s="3">
        <v>46089</v>
      </c>
      <c r="G15" s="3">
        <v>46090</v>
      </c>
      <c r="H15" s="3">
        <v>46090</v>
      </c>
      <c r="I15" s="3">
        <v>46454</v>
      </c>
      <c r="J15" s="3">
        <v>46089</v>
      </c>
      <c r="K15" s="3">
        <v>46820</v>
      </c>
      <c r="L15" s="3">
        <v>46820</v>
      </c>
      <c r="M15" s="2" t="s">
        <v>38</v>
      </c>
      <c r="N15" s="2" t="s">
        <v>38</v>
      </c>
      <c r="O15" s="2" t="s">
        <v>39</v>
      </c>
      <c r="P15" s="2" t="s">
        <v>40</v>
      </c>
      <c r="Q15" s="4">
        <v>965</v>
      </c>
      <c r="R15" s="5">
        <v>1517085.58</v>
      </c>
      <c r="S15" s="2" t="s">
        <v>41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3">
        <v>47185</v>
      </c>
      <c r="AE15" s="3">
        <v>46820</v>
      </c>
      <c r="AF15" s="2" t="s">
        <v>38</v>
      </c>
      <c r="AG15" s="2" t="s">
        <v>38</v>
      </c>
      <c r="AH15" s="4">
        <f>DataTable[[#This Row],[Unrestricted]]+DataTable[[#This Row],[Transit &amp; transfer]]+DataTable[[#This Row],[In Quality Insp.]]+DataTable[[#This Row],[Restricted Use Stock]]+DataTable[[#This Row],[Blocked]]</f>
        <v>965</v>
      </c>
    </row>
    <row r="16" spans="1:34" x14ac:dyDescent="0.35">
      <c r="A16" s="2" t="s">
        <v>67</v>
      </c>
      <c r="B16" s="2" t="s">
        <v>68</v>
      </c>
      <c r="C16" s="2" t="s">
        <v>35</v>
      </c>
      <c r="D16" s="2" t="s">
        <v>36</v>
      </c>
      <c r="E16" s="2" t="s">
        <v>69</v>
      </c>
      <c r="F16" s="3">
        <v>46190</v>
      </c>
      <c r="G16" s="3">
        <v>46196</v>
      </c>
      <c r="H16" s="3">
        <v>46196</v>
      </c>
      <c r="I16" s="3">
        <v>46646</v>
      </c>
      <c r="J16" s="3">
        <v>46190</v>
      </c>
      <c r="K16" s="3">
        <v>46921</v>
      </c>
      <c r="L16" s="3">
        <v>46921</v>
      </c>
      <c r="M16" s="2" t="s">
        <v>38</v>
      </c>
      <c r="N16" s="2" t="s">
        <v>38</v>
      </c>
      <c r="O16" s="2" t="s">
        <v>39</v>
      </c>
      <c r="P16" s="2" t="s">
        <v>40</v>
      </c>
      <c r="Q16" s="4">
        <v>416</v>
      </c>
      <c r="R16" s="5">
        <v>1044228.94</v>
      </c>
      <c r="S16" s="2" t="s">
        <v>41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3">
        <v>47286</v>
      </c>
      <c r="AE16" s="3">
        <v>46921</v>
      </c>
      <c r="AF16" s="2" t="s">
        <v>38</v>
      </c>
      <c r="AG16" s="2" t="s">
        <v>38</v>
      </c>
      <c r="AH16" s="4">
        <f>DataTable[[#This Row],[Unrestricted]]+DataTable[[#This Row],[Transit &amp; transfer]]+DataTable[[#This Row],[In Quality Insp.]]+DataTable[[#This Row],[Restricted Use Stock]]+DataTable[[#This Row],[Blocked]]</f>
        <v>416</v>
      </c>
    </row>
    <row r="17" spans="1:34" x14ac:dyDescent="0.35">
      <c r="A17" s="2" t="s">
        <v>70</v>
      </c>
      <c r="B17" s="2" t="s">
        <v>71</v>
      </c>
      <c r="C17" s="2" t="s">
        <v>35</v>
      </c>
      <c r="D17" s="2" t="s">
        <v>36</v>
      </c>
      <c r="E17" s="2" t="s">
        <v>72</v>
      </c>
      <c r="F17" s="3">
        <v>46198</v>
      </c>
      <c r="G17" s="3">
        <v>46200</v>
      </c>
      <c r="H17" s="3">
        <v>46200</v>
      </c>
      <c r="I17" s="3">
        <v>46562</v>
      </c>
      <c r="J17" s="3">
        <v>46198</v>
      </c>
      <c r="K17" s="3">
        <v>46929</v>
      </c>
      <c r="L17" s="3">
        <v>46929</v>
      </c>
      <c r="M17" s="2" t="s">
        <v>38</v>
      </c>
      <c r="N17" s="2" t="s">
        <v>38</v>
      </c>
      <c r="O17" s="2" t="s">
        <v>39</v>
      </c>
      <c r="P17" s="2" t="s">
        <v>40</v>
      </c>
      <c r="Q17" s="4">
        <v>115</v>
      </c>
      <c r="R17" s="5">
        <v>106295.79</v>
      </c>
      <c r="S17" s="2" t="s">
        <v>41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3">
        <v>47294</v>
      </c>
      <c r="AE17" s="3">
        <v>46929</v>
      </c>
      <c r="AF17" s="2" t="s">
        <v>38</v>
      </c>
      <c r="AG17" s="2" t="s">
        <v>38</v>
      </c>
      <c r="AH17" s="4">
        <f>DataTable[[#This Row],[Unrestricted]]+DataTable[[#This Row],[Transit &amp; transfer]]+DataTable[[#This Row],[In Quality Insp.]]+DataTable[[#This Row],[Restricted Use Stock]]+DataTable[[#This Row],[Blocked]]</f>
        <v>115</v>
      </c>
    </row>
    <row r="18" spans="1:34" x14ac:dyDescent="0.35">
      <c r="A18" s="2" t="s">
        <v>70</v>
      </c>
      <c r="B18" s="2" t="s">
        <v>73</v>
      </c>
      <c r="C18" s="2" t="s">
        <v>35</v>
      </c>
      <c r="D18" s="2" t="s">
        <v>36</v>
      </c>
      <c r="E18" s="2" t="s">
        <v>74</v>
      </c>
      <c r="F18" s="3">
        <v>46200</v>
      </c>
      <c r="G18" s="3">
        <v>46201</v>
      </c>
      <c r="H18" s="3">
        <v>46201</v>
      </c>
      <c r="I18" s="3">
        <v>46565</v>
      </c>
      <c r="J18" s="3">
        <v>46200</v>
      </c>
      <c r="K18" s="3">
        <v>46931</v>
      </c>
      <c r="L18" s="3">
        <v>46931</v>
      </c>
      <c r="M18" s="2" t="s">
        <v>38</v>
      </c>
      <c r="N18" s="2" t="s">
        <v>38</v>
      </c>
      <c r="O18" s="2" t="s">
        <v>39</v>
      </c>
      <c r="P18" s="2" t="s">
        <v>40</v>
      </c>
      <c r="Q18" s="4">
        <v>100</v>
      </c>
      <c r="R18" s="5">
        <v>92431.13</v>
      </c>
      <c r="S18" s="2" t="s">
        <v>41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3">
        <v>47296</v>
      </c>
      <c r="AE18" s="3">
        <v>46931</v>
      </c>
      <c r="AF18" s="2" t="s">
        <v>38</v>
      </c>
      <c r="AG18" s="2" t="s">
        <v>38</v>
      </c>
      <c r="AH18" s="4">
        <f>DataTable[[#This Row],[Unrestricted]]+DataTable[[#This Row],[Transit &amp; transfer]]+DataTable[[#This Row],[In Quality Insp.]]+DataTable[[#This Row],[Restricted Use Stock]]+DataTable[[#This Row],[Blocked]]</f>
        <v>100</v>
      </c>
    </row>
    <row r="19" spans="1:34" x14ac:dyDescent="0.35">
      <c r="A19" s="2" t="s">
        <v>75</v>
      </c>
      <c r="B19" s="2" t="s">
        <v>76</v>
      </c>
      <c r="C19" s="2" t="s">
        <v>35</v>
      </c>
      <c r="D19" s="2" t="s">
        <v>36</v>
      </c>
      <c r="E19" s="2" t="s">
        <v>77</v>
      </c>
      <c r="F19" s="3">
        <v>46191</v>
      </c>
      <c r="G19" s="3">
        <v>46191</v>
      </c>
      <c r="H19" s="3">
        <v>46191</v>
      </c>
      <c r="I19" s="3">
        <v>46647</v>
      </c>
      <c r="J19" s="3">
        <v>46191</v>
      </c>
      <c r="K19" s="3">
        <v>46922</v>
      </c>
      <c r="L19" s="3">
        <v>46922</v>
      </c>
      <c r="M19" s="2" t="s">
        <v>38</v>
      </c>
      <c r="N19" s="2" t="s">
        <v>38</v>
      </c>
      <c r="O19" s="2" t="s">
        <v>39</v>
      </c>
      <c r="P19" s="2" t="s">
        <v>40</v>
      </c>
      <c r="Q19" s="4">
        <v>530</v>
      </c>
      <c r="R19" s="5">
        <v>1278582.22</v>
      </c>
      <c r="S19" s="2" t="s">
        <v>41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3">
        <v>47287</v>
      </c>
      <c r="AE19" s="3">
        <v>46922</v>
      </c>
      <c r="AF19" s="2" t="s">
        <v>38</v>
      </c>
      <c r="AG19" s="2" t="s">
        <v>38</v>
      </c>
      <c r="AH19" s="4">
        <f>DataTable[[#This Row],[Unrestricted]]+DataTable[[#This Row],[Transit &amp; transfer]]+DataTable[[#This Row],[In Quality Insp.]]+DataTable[[#This Row],[Restricted Use Stock]]+DataTable[[#This Row],[Blocked]]</f>
        <v>530</v>
      </c>
    </row>
    <row r="20" spans="1:34" x14ac:dyDescent="0.35">
      <c r="A20" s="2" t="s">
        <v>78</v>
      </c>
      <c r="B20" s="2" t="s">
        <v>79</v>
      </c>
      <c r="C20" s="2" t="s">
        <v>35</v>
      </c>
      <c r="D20" s="2" t="s">
        <v>36</v>
      </c>
      <c r="E20" s="2" t="s">
        <v>80</v>
      </c>
      <c r="F20" s="3">
        <v>46172</v>
      </c>
      <c r="G20" s="3">
        <v>46196</v>
      </c>
      <c r="H20" s="3">
        <v>46196</v>
      </c>
      <c r="I20" s="3">
        <v>46645</v>
      </c>
      <c r="J20" s="3">
        <v>46172</v>
      </c>
      <c r="K20" s="3">
        <v>46903</v>
      </c>
      <c r="L20" s="3">
        <v>46903</v>
      </c>
      <c r="M20" s="2" t="s">
        <v>38</v>
      </c>
      <c r="N20" s="2" t="s">
        <v>38</v>
      </c>
      <c r="O20" s="2" t="s">
        <v>39</v>
      </c>
      <c r="P20" s="2" t="s">
        <v>40</v>
      </c>
      <c r="Q20" s="4">
        <v>40</v>
      </c>
      <c r="R20" s="5">
        <v>106348.58</v>
      </c>
      <c r="S20" s="2" t="s">
        <v>41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3">
        <v>47268</v>
      </c>
      <c r="AE20" s="3">
        <v>46903</v>
      </c>
      <c r="AF20" s="2" t="s">
        <v>38</v>
      </c>
      <c r="AG20" s="2" t="s">
        <v>38</v>
      </c>
      <c r="AH20" s="4">
        <f>DataTable[[#This Row],[Unrestricted]]+DataTable[[#This Row],[Transit &amp; transfer]]+DataTable[[#This Row],[In Quality Insp.]]+DataTable[[#This Row],[Restricted Use Stock]]+DataTable[[#This Row],[Blocked]]</f>
        <v>40</v>
      </c>
    </row>
    <row r="21" spans="1:34" x14ac:dyDescent="0.35">
      <c r="A21" s="2" t="s">
        <v>81</v>
      </c>
      <c r="B21" s="2" t="s">
        <v>82</v>
      </c>
      <c r="C21" s="2" t="s">
        <v>35</v>
      </c>
      <c r="D21" s="2" t="s">
        <v>36</v>
      </c>
      <c r="E21" s="2" t="s">
        <v>83</v>
      </c>
      <c r="F21" s="3">
        <v>46202</v>
      </c>
      <c r="G21" s="3">
        <v>46205</v>
      </c>
      <c r="H21" s="3">
        <v>46205</v>
      </c>
      <c r="I21" s="3">
        <v>46567</v>
      </c>
      <c r="J21" s="3">
        <v>46202</v>
      </c>
      <c r="K21" s="3">
        <v>46933</v>
      </c>
      <c r="L21" s="3">
        <v>46933</v>
      </c>
      <c r="M21" s="2" t="s">
        <v>38</v>
      </c>
      <c r="N21" s="2" t="s">
        <v>38</v>
      </c>
      <c r="O21" s="2" t="s">
        <v>39</v>
      </c>
      <c r="P21" s="2" t="s">
        <v>40</v>
      </c>
      <c r="Q21" s="4">
        <v>70</v>
      </c>
      <c r="R21" s="5">
        <v>72063.399999999994</v>
      </c>
      <c r="S21" s="2" t="s">
        <v>41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3">
        <v>47298</v>
      </c>
      <c r="AE21" s="3">
        <v>46933</v>
      </c>
      <c r="AF21" s="2" t="s">
        <v>38</v>
      </c>
      <c r="AG21" s="2" t="s">
        <v>38</v>
      </c>
      <c r="AH21" s="4">
        <f>DataTable[[#This Row],[Unrestricted]]+DataTable[[#This Row],[Transit &amp; transfer]]+DataTable[[#This Row],[In Quality Insp.]]+DataTable[[#This Row],[Restricted Use Stock]]+DataTable[[#This Row],[Blocked]]</f>
        <v>70</v>
      </c>
    </row>
    <row r="22" spans="1:34" x14ac:dyDescent="0.35">
      <c r="A22" s="2" t="s">
        <v>81</v>
      </c>
      <c r="B22" s="2" t="s">
        <v>84</v>
      </c>
      <c r="C22" s="2" t="s">
        <v>35</v>
      </c>
      <c r="D22" s="2" t="s">
        <v>36</v>
      </c>
      <c r="E22" s="2" t="s">
        <v>85</v>
      </c>
      <c r="F22" s="3">
        <v>46205</v>
      </c>
      <c r="G22" s="3">
        <v>46209</v>
      </c>
      <c r="H22" s="3">
        <v>46209</v>
      </c>
      <c r="I22" s="3">
        <v>46570</v>
      </c>
      <c r="J22" s="3">
        <v>46205</v>
      </c>
      <c r="K22" s="3">
        <v>46936</v>
      </c>
      <c r="L22" s="3">
        <v>46936</v>
      </c>
      <c r="M22" s="2" t="s">
        <v>38</v>
      </c>
      <c r="N22" s="2" t="s">
        <v>38</v>
      </c>
      <c r="O22" s="2" t="s">
        <v>39</v>
      </c>
      <c r="P22" s="2" t="s">
        <v>40</v>
      </c>
      <c r="Q22" s="4">
        <v>400</v>
      </c>
      <c r="R22" s="5">
        <v>411790.84</v>
      </c>
      <c r="S22" s="2" t="s">
        <v>41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3">
        <v>47301</v>
      </c>
      <c r="AE22" s="3">
        <v>46936</v>
      </c>
      <c r="AF22" s="2" t="s">
        <v>38</v>
      </c>
      <c r="AG22" s="2" t="s">
        <v>38</v>
      </c>
      <c r="AH22" s="4">
        <f>DataTable[[#This Row],[Unrestricted]]+DataTable[[#This Row],[Transit &amp; transfer]]+DataTable[[#This Row],[In Quality Insp.]]+DataTable[[#This Row],[Restricted Use Stock]]+DataTable[[#This Row],[Blocked]]</f>
        <v>400</v>
      </c>
    </row>
    <row r="23" spans="1:34" x14ac:dyDescent="0.35">
      <c r="A23" s="2" t="s">
        <v>86</v>
      </c>
      <c r="B23" s="2" t="s">
        <v>87</v>
      </c>
      <c r="C23" s="2" t="s">
        <v>35</v>
      </c>
      <c r="D23" s="2" t="s">
        <v>36</v>
      </c>
      <c r="E23" s="2" t="s">
        <v>88</v>
      </c>
      <c r="F23" s="3">
        <v>46141</v>
      </c>
      <c r="G23" s="3">
        <v>46163</v>
      </c>
      <c r="H23" s="3">
        <v>46166</v>
      </c>
      <c r="I23" s="3">
        <v>47966</v>
      </c>
      <c r="J23" s="3">
        <v>46141</v>
      </c>
      <c r="K23" s="3">
        <v>47967</v>
      </c>
      <c r="L23" s="3">
        <v>47967</v>
      </c>
      <c r="M23" s="2" t="s">
        <v>38</v>
      </c>
      <c r="N23" s="2" t="s">
        <v>38</v>
      </c>
      <c r="O23" s="2" t="s">
        <v>39</v>
      </c>
      <c r="P23" s="2" t="s">
        <v>89</v>
      </c>
      <c r="Q23" s="4">
        <v>100000</v>
      </c>
      <c r="R23" s="5">
        <v>18966880</v>
      </c>
      <c r="S23" s="2" t="s">
        <v>41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3">
        <v>47967</v>
      </c>
      <c r="AE23" s="3">
        <v>46141</v>
      </c>
      <c r="AF23" s="2" t="s">
        <v>38</v>
      </c>
      <c r="AG23" s="2" t="s">
        <v>38</v>
      </c>
      <c r="AH23" s="4">
        <f>DataTable[[#This Row],[Unrestricted]]+DataTable[[#This Row],[Transit &amp; transfer]]+DataTable[[#This Row],[In Quality Insp.]]+DataTable[[#This Row],[Restricted Use Stock]]+DataTable[[#This Row],[Blocked]]</f>
        <v>100000</v>
      </c>
    </row>
    <row r="24" spans="1:34" x14ac:dyDescent="0.35">
      <c r="A24" s="2" t="s">
        <v>86</v>
      </c>
      <c r="B24" s="2" t="s">
        <v>90</v>
      </c>
      <c r="C24" s="2" t="s">
        <v>35</v>
      </c>
      <c r="D24" s="2" t="s">
        <v>36</v>
      </c>
      <c r="E24" s="2" t="s">
        <v>91</v>
      </c>
      <c r="F24" s="3">
        <v>46154</v>
      </c>
      <c r="G24" s="3">
        <v>46181</v>
      </c>
      <c r="H24" s="3">
        <v>46188</v>
      </c>
      <c r="I24" s="3">
        <v>47979</v>
      </c>
      <c r="J24" s="3">
        <v>46154</v>
      </c>
      <c r="K24" s="3">
        <v>47980</v>
      </c>
      <c r="L24" s="3">
        <v>47980</v>
      </c>
      <c r="M24" s="2" t="s">
        <v>38</v>
      </c>
      <c r="N24" s="2" t="s">
        <v>38</v>
      </c>
      <c r="O24" s="2" t="s">
        <v>39</v>
      </c>
      <c r="P24" s="2" t="s">
        <v>89</v>
      </c>
      <c r="Q24" s="4">
        <v>200000</v>
      </c>
      <c r="R24" s="5">
        <v>37933760</v>
      </c>
      <c r="S24" s="2" t="s">
        <v>41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3">
        <v>47980</v>
      </c>
      <c r="AE24" s="3">
        <v>46154</v>
      </c>
      <c r="AF24" s="2" t="s">
        <v>38</v>
      </c>
      <c r="AG24" s="2" t="s">
        <v>38</v>
      </c>
      <c r="AH24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25" spans="1:34" x14ac:dyDescent="0.35">
      <c r="A25" s="2" t="s">
        <v>86</v>
      </c>
      <c r="B25" s="2" t="s">
        <v>92</v>
      </c>
      <c r="C25" s="2" t="s">
        <v>35</v>
      </c>
      <c r="D25" s="2" t="s">
        <v>36</v>
      </c>
      <c r="E25" s="2" t="s">
        <v>93</v>
      </c>
      <c r="F25" s="3">
        <v>46168</v>
      </c>
      <c r="G25" s="3">
        <v>46204</v>
      </c>
      <c r="H25" s="3">
        <v>46205</v>
      </c>
      <c r="I25" s="3">
        <v>47993</v>
      </c>
      <c r="J25" s="3">
        <v>46168</v>
      </c>
      <c r="K25" s="3">
        <v>47994</v>
      </c>
      <c r="L25" s="3">
        <v>47994</v>
      </c>
      <c r="M25" s="2" t="s">
        <v>38</v>
      </c>
      <c r="N25" s="2" t="s">
        <v>38</v>
      </c>
      <c r="O25" s="2" t="s">
        <v>39</v>
      </c>
      <c r="P25" s="2" t="s">
        <v>89</v>
      </c>
      <c r="Q25" s="4">
        <v>200000</v>
      </c>
      <c r="R25" s="5">
        <v>37933760</v>
      </c>
      <c r="S25" s="2" t="s">
        <v>41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3">
        <v>47994</v>
      </c>
      <c r="AE25" s="3">
        <v>46168</v>
      </c>
      <c r="AF25" s="2" t="s">
        <v>38</v>
      </c>
      <c r="AG25" s="2" t="s">
        <v>38</v>
      </c>
      <c r="AH25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26" spans="1:34" x14ac:dyDescent="0.35">
      <c r="A26" s="2" t="s">
        <v>86</v>
      </c>
      <c r="B26" s="2" t="s">
        <v>94</v>
      </c>
      <c r="C26" s="2" t="s">
        <v>35</v>
      </c>
      <c r="D26" s="2" t="s">
        <v>36</v>
      </c>
      <c r="E26" s="2" t="s">
        <v>95</v>
      </c>
      <c r="F26" s="3">
        <v>46118</v>
      </c>
      <c r="G26" s="3">
        <v>46161</v>
      </c>
      <c r="H26" s="3">
        <v>46165</v>
      </c>
      <c r="I26" s="3">
        <v>47943</v>
      </c>
      <c r="J26" s="3">
        <v>46118</v>
      </c>
      <c r="K26" s="3">
        <v>47944</v>
      </c>
      <c r="L26" s="3">
        <v>47944</v>
      </c>
      <c r="M26" s="2" t="s">
        <v>38</v>
      </c>
      <c r="N26" s="2" t="s">
        <v>38</v>
      </c>
      <c r="O26" s="2" t="s">
        <v>39</v>
      </c>
      <c r="P26" s="2" t="s">
        <v>89</v>
      </c>
      <c r="Q26" s="4">
        <v>199000</v>
      </c>
      <c r="R26" s="5">
        <v>37744091.200000003</v>
      </c>
      <c r="S26" s="2" t="s">
        <v>41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3">
        <v>47944</v>
      </c>
      <c r="AE26" s="3">
        <v>46118</v>
      </c>
      <c r="AF26" s="2" t="s">
        <v>38</v>
      </c>
      <c r="AG26" s="2" t="s">
        <v>38</v>
      </c>
      <c r="AH26" s="4">
        <f>DataTable[[#This Row],[Unrestricted]]+DataTable[[#This Row],[Transit &amp; transfer]]+DataTable[[#This Row],[In Quality Insp.]]+DataTable[[#This Row],[Restricted Use Stock]]+DataTable[[#This Row],[Blocked]]</f>
        <v>199000</v>
      </c>
    </row>
    <row r="27" spans="1:34" x14ac:dyDescent="0.35">
      <c r="A27" s="2" t="s">
        <v>86</v>
      </c>
      <c r="B27" s="2" t="s">
        <v>96</v>
      </c>
      <c r="C27" s="2" t="s">
        <v>35</v>
      </c>
      <c r="D27" s="2" t="s">
        <v>36</v>
      </c>
      <c r="E27" s="2" t="s">
        <v>97</v>
      </c>
      <c r="F27" s="3">
        <v>46118</v>
      </c>
      <c r="G27" s="3">
        <v>46161</v>
      </c>
      <c r="H27" s="3">
        <v>46165</v>
      </c>
      <c r="I27" s="3">
        <v>47943</v>
      </c>
      <c r="J27" s="3">
        <v>46118</v>
      </c>
      <c r="K27" s="3">
        <v>47944</v>
      </c>
      <c r="L27" s="3">
        <v>47944</v>
      </c>
      <c r="M27" s="2" t="s">
        <v>38</v>
      </c>
      <c r="N27" s="2" t="s">
        <v>38</v>
      </c>
      <c r="O27" s="2" t="s">
        <v>39</v>
      </c>
      <c r="P27" s="2" t="s">
        <v>89</v>
      </c>
      <c r="Q27" s="4">
        <v>67000</v>
      </c>
      <c r="R27" s="5">
        <v>12707809.6</v>
      </c>
      <c r="S27" s="2" t="s">
        <v>41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3">
        <v>47944</v>
      </c>
      <c r="AE27" s="3">
        <v>46118</v>
      </c>
      <c r="AF27" s="2" t="s">
        <v>38</v>
      </c>
      <c r="AG27" s="2" t="s">
        <v>38</v>
      </c>
      <c r="AH27" s="4">
        <f>DataTable[[#This Row],[Unrestricted]]+DataTable[[#This Row],[Transit &amp; transfer]]+DataTable[[#This Row],[In Quality Insp.]]+DataTable[[#This Row],[Restricted Use Stock]]+DataTable[[#This Row],[Blocked]]</f>
        <v>67000</v>
      </c>
    </row>
    <row r="28" spans="1:34" x14ac:dyDescent="0.35">
      <c r="A28" s="2" t="s">
        <v>86</v>
      </c>
      <c r="B28" s="2" t="s">
        <v>98</v>
      </c>
      <c r="C28" s="2" t="s">
        <v>35</v>
      </c>
      <c r="D28" s="2" t="s">
        <v>36</v>
      </c>
      <c r="E28" s="2" t="s">
        <v>99</v>
      </c>
      <c r="F28" s="3">
        <v>46156</v>
      </c>
      <c r="G28" s="3">
        <v>46177</v>
      </c>
      <c r="H28" s="3">
        <v>46177</v>
      </c>
      <c r="I28" s="3">
        <v>47981</v>
      </c>
      <c r="J28" s="3">
        <v>46156</v>
      </c>
      <c r="K28" s="3">
        <v>47982</v>
      </c>
      <c r="L28" s="3">
        <v>47982</v>
      </c>
      <c r="M28" s="2" t="s">
        <v>38</v>
      </c>
      <c r="N28" s="2" t="s">
        <v>38</v>
      </c>
      <c r="O28" s="2" t="s">
        <v>39</v>
      </c>
      <c r="P28" s="2" t="s">
        <v>89</v>
      </c>
      <c r="Q28" s="4">
        <v>200000</v>
      </c>
      <c r="R28" s="5">
        <v>37933760</v>
      </c>
      <c r="S28" s="2" t="s">
        <v>41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3">
        <v>47982</v>
      </c>
      <c r="AE28" s="3">
        <v>46156</v>
      </c>
      <c r="AF28" s="2" t="s">
        <v>38</v>
      </c>
      <c r="AG28" s="2" t="s">
        <v>38</v>
      </c>
      <c r="AH28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29" spans="1:34" x14ac:dyDescent="0.35">
      <c r="A29" s="2" t="s">
        <v>86</v>
      </c>
      <c r="B29" s="2" t="s">
        <v>100</v>
      </c>
      <c r="C29" s="2" t="s">
        <v>35</v>
      </c>
      <c r="D29" s="2" t="s">
        <v>36</v>
      </c>
      <c r="E29" s="2" t="s">
        <v>101</v>
      </c>
      <c r="F29" s="3">
        <v>46154</v>
      </c>
      <c r="G29" s="3">
        <v>46179</v>
      </c>
      <c r="H29" s="3">
        <v>46182</v>
      </c>
      <c r="I29" s="3">
        <v>47979</v>
      </c>
      <c r="J29" s="3">
        <v>46154</v>
      </c>
      <c r="K29" s="3">
        <v>47980</v>
      </c>
      <c r="L29" s="3">
        <v>47980</v>
      </c>
      <c r="M29" s="2" t="s">
        <v>38</v>
      </c>
      <c r="N29" s="2" t="s">
        <v>38</v>
      </c>
      <c r="O29" s="2" t="s">
        <v>39</v>
      </c>
      <c r="P29" s="2" t="s">
        <v>89</v>
      </c>
      <c r="Q29" s="4">
        <v>200000</v>
      </c>
      <c r="R29" s="5">
        <v>37933760</v>
      </c>
      <c r="S29" s="2" t="s">
        <v>41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3">
        <v>47980</v>
      </c>
      <c r="AE29" s="3">
        <v>46154</v>
      </c>
      <c r="AF29" s="2" t="s">
        <v>38</v>
      </c>
      <c r="AG29" s="2" t="s">
        <v>38</v>
      </c>
      <c r="AH29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30" spans="1:34" x14ac:dyDescent="0.35">
      <c r="A30" s="2" t="s">
        <v>86</v>
      </c>
      <c r="B30" s="2" t="s">
        <v>102</v>
      </c>
      <c r="C30" s="2" t="s">
        <v>35</v>
      </c>
      <c r="D30" s="2" t="s">
        <v>36</v>
      </c>
      <c r="E30" s="2" t="s">
        <v>103</v>
      </c>
      <c r="F30" s="3">
        <v>46161</v>
      </c>
      <c r="G30" s="3">
        <v>46187</v>
      </c>
      <c r="H30" s="3">
        <v>46188</v>
      </c>
      <c r="I30" s="3">
        <v>47986</v>
      </c>
      <c r="J30" s="3">
        <v>46161</v>
      </c>
      <c r="K30" s="3">
        <v>47987</v>
      </c>
      <c r="L30" s="3">
        <v>47987</v>
      </c>
      <c r="M30" s="2" t="s">
        <v>38</v>
      </c>
      <c r="N30" s="2" t="s">
        <v>38</v>
      </c>
      <c r="O30" s="2" t="s">
        <v>39</v>
      </c>
      <c r="P30" s="2" t="s">
        <v>89</v>
      </c>
      <c r="Q30" s="4">
        <v>200000</v>
      </c>
      <c r="R30" s="5">
        <v>37933760</v>
      </c>
      <c r="S30" s="2" t="s">
        <v>41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3">
        <v>47987</v>
      </c>
      <c r="AE30" s="3">
        <v>46161</v>
      </c>
      <c r="AF30" s="2" t="s">
        <v>38</v>
      </c>
      <c r="AG30" s="2" t="s">
        <v>38</v>
      </c>
      <c r="AH30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31" spans="1:34" x14ac:dyDescent="0.35">
      <c r="A31" s="2" t="s">
        <v>86</v>
      </c>
      <c r="B31" s="2" t="s">
        <v>104</v>
      </c>
      <c r="C31" s="2" t="s">
        <v>35</v>
      </c>
      <c r="D31" s="2" t="s">
        <v>105</v>
      </c>
      <c r="E31" s="2" t="s">
        <v>106</v>
      </c>
      <c r="F31" s="3">
        <v>45895</v>
      </c>
      <c r="G31" s="3">
        <v>46005</v>
      </c>
      <c r="H31" s="3">
        <v>46012</v>
      </c>
      <c r="I31" s="3">
        <v>47720</v>
      </c>
      <c r="J31" s="3">
        <v>45895</v>
      </c>
      <c r="K31" s="3">
        <v>47721</v>
      </c>
      <c r="L31" s="3">
        <v>47721</v>
      </c>
      <c r="M31" s="2" t="s">
        <v>38</v>
      </c>
      <c r="N31" s="2" t="s">
        <v>38</v>
      </c>
      <c r="O31" s="2" t="s">
        <v>39</v>
      </c>
      <c r="P31" s="2" t="s">
        <v>89</v>
      </c>
      <c r="Q31" s="4">
        <v>26</v>
      </c>
      <c r="R31" s="5">
        <v>4931.3900000000003</v>
      </c>
      <c r="S31" s="2" t="s">
        <v>41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3">
        <v>47721</v>
      </c>
      <c r="AE31" s="3">
        <v>45895</v>
      </c>
      <c r="AF31" s="2" t="s">
        <v>38</v>
      </c>
      <c r="AG31" s="2" t="s">
        <v>38</v>
      </c>
      <c r="AH31" s="4">
        <f>DataTable[[#This Row],[Unrestricted]]+DataTable[[#This Row],[Transit &amp; transfer]]+DataTable[[#This Row],[In Quality Insp.]]+DataTable[[#This Row],[Restricted Use Stock]]+DataTable[[#This Row],[Blocked]]</f>
        <v>26</v>
      </c>
    </row>
    <row r="32" spans="1:34" x14ac:dyDescent="0.35">
      <c r="A32" s="2" t="s">
        <v>86</v>
      </c>
      <c r="B32" s="2" t="s">
        <v>107</v>
      </c>
      <c r="C32" s="2" t="s">
        <v>35</v>
      </c>
      <c r="D32" s="2" t="s">
        <v>105</v>
      </c>
      <c r="E32" s="2" t="s">
        <v>108</v>
      </c>
      <c r="F32" s="3">
        <v>45911</v>
      </c>
      <c r="G32" s="3">
        <v>45938</v>
      </c>
      <c r="H32" s="3">
        <v>46016</v>
      </c>
      <c r="I32" s="3">
        <v>47736</v>
      </c>
      <c r="J32" s="3">
        <v>45911</v>
      </c>
      <c r="K32" s="3">
        <v>47737</v>
      </c>
      <c r="L32" s="3">
        <v>47737</v>
      </c>
      <c r="M32" s="2" t="s">
        <v>38</v>
      </c>
      <c r="N32" s="2" t="s">
        <v>38</v>
      </c>
      <c r="O32" s="2" t="s">
        <v>39</v>
      </c>
      <c r="P32" s="2" t="s">
        <v>89</v>
      </c>
      <c r="Q32" s="4">
        <v>1315</v>
      </c>
      <c r="R32" s="5">
        <v>249414.47</v>
      </c>
      <c r="S32" s="2" t="s">
        <v>41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3">
        <v>47737</v>
      </c>
      <c r="AE32" s="3">
        <v>45911</v>
      </c>
      <c r="AF32" s="2" t="s">
        <v>38</v>
      </c>
      <c r="AG32" s="2" t="s">
        <v>38</v>
      </c>
      <c r="AH32" s="4">
        <f>DataTable[[#This Row],[Unrestricted]]+DataTable[[#This Row],[Transit &amp; transfer]]+DataTable[[#This Row],[In Quality Insp.]]+DataTable[[#This Row],[Restricted Use Stock]]+DataTable[[#This Row],[Blocked]]</f>
        <v>1315</v>
      </c>
    </row>
    <row r="33" spans="1:34" x14ac:dyDescent="0.35">
      <c r="A33" s="2" t="s">
        <v>109</v>
      </c>
      <c r="B33" s="2" t="s">
        <v>110</v>
      </c>
      <c r="C33" s="2" t="s">
        <v>35</v>
      </c>
      <c r="D33" s="2" t="s">
        <v>36</v>
      </c>
      <c r="E33" s="2" t="s">
        <v>111</v>
      </c>
      <c r="F33" s="3">
        <v>46114</v>
      </c>
      <c r="G33" s="3">
        <v>46116</v>
      </c>
      <c r="H33" s="3">
        <v>46116</v>
      </c>
      <c r="I33" s="2" t="s">
        <v>38</v>
      </c>
      <c r="J33" s="3">
        <v>46114</v>
      </c>
      <c r="K33" s="3">
        <v>46845</v>
      </c>
      <c r="L33" s="3">
        <v>46845</v>
      </c>
      <c r="M33" s="2" t="s">
        <v>38</v>
      </c>
      <c r="N33" s="2" t="s">
        <v>38</v>
      </c>
      <c r="O33" s="2" t="s">
        <v>39</v>
      </c>
      <c r="P33" s="2" t="s">
        <v>89</v>
      </c>
      <c r="Q33" s="4">
        <v>764</v>
      </c>
      <c r="R33" s="5">
        <v>245761.76</v>
      </c>
      <c r="S33" s="2" t="s">
        <v>41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3">
        <v>47575</v>
      </c>
      <c r="AE33" s="3">
        <v>46845</v>
      </c>
      <c r="AF33" s="2" t="s">
        <v>38</v>
      </c>
      <c r="AG33" s="2" t="s">
        <v>38</v>
      </c>
      <c r="AH33" s="4">
        <f>DataTable[[#This Row],[Unrestricted]]+DataTable[[#This Row],[Transit &amp; transfer]]+DataTable[[#This Row],[In Quality Insp.]]+DataTable[[#This Row],[Restricted Use Stock]]+DataTable[[#This Row],[Blocked]]</f>
        <v>764</v>
      </c>
    </row>
    <row r="34" spans="1:34" x14ac:dyDescent="0.35">
      <c r="A34" s="2" t="s">
        <v>109</v>
      </c>
      <c r="B34" s="2" t="s">
        <v>112</v>
      </c>
      <c r="C34" s="2" t="s">
        <v>35</v>
      </c>
      <c r="D34" s="2" t="s">
        <v>36</v>
      </c>
      <c r="E34" s="2" t="s">
        <v>113</v>
      </c>
      <c r="F34" s="3">
        <v>46116</v>
      </c>
      <c r="G34" s="3">
        <v>46121</v>
      </c>
      <c r="H34" s="3">
        <v>46121</v>
      </c>
      <c r="I34" s="2" t="s">
        <v>38</v>
      </c>
      <c r="J34" s="3">
        <v>46116</v>
      </c>
      <c r="K34" s="3">
        <v>46847</v>
      </c>
      <c r="L34" s="3">
        <v>46847</v>
      </c>
      <c r="M34" s="2" t="s">
        <v>38</v>
      </c>
      <c r="N34" s="2" t="s">
        <v>38</v>
      </c>
      <c r="O34" s="2" t="s">
        <v>39</v>
      </c>
      <c r="P34" s="2" t="s">
        <v>89</v>
      </c>
      <c r="Q34" s="4">
        <v>268</v>
      </c>
      <c r="R34" s="5">
        <v>86209.62</v>
      </c>
      <c r="S34" s="2" t="s">
        <v>41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3">
        <v>47577</v>
      </c>
      <c r="AE34" s="3">
        <v>46847</v>
      </c>
      <c r="AF34" s="2" t="s">
        <v>38</v>
      </c>
      <c r="AG34" s="2" t="s">
        <v>38</v>
      </c>
      <c r="AH34" s="4">
        <f>DataTable[[#This Row],[Unrestricted]]+DataTable[[#This Row],[Transit &amp; transfer]]+DataTable[[#This Row],[In Quality Insp.]]+DataTable[[#This Row],[Restricted Use Stock]]+DataTable[[#This Row],[Blocked]]</f>
        <v>268</v>
      </c>
    </row>
    <row r="35" spans="1:34" x14ac:dyDescent="0.35">
      <c r="A35" s="2" t="s">
        <v>109</v>
      </c>
      <c r="B35" s="2" t="s">
        <v>114</v>
      </c>
      <c r="C35" s="2" t="s">
        <v>35</v>
      </c>
      <c r="D35" s="2" t="s">
        <v>36</v>
      </c>
      <c r="E35" s="2" t="s">
        <v>115</v>
      </c>
      <c r="F35" s="3">
        <v>46186</v>
      </c>
      <c r="G35" s="3">
        <v>46187</v>
      </c>
      <c r="H35" s="3">
        <v>46187</v>
      </c>
      <c r="I35" s="2" t="s">
        <v>38</v>
      </c>
      <c r="J35" s="3">
        <v>46186</v>
      </c>
      <c r="K35" s="3">
        <v>46917</v>
      </c>
      <c r="L35" s="3">
        <v>46917</v>
      </c>
      <c r="M35" s="2" t="s">
        <v>38</v>
      </c>
      <c r="N35" s="2" t="s">
        <v>38</v>
      </c>
      <c r="O35" s="2" t="s">
        <v>39</v>
      </c>
      <c r="P35" s="2" t="s">
        <v>89</v>
      </c>
      <c r="Q35" s="4">
        <v>812</v>
      </c>
      <c r="R35" s="5">
        <v>261202.29</v>
      </c>
      <c r="S35" s="2" t="s">
        <v>41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3">
        <v>47647</v>
      </c>
      <c r="AE35" s="3">
        <v>46917</v>
      </c>
      <c r="AF35" s="2" t="s">
        <v>38</v>
      </c>
      <c r="AG35" s="2" t="s">
        <v>38</v>
      </c>
      <c r="AH35" s="4">
        <f>DataTable[[#This Row],[Unrestricted]]+DataTable[[#This Row],[Transit &amp; transfer]]+DataTable[[#This Row],[In Quality Insp.]]+DataTable[[#This Row],[Restricted Use Stock]]+DataTable[[#This Row],[Blocked]]</f>
        <v>812</v>
      </c>
    </row>
    <row r="36" spans="1:34" x14ac:dyDescent="0.35">
      <c r="A36" s="2" t="s">
        <v>109</v>
      </c>
      <c r="B36" s="2" t="s">
        <v>116</v>
      </c>
      <c r="C36" s="2" t="s">
        <v>35</v>
      </c>
      <c r="D36" s="2" t="s">
        <v>36</v>
      </c>
      <c r="E36" s="2" t="s">
        <v>117</v>
      </c>
      <c r="F36" s="3">
        <v>46187</v>
      </c>
      <c r="G36" s="3">
        <v>46203</v>
      </c>
      <c r="H36" s="3">
        <v>46203</v>
      </c>
      <c r="I36" s="2" t="s">
        <v>38</v>
      </c>
      <c r="J36" s="3">
        <v>46187</v>
      </c>
      <c r="K36" s="3">
        <v>46918</v>
      </c>
      <c r="L36" s="3">
        <v>46918</v>
      </c>
      <c r="M36" s="2" t="s">
        <v>38</v>
      </c>
      <c r="N36" s="2" t="s">
        <v>38</v>
      </c>
      <c r="O36" s="2" t="s">
        <v>39</v>
      </c>
      <c r="P36" s="2" t="s">
        <v>89</v>
      </c>
      <c r="Q36" s="4">
        <v>916</v>
      </c>
      <c r="R36" s="5">
        <v>294656.77</v>
      </c>
      <c r="S36" s="2" t="s">
        <v>41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3">
        <v>47648</v>
      </c>
      <c r="AE36" s="3">
        <v>46918</v>
      </c>
      <c r="AF36" s="2" t="s">
        <v>38</v>
      </c>
      <c r="AG36" s="2" t="s">
        <v>38</v>
      </c>
      <c r="AH36" s="4">
        <f>DataTable[[#This Row],[Unrestricted]]+DataTable[[#This Row],[Transit &amp; transfer]]+DataTable[[#This Row],[In Quality Insp.]]+DataTable[[#This Row],[Restricted Use Stock]]+DataTable[[#This Row],[Blocked]]</f>
        <v>916</v>
      </c>
    </row>
    <row r="37" spans="1:34" x14ac:dyDescent="0.35">
      <c r="A37" s="2" t="s">
        <v>118</v>
      </c>
      <c r="B37" s="2" t="s">
        <v>119</v>
      </c>
      <c r="C37" s="2" t="s">
        <v>35</v>
      </c>
      <c r="D37" s="2" t="s">
        <v>36</v>
      </c>
      <c r="E37" s="2" t="s">
        <v>120</v>
      </c>
      <c r="F37" s="3">
        <v>46037</v>
      </c>
      <c r="G37" s="3">
        <v>46060</v>
      </c>
      <c r="H37" s="3">
        <v>46060</v>
      </c>
      <c r="I37" s="3">
        <v>46217</v>
      </c>
      <c r="J37" s="3">
        <v>46037</v>
      </c>
      <c r="K37" s="3">
        <v>46767</v>
      </c>
      <c r="L37" s="3">
        <v>46217</v>
      </c>
      <c r="M37" s="2" t="s">
        <v>38</v>
      </c>
      <c r="N37" s="2" t="s">
        <v>38</v>
      </c>
      <c r="O37" s="2" t="s">
        <v>39</v>
      </c>
      <c r="P37" s="2" t="s">
        <v>89</v>
      </c>
      <c r="Q37" s="4">
        <v>20764</v>
      </c>
      <c r="R37" s="5">
        <v>7577994.1500000004</v>
      </c>
      <c r="S37" s="2" t="s">
        <v>41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3">
        <v>46217</v>
      </c>
      <c r="AE37" s="2" t="s">
        <v>38</v>
      </c>
      <c r="AF37" s="2" t="s">
        <v>38</v>
      </c>
      <c r="AG37" s="2" t="s">
        <v>38</v>
      </c>
      <c r="AH37" s="4">
        <f>DataTable[[#This Row],[Unrestricted]]+DataTable[[#This Row],[Transit &amp; transfer]]+DataTable[[#This Row],[In Quality Insp.]]+DataTable[[#This Row],[Restricted Use Stock]]+DataTable[[#This Row],[Blocked]]</f>
        <v>20764</v>
      </c>
    </row>
    <row r="38" spans="1:34" x14ac:dyDescent="0.35">
      <c r="A38" s="2" t="s">
        <v>121</v>
      </c>
      <c r="B38" s="2" t="s">
        <v>122</v>
      </c>
      <c r="C38" s="2" t="s">
        <v>35</v>
      </c>
      <c r="D38" s="2" t="s">
        <v>36</v>
      </c>
      <c r="E38" s="2" t="s">
        <v>123</v>
      </c>
      <c r="F38" s="3">
        <v>45838</v>
      </c>
      <c r="G38" s="3">
        <v>46154</v>
      </c>
      <c r="H38" s="3">
        <v>46154</v>
      </c>
      <c r="I38" s="3">
        <v>46973</v>
      </c>
      <c r="J38" s="3">
        <v>45838</v>
      </c>
      <c r="K38" s="3">
        <v>46568</v>
      </c>
      <c r="L38" s="3">
        <v>46934</v>
      </c>
      <c r="M38" s="2" t="s">
        <v>38</v>
      </c>
      <c r="N38" s="2" t="s">
        <v>38</v>
      </c>
      <c r="O38" s="2" t="s">
        <v>39</v>
      </c>
      <c r="P38" s="2" t="s">
        <v>89</v>
      </c>
      <c r="Q38" s="4">
        <v>243</v>
      </c>
      <c r="R38" s="5">
        <v>319494.58</v>
      </c>
      <c r="S38" s="2" t="s">
        <v>41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3">
        <v>47299</v>
      </c>
      <c r="AE38" s="3">
        <v>46568</v>
      </c>
      <c r="AF38" s="2" t="s">
        <v>38</v>
      </c>
      <c r="AG38" s="2" t="s">
        <v>38</v>
      </c>
      <c r="AH38" s="4">
        <f>DataTable[[#This Row],[Unrestricted]]+DataTable[[#This Row],[Transit &amp; transfer]]+DataTable[[#This Row],[In Quality Insp.]]+DataTable[[#This Row],[Restricted Use Stock]]+DataTable[[#This Row],[Blocked]]</f>
        <v>243</v>
      </c>
    </row>
    <row r="39" spans="1:34" x14ac:dyDescent="0.35">
      <c r="A39" s="2" t="s">
        <v>121</v>
      </c>
      <c r="B39" s="2" t="s">
        <v>124</v>
      </c>
      <c r="C39" s="2" t="s">
        <v>35</v>
      </c>
      <c r="D39" s="2" t="s">
        <v>36</v>
      </c>
      <c r="E39" s="2" t="s">
        <v>125</v>
      </c>
      <c r="F39" s="3">
        <v>45807</v>
      </c>
      <c r="G39" s="3">
        <v>46207</v>
      </c>
      <c r="H39" s="3">
        <v>46207</v>
      </c>
      <c r="I39" s="3">
        <v>47025</v>
      </c>
      <c r="J39" s="3">
        <v>45807</v>
      </c>
      <c r="K39" s="3">
        <v>46537</v>
      </c>
      <c r="L39" s="3">
        <v>46903</v>
      </c>
      <c r="M39" s="2" t="s">
        <v>38</v>
      </c>
      <c r="N39" s="2" t="s">
        <v>38</v>
      </c>
      <c r="O39" s="2" t="s">
        <v>39</v>
      </c>
      <c r="P39" s="2" t="s">
        <v>89</v>
      </c>
      <c r="Q39" s="4">
        <v>774</v>
      </c>
      <c r="R39" s="5">
        <v>1017649.41</v>
      </c>
      <c r="S39" s="2" t="s">
        <v>41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3">
        <v>47268</v>
      </c>
      <c r="AE39" s="3">
        <v>46537</v>
      </c>
      <c r="AF39" s="2" t="s">
        <v>38</v>
      </c>
      <c r="AG39" s="2" t="s">
        <v>38</v>
      </c>
      <c r="AH39" s="4">
        <f>DataTable[[#This Row],[Unrestricted]]+DataTable[[#This Row],[Transit &amp; transfer]]+DataTable[[#This Row],[In Quality Insp.]]+DataTable[[#This Row],[Restricted Use Stock]]+DataTable[[#This Row],[Blocked]]</f>
        <v>774</v>
      </c>
    </row>
    <row r="40" spans="1:34" x14ac:dyDescent="0.35">
      <c r="A40" s="2" t="s">
        <v>121</v>
      </c>
      <c r="B40" s="2" t="s">
        <v>126</v>
      </c>
      <c r="C40" s="2" t="s">
        <v>35</v>
      </c>
      <c r="D40" s="2" t="s">
        <v>36</v>
      </c>
      <c r="E40" s="2" t="s">
        <v>127</v>
      </c>
      <c r="F40" s="3">
        <v>45970</v>
      </c>
      <c r="G40" s="3">
        <v>46167</v>
      </c>
      <c r="H40" s="3">
        <v>46167</v>
      </c>
      <c r="I40" s="3">
        <v>46800</v>
      </c>
      <c r="J40" s="3">
        <v>45970</v>
      </c>
      <c r="K40" s="3">
        <v>46700</v>
      </c>
      <c r="L40" s="3">
        <v>47066</v>
      </c>
      <c r="M40" s="2" t="s">
        <v>38</v>
      </c>
      <c r="N40" s="2" t="s">
        <v>38</v>
      </c>
      <c r="O40" s="2" t="s">
        <v>39</v>
      </c>
      <c r="P40" s="2" t="s">
        <v>89</v>
      </c>
      <c r="Q40" s="4">
        <v>648</v>
      </c>
      <c r="R40" s="5">
        <v>851985.55</v>
      </c>
      <c r="S40" s="2" t="s">
        <v>41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3">
        <v>47431</v>
      </c>
      <c r="AE40" s="3">
        <v>46700</v>
      </c>
      <c r="AF40" s="2" t="s">
        <v>38</v>
      </c>
      <c r="AG40" s="2" t="s">
        <v>38</v>
      </c>
      <c r="AH40" s="4">
        <f>DataTable[[#This Row],[Unrestricted]]+DataTable[[#This Row],[Transit &amp; transfer]]+DataTable[[#This Row],[In Quality Insp.]]+DataTable[[#This Row],[Restricted Use Stock]]+DataTable[[#This Row],[Blocked]]</f>
        <v>648</v>
      </c>
    </row>
    <row r="41" spans="1:34" x14ac:dyDescent="0.35">
      <c r="A41" s="2" t="s">
        <v>121</v>
      </c>
      <c r="B41" s="2" t="s">
        <v>128</v>
      </c>
      <c r="C41" s="2" t="s">
        <v>35</v>
      </c>
      <c r="D41" s="2" t="s">
        <v>36</v>
      </c>
      <c r="E41" s="2" t="s">
        <v>129</v>
      </c>
      <c r="F41" s="3">
        <v>45970</v>
      </c>
      <c r="G41" s="3">
        <v>45991</v>
      </c>
      <c r="H41" s="3">
        <v>45991</v>
      </c>
      <c r="I41" s="3">
        <v>46809</v>
      </c>
      <c r="J41" s="3">
        <v>45970</v>
      </c>
      <c r="K41" s="3">
        <v>46700</v>
      </c>
      <c r="L41" s="3">
        <v>47066</v>
      </c>
      <c r="M41" s="2" t="s">
        <v>38</v>
      </c>
      <c r="N41" s="2" t="s">
        <v>38</v>
      </c>
      <c r="O41" s="2" t="s">
        <v>39</v>
      </c>
      <c r="P41" s="2" t="s">
        <v>89</v>
      </c>
      <c r="Q41" s="4">
        <v>264</v>
      </c>
      <c r="R41" s="5">
        <v>347105.23</v>
      </c>
      <c r="S41" s="2" t="s">
        <v>41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3">
        <v>47431</v>
      </c>
      <c r="AE41" s="3">
        <v>46700</v>
      </c>
      <c r="AF41" s="2" t="s">
        <v>38</v>
      </c>
      <c r="AG41" s="2" t="s">
        <v>38</v>
      </c>
      <c r="AH41" s="4">
        <f>DataTable[[#This Row],[Unrestricted]]+DataTable[[#This Row],[Transit &amp; transfer]]+DataTable[[#This Row],[In Quality Insp.]]+DataTable[[#This Row],[Restricted Use Stock]]+DataTable[[#This Row],[Blocked]]</f>
        <v>264</v>
      </c>
    </row>
    <row r="42" spans="1:34" x14ac:dyDescent="0.35">
      <c r="A42" s="2" t="s">
        <v>130</v>
      </c>
      <c r="B42" s="2" t="s">
        <v>131</v>
      </c>
      <c r="C42" s="2" t="s">
        <v>35</v>
      </c>
      <c r="D42" s="2" t="s">
        <v>36</v>
      </c>
      <c r="E42" s="2" t="s">
        <v>132</v>
      </c>
      <c r="F42" s="3">
        <v>45914</v>
      </c>
      <c r="G42" s="3">
        <v>45929</v>
      </c>
      <c r="H42" s="3">
        <v>45929</v>
      </c>
      <c r="I42" s="3">
        <v>46735</v>
      </c>
      <c r="J42" s="3">
        <v>45914</v>
      </c>
      <c r="K42" s="3">
        <v>46644</v>
      </c>
      <c r="L42" s="3">
        <v>47010</v>
      </c>
      <c r="M42" s="2" t="s">
        <v>38</v>
      </c>
      <c r="N42" s="2" t="s">
        <v>38</v>
      </c>
      <c r="O42" s="2" t="s">
        <v>39</v>
      </c>
      <c r="P42" s="2" t="s">
        <v>89</v>
      </c>
      <c r="Q42" s="4">
        <v>10</v>
      </c>
      <c r="R42" s="5">
        <v>11841.8</v>
      </c>
      <c r="S42" s="2" t="s">
        <v>41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3">
        <v>47375</v>
      </c>
      <c r="AE42" s="3">
        <v>46644</v>
      </c>
      <c r="AF42" s="2" t="s">
        <v>38</v>
      </c>
      <c r="AG42" s="2" t="s">
        <v>38</v>
      </c>
      <c r="AH42" s="4">
        <f>DataTable[[#This Row],[Unrestricted]]+DataTable[[#This Row],[Transit &amp; transfer]]+DataTable[[#This Row],[In Quality Insp.]]+DataTable[[#This Row],[Restricted Use Stock]]+DataTable[[#This Row],[Blocked]]</f>
        <v>10</v>
      </c>
    </row>
    <row r="43" spans="1:34" x14ac:dyDescent="0.35">
      <c r="A43" s="2" t="s">
        <v>130</v>
      </c>
      <c r="B43" s="2" t="s">
        <v>133</v>
      </c>
      <c r="C43" s="2" t="s">
        <v>35</v>
      </c>
      <c r="D43" s="2" t="s">
        <v>36</v>
      </c>
      <c r="E43" s="2" t="s">
        <v>134</v>
      </c>
      <c r="F43" s="3">
        <v>45957</v>
      </c>
      <c r="G43" s="3">
        <v>45963</v>
      </c>
      <c r="H43" s="3">
        <v>45964</v>
      </c>
      <c r="I43" s="3">
        <v>46778</v>
      </c>
      <c r="J43" s="3">
        <v>45957</v>
      </c>
      <c r="K43" s="3">
        <v>46687</v>
      </c>
      <c r="L43" s="3">
        <v>47053</v>
      </c>
      <c r="M43" s="2" t="s">
        <v>38</v>
      </c>
      <c r="N43" s="2" t="s">
        <v>38</v>
      </c>
      <c r="O43" s="2" t="s">
        <v>39</v>
      </c>
      <c r="P43" s="2" t="s">
        <v>89</v>
      </c>
      <c r="Q43" s="4">
        <v>355</v>
      </c>
      <c r="R43" s="5">
        <v>420383.76</v>
      </c>
      <c r="S43" s="2" t="s">
        <v>41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3">
        <v>47418</v>
      </c>
      <c r="AE43" s="3">
        <v>46687</v>
      </c>
      <c r="AF43" s="2" t="s">
        <v>38</v>
      </c>
      <c r="AG43" s="2" t="s">
        <v>38</v>
      </c>
      <c r="AH43" s="4">
        <f>DataTable[[#This Row],[Unrestricted]]+DataTable[[#This Row],[Transit &amp; transfer]]+DataTable[[#This Row],[In Quality Insp.]]+DataTable[[#This Row],[Restricted Use Stock]]+DataTable[[#This Row],[Blocked]]</f>
        <v>355</v>
      </c>
    </row>
    <row r="44" spans="1:34" x14ac:dyDescent="0.35">
      <c r="A44" s="2" t="s">
        <v>135</v>
      </c>
      <c r="B44" s="2" t="s">
        <v>136</v>
      </c>
      <c r="C44" s="2" t="s">
        <v>35</v>
      </c>
      <c r="D44" s="2" t="s">
        <v>36</v>
      </c>
      <c r="E44" s="2" t="s">
        <v>137</v>
      </c>
      <c r="F44" s="3">
        <v>46141</v>
      </c>
      <c r="G44" s="3">
        <v>46183</v>
      </c>
      <c r="H44" s="3">
        <v>46188</v>
      </c>
      <c r="I44" s="3">
        <v>47966</v>
      </c>
      <c r="J44" s="3">
        <v>46141</v>
      </c>
      <c r="K44" s="3">
        <v>46872</v>
      </c>
      <c r="L44" s="3">
        <v>47967</v>
      </c>
      <c r="M44" s="2" t="s">
        <v>38</v>
      </c>
      <c r="N44" s="2" t="s">
        <v>38</v>
      </c>
      <c r="O44" s="2" t="s">
        <v>39</v>
      </c>
      <c r="P44" s="2" t="s">
        <v>89</v>
      </c>
      <c r="Q44" s="4">
        <v>200000</v>
      </c>
      <c r="R44" s="5">
        <v>15919610</v>
      </c>
      <c r="S44" s="2" t="s">
        <v>41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3">
        <v>47967</v>
      </c>
      <c r="AE44" s="3">
        <v>46872</v>
      </c>
      <c r="AF44" s="2" t="s">
        <v>38</v>
      </c>
      <c r="AG44" s="2" t="s">
        <v>38</v>
      </c>
      <c r="AH44" s="4">
        <f>DataTable[[#This Row],[Unrestricted]]+DataTable[[#This Row],[Transit &amp; transfer]]+DataTable[[#This Row],[In Quality Insp.]]+DataTable[[#This Row],[Restricted Use Stock]]+DataTable[[#This Row],[Blocked]]</f>
        <v>200000</v>
      </c>
    </row>
    <row r="45" spans="1:34" x14ac:dyDescent="0.35">
      <c r="A45" s="2" t="s">
        <v>135</v>
      </c>
      <c r="B45" s="2" t="s">
        <v>138</v>
      </c>
      <c r="C45" s="2" t="s">
        <v>35</v>
      </c>
      <c r="D45" s="2" t="s">
        <v>36</v>
      </c>
      <c r="E45" s="2" t="s">
        <v>139</v>
      </c>
      <c r="F45" s="3">
        <v>46154</v>
      </c>
      <c r="G45" s="3">
        <v>46180</v>
      </c>
      <c r="H45" s="3">
        <v>46181</v>
      </c>
      <c r="I45" s="3">
        <v>47979</v>
      </c>
      <c r="J45" s="3">
        <v>46154</v>
      </c>
      <c r="K45" s="3">
        <v>46885</v>
      </c>
      <c r="L45" s="3">
        <v>47980</v>
      </c>
      <c r="M45" s="2" t="s">
        <v>38</v>
      </c>
      <c r="N45" s="2" t="s">
        <v>38</v>
      </c>
      <c r="O45" s="2" t="s">
        <v>39</v>
      </c>
      <c r="P45" s="2" t="s">
        <v>89</v>
      </c>
      <c r="Q45" s="4">
        <v>140000</v>
      </c>
      <c r="R45" s="5">
        <v>11143727</v>
      </c>
      <c r="S45" s="2" t="s">
        <v>41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3">
        <v>47980</v>
      </c>
      <c r="AE45" s="3">
        <v>46885</v>
      </c>
      <c r="AF45" s="2" t="s">
        <v>38</v>
      </c>
      <c r="AG45" s="2" t="s">
        <v>38</v>
      </c>
      <c r="AH45" s="4">
        <f>DataTable[[#This Row],[Unrestricted]]+DataTable[[#This Row],[Transit &amp; transfer]]+DataTable[[#This Row],[In Quality Insp.]]+DataTable[[#This Row],[Restricted Use Stock]]+DataTable[[#This Row],[Blocked]]</f>
        <v>140000</v>
      </c>
    </row>
    <row r="46" spans="1:34" x14ac:dyDescent="0.35">
      <c r="A46" s="2" t="s">
        <v>135</v>
      </c>
      <c r="B46" s="2" t="s">
        <v>140</v>
      </c>
      <c r="C46" s="2" t="s">
        <v>35</v>
      </c>
      <c r="D46" s="2" t="s">
        <v>36</v>
      </c>
      <c r="E46" s="2" t="s">
        <v>141</v>
      </c>
      <c r="F46" s="3">
        <v>46170</v>
      </c>
      <c r="G46" s="3">
        <v>46192</v>
      </c>
      <c r="H46" s="3">
        <v>46198</v>
      </c>
      <c r="I46" s="3">
        <v>47995</v>
      </c>
      <c r="J46" s="3">
        <v>46170</v>
      </c>
      <c r="K46" s="3">
        <v>46901</v>
      </c>
      <c r="L46" s="3">
        <v>47996</v>
      </c>
      <c r="M46" s="2" t="s">
        <v>38</v>
      </c>
      <c r="N46" s="2" t="s">
        <v>38</v>
      </c>
      <c r="O46" s="2" t="s">
        <v>39</v>
      </c>
      <c r="P46" s="2" t="s">
        <v>89</v>
      </c>
      <c r="Q46" s="4">
        <v>100000</v>
      </c>
      <c r="R46" s="5">
        <v>7959805</v>
      </c>
      <c r="S46" s="2" t="s">
        <v>41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3">
        <v>47996</v>
      </c>
      <c r="AE46" s="3">
        <v>46901</v>
      </c>
      <c r="AF46" s="2" t="s">
        <v>38</v>
      </c>
      <c r="AG46" s="2" t="s">
        <v>38</v>
      </c>
      <c r="AH46" s="4">
        <f>DataTable[[#This Row],[Unrestricted]]+DataTable[[#This Row],[Transit &amp; transfer]]+DataTable[[#This Row],[In Quality Insp.]]+DataTable[[#This Row],[Restricted Use Stock]]+DataTable[[#This Row],[Blocked]]</f>
        <v>100000</v>
      </c>
    </row>
    <row r="47" spans="1:34" x14ac:dyDescent="0.35">
      <c r="A47" s="2" t="s">
        <v>142</v>
      </c>
      <c r="B47" s="2" t="s">
        <v>143</v>
      </c>
      <c r="C47" s="2" t="s">
        <v>35</v>
      </c>
      <c r="D47" s="2" t="s">
        <v>36</v>
      </c>
      <c r="E47" s="2" t="s">
        <v>144</v>
      </c>
      <c r="F47" s="3">
        <v>46153</v>
      </c>
      <c r="G47" s="3">
        <v>46190</v>
      </c>
      <c r="H47" s="3">
        <v>46195</v>
      </c>
      <c r="I47" s="3">
        <v>47978</v>
      </c>
      <c r="J47" s="3">
        <v>46153</v>
      </c>
      <c r="K47" s="3">
        <v>46884</v>
      </c>
      <c r="L47" s="3">
        <v>47979</v>
      </c>
      <c r="M47" s="2" t="s">
        <v>38</v>
      </c>
      <c r="N47" s="2" t="s">
        <v>38</v>
      </c>
      <c r="O47" s="2" t="s">
        <v>39</v>
      </c>
      <c r="P47" s="2" t="s">
        <v>89</v>
      </c>
      <c r="Q47" s="4">
        <v>24000</v>
      </c>
      <c r="R47" s="5">
        <v>10927338.24</v>
      </c>
      <c r="S47" s="2" t="s">
        <v>41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3">
        <v>47979</v>
      </c>
      <c r="AE47" s="3">
        <v>46884</v>
      </c>
      <c r="AF47" s="2" t="s">
        <v>38</v>
      </c>
      <c r="AG47" s="2" t="s">
        <v>38</v>
      </c>
      <c r="AH47" s="4">
        <f>DataTable[[#This Row],[Unrestricted]]+DataTable[[#This Row],[Transit &amp; transfer]]+DataTable[[#This Row],[In Quality Insp.]]+DataTable[[#This Row],[Restricted Use Stock]]+DataTable[[#This Row],[Blocked]]</f>
        <v>24000</v>
      </c>
    </row>
    <row r="48" spans="1:34" x14ac:dyDescent="0.35">
      <c r="A48" s="2" t="s">
        <v>142</v>
      </c>
      <c r="B48" s="2" t="s">
        <v>145</v>
      </c>
      <c r="C48" s="2" t="s">
        <v>35</v>
      </c>
      <c r="D48" s="2" t="s">
        <v>36</v>
      </c>
      <c r="E48" s="2" t="s">
        <v>146</v>
      </c>
      <c r="F48" s="3">
        <v>46153</v>
      </c>
      <c r="G48" s="3">
        <v>46190</v>
      </c>
      <c r="H48" s="3">
        <v>46195</v>
      </c>
      <c r="I48" s="3">
        <v>47978</v>
      </c>
      <c r="J48" s="3">
        <v>46153</v>
      </c>
      <c r="K48" s="3">
        <v>46884</v>
      </c>
      <c r="L48" s="3">
        <v>47979</v>
      </c>
      <c r="M48" s="2" t="s">
        <v>38</v>
      </c>
      <c r="N48" s="2" t="s">
        <v>38</v>
      </c>
      <c r="O48" s="2" t="s">
        <v>39</v>
      </c>
      <c r="P48" s="2" t="s">
        <v>89</v>
      </c>
      <c r="Q48" s="4">
        <v>24000</v>
      </c>
      <c r="R48" s="5">
        <v>10927338.24</v>
      </c>
      <c r="S48" s="2" t="s">
        <v>41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3">
        <v>47979</v>
      </c>
      <c r="AE48" s="3">
        <v>46884</v>
      </c>
      <c r="AF48" s="2" t="s">
        <v>38</v>
      </c>
      <c r="AG48" s="2" t="s">
        <v>38</v>
      </c>
      <c r="AH48" s="4">
        <f>DataTable[[#This Row],[Unrestricted]]+DataTable[[#This Row],[Transit &amp; transfer]]+DataTable[[#This Row],[In Quality Insp.]]+DataTable[[#This Row],[Restricted Use Stock]]+DataTable[[#This Row],[Blocked]]</f>
        <v>24000</v>
      </c>
    </row>
    <row r="49" spans="1:34" x14ac:dyDescent="0.35">
      <c r="A49" s="2" t="s">
        <v>142</v>
      </c>
      <c r="B49" s="2" t="s">
        <v>147</v>
      </c>
      <c r="C49" s="2" t="s">
        <v>35</v>
      </c>
      <c r="D49" s="2" t="s">
        <v>36</v>
      </c>
      <c r="E49" s="2" t="s">
        <v>148</v>
      </c>
      <c r="F49" s="3">
        <v>46162</v>
      </c>
      <c r="G49" s="3">
        <v>46203</v>
      </c>
      <c r="H49" s="3">
        <v>46203</v>
      </c>
      <c r="I49" s="3">
        <v>47987</v>
      </c>
      <c r="J49" s="3">
        <v>46162</v>
      </c>
      <c r="K49" s="3">
        <v>46893</v>
      </c>
      <c r="L49" s="3">
        <v>47988</v>
      </c>
      <c r="M49" s="2" t="s">
        <v>38</v>
      </c>
      <c r="N49" s="2" t="s">
        <v>38</v>
      </c>
      <c r="O49" s="2" t="s">
        <v>39</v>
      </c>
      <c r="P49" s="2" t="s">
        <v>89</v>
      </c>
      <c r="Q49" s="4">
        <v>24000</v>
      </c>
      <c r="R49" s="5">
        <v>10927338.24</v>
      </c>
      <c r="S49" s="2" t="s">
        <v>41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3">
        <v>47988</v>
      </c>
      <c r="AE49" s="3">
        <v>46893</v>
      </c>
      <c r="AF49" s="2" t="s">
        <v>38</v>
      </c>
      <c r="AG49" s="2" t="s">
        <v>38</v>
      </c>
      <c r="AH49" s="4">
        <f>DataTable[[#This Row],[Unrestricted]]+DataTable[[#This Row],[Transit &amp; transfer]]+DataTable[[#This Row],[In Quality Insp.]]+DataTable[[#This Row],[Restricted Use Stock]]+DataTable[[#This Row],[Blocked]]</f>
        <v>24000</v>
      </c>
    </row>
    <row r="50" spans="1:34" x14ac:dyDescent="0.35">
      <c r="A50" s="2" t="s">
        <v>149</v>
      </c>
      <c r="B50" s="2" t="s">
        <v>150</v>
      </c>
      <c r="C50" s="2" t="s">
        <v>35</v>
      </c>
      <c r="D50" s="2" t="s">
        <v>36</v>
      </c>
      <c r="E50" s="2" t="s">
        <v>62</v>
      </c>
      <c r="F50" s="3">
        <v>46151</v>
      </c>
      <c r="G50" s="3">
        <v>46152</v>
      </c>
      <c r="H50" s="3">
        <v>46152</v>
      </c>
      <c r="I50" s="3">
        <v>46516</v>
      </c>
      <c r="J50" s="3">
        <v>46151</v>
      </c>
      <c r="K50" s="3">
        <v>46882</v>
      </c>
      <c r="L50" s="3">
        <v>46882</v>
      </c>
      <c r="M50" s="2" t="s">
        <v>38</v>
      </c>
      <c r="N50" s="2" t="s">
        <v>38</v>
      </c>
      <c r="O50" s="2" t="s">
        <v>39</v>
      </c>
      <c r="P50" s="2" t="s">
        <v>40</v>
      </c>
      <c r="Q50" s="4">
        <v>482</v>
      </c>
      <c r="R50" s="5">
        <v>801422.43</v>
      </c>
      <c r="S50" s="2" t="s">
        <v>41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3">
        <v>47247</v>
      </c>
      <c r="AE50" s="3">
        <v>46882</v>
      </c>
      <c r="AF50" s="2" t="s">
        <v>38</v>
      </c>
      <c r="AG50" s="2" t="s">
        <v>38</v>
      </c>
      <c r="AH50" s="4">
        <f>DataTable[[#This Row],[Unrestricted]]+DataTable[[#This Row],[Transit &amp; transfer]]+DataTable[[#This Row],[In Quality Insp.]]+DataTable[[#This Row],[Restricted Use Stock]]+DataTable[[#This Row],[Blocked]]</f>
        <v>482</v>
      </c>
    </row>
    <row r="51" spans="1:34" x14ac:dyDescent="0.35">
      <c r="A51" s="2" t="s">
        <v>149</v>
      </c>
      <c r="B51" s="2" t="s">
        <v>151</v>
      </c>
      <c r="C51" s="2" t="s">
        <v>35</v>
      </c>
      <c r="D51" s="2" t="s">
        <v>36</v>
      </c>
      <c r="E51" s="2" t="s">
        <v>64</v>
      </c>
      <c r="F51" s="3">
        <v>46052</v>
      </c>
      <c r="G51" s="3">
        <v>46207</v>
      </c>
      <c r="H51" s="3">
        <v>46207</v>
      </c>
      <c r="I51" s="3">
        <v>46572</v>
      </c>
      <c r="J51" s="3">
        <v>46052</v>
      </c>
      <c r="K51" s="3">
        <v>46782</v>
      </c>
      <c r="L51" s="3">
        <v>46782</v>
      </c>
      <c r="M51" s="2" t="s">
        <v>38</v>
      </c>
      <c r="N51" s="2" t="s">
        <v>38</v>
      </c>
      <c r="O51" s="2" t="s">
        <v>39</v>
      </c>
      <c r="P51" s="2" t="s">
        <v>40</v>
      </c>
      <c r="Q51" s="4">
        <v>1000</v>
      </c>
      <c r="R51" s="5">
        <v>1662702.14</v>
      </c>
      <c r="S51" s="2" t="s">
        <v>41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3">
        <v>47148</v>
      </c>
      <c r="AE51" s="3">
        <v>46782</v>
      </c>
      <c r="AF51" s="2" t="s">
        <v>38</v>
      </c>
      <c r="AG51" s="2" t="s">
        <v>38</v>
      </c>
      <c r="AH51" s="4">
        <f>DataTable[[#This Row],[Unrestricted]]+DataTable[[#This Row],[Transit &amp; transfer]]+DataTable[[#This Row],[In Quality Insp.]]+DataTable[[#This Row],[Restricted Use Stock]]+DataTable[[#This Row],[Blocked]]</f>
        <v>1000</v>
      </c>
    </row>
    <row r="52" spans="1:34" x14ac:dyDescent="0.35">
      <c r="A52" s="2" t="s">
        <v>152</v>
      </c>
      <c r="B52" s="2" t="s">
        <v>153</v>
      </c>
      <c r="C52" s="2" t="s">
        <v>35</v>
      </c>
      <c r="D52" s="2" t="s">
        <v>36</v>
      </c>
      <c r="E52" s="2" t="s">
        <v>154</v>
      </c>
      <c r="F52" s="3">
        <v>46093</v>
      </c>
      <c r="G52" s="3">
        <v>46114</v>
      </c>
      <c r="H52" s="3">
        <v>46116</v>
      </c>
      <c r="I52" s="3">
        <v>46823</v>
      </c>
      <c r="J52" s="3">
        <v>46093</v>
      </c>
      <c r="K52" s="3">
        <v>46824</v>
      </c>
      <c r="L52" s="3">
        <v>47189</v>
      </c>
      <c r="M52" s="2" t="s">
        <v>38</v>
      </c>
      <c r="N52" s="2" t="s">
        <v>38</v>
      </c>
      <c r="O52" s="2" t="s">
        <v>39</v>
      </c>
      <c r="P52" s="2" t="s">
        <v>89</v>
      </c>
      <c r="Q52" s="4">
        <v>369</v>
      </c>
      <c r="R52" s="5">
        <v>533434.56000000006</v>
      </c>
      <c r="S52" s="2" t="s">
        <v>41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3">
        <v>47554</v>
      </c>
      <c r="AE52" s="3">
        <v>46824</v>
      </c>
      <c r="AF52" s="2" t="s">
        <v>38</v>
      </c>
      <c r="AG52" s="2" t="s">
        <v>38</v>
      </c>
      <c r="AH52" s="4">
        <f>DataTable[[#This Row],[Unrestricted]]+DataTable[[#This Row],[Transit &amp; transfer]]+DataTable[[#This Row],[In Quality Insp.]]+DataTable[[#This Row],[Restricted Use Stock]]+DataTable[[#This Row],[Blocked]]</f>
        <v>369</v>
      </c>
    </row>
    <row r="53" spans="1:34" x14ac:dyDescent="0.35">
      <c r="A53" s="2" t="s">
        <v>152</v>
      </c>
      <c r="B53" s="2" t="s">
        <v>155</v>
      </c>
      <c r="C53" s="2" t="s">
        <v>35</v>
      </c>
      <c r="D53" s="2" t="s">
        <v>36</v>
      </c>
      <c r="E53" s="2" t="s">
        <v>156</v>
      </c>
      <c r="F53" s="3">
        <v>46093</v>
      </c>
      <c r="G53" s="3">
        <v>46114</v>
      </c>
      <c r="H53" s="3">
        <v>46116</v>
      </c>
      <c r="I53" s="3">
        <v>46823</v>
      </c>
      <c r="J53" s="3">
        <v>46093</v>
      </c>
      <c r="K53" s="3">
        <v>46824</v>
      </c>
      <c r="L53" s="3">
        <v>47189</v>
      </c>
      <c r="M53" s="2" t="s">
        <v>38</v>
      </c>
      <c r="N53" s="2" t="s">
        <v>38</v>
      </c>
      <c r="O53" s="2" t="s">
        <v>39</v>
      </c>
      <c r="P53" s="2" t="s">
        <v>89</v>
      </c>
      <c r="Q53" s="4">
        <v>3360</v>
      </c>
      <c r="R53" s="5">
        <v>4857290.3099999996</v>
      </c>
      <c r="S53" s="2" t="s">
        <v>41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3">
        <v>47554</v>
      </c>
      <c r="AE53" s="3">
        <v>46824</v>
      </c>
      <c r="AF53" s="2" t="s">
        <v>38</v>
      </c>
      <c r="AG53" s="2" t="s">
        <v>38</v>
      </c>
      <c r="AH53" s="4">
        <f>DataTable[[#This Row],[Unrestricted]]+DataTable[[#This Row],[Transit &amp; transfer]]+DataTable[[#This Row],[In Quality Insp.]]+DataTable[[#This Row],[Restricted Use Stock]]+DataTable[[#This Row],[Blocked]]</f>
        <v>3360</v>
      </c>
    </row>
    <row r="54" spans="1:34" x14ac:dyDescent="0.35">
      <c r="A54" s="2" t="s">
        <v>157</v>
      </c>
      <c r="B54" s="2" t="s">
        <v>158</v>
      </c>
      <c r="C54" s="2" t="s">
        <v>35</v>
      </c>
      <c r="D54" s="2" t="s">
        <v>36</v>
      </c>
      <c r="E54" s="2" t="s">
        <v>159</v>
      </c>
      <c r="F54" s="3">
        <v>46154</v>
      </c>
      <c r="G54" s="3">
        <v>46163</v>
      </c>
      <c r="H54" s="3">
        <v>46163</v>
      </c>
      <c r="I54" s="3">
        <v>46975</v>
      </c>
      <c r="J54" s="3">
        <v>46154</v>
      </c>
      <c r="K54" s="3">
        <v>46885</v>
      </c>
      <c r="L54" s="3">
        <v>47250</v>
      </c>
      <c r="M54" s="2" t="s">
        <v>38</v>
      </c>
      <c r="N54" s="2" t="s">
        <v>38</v>
      </c>
      <c r="O54" s="2" t="s">
        <v>39</v>
      </c>
      <c r="P54" s="2" t="s">
        <v>40</v>
      </c>
      <c r="Q54" s="4">
        <v>253</v>
      </c>
      <c r="R54" s="5">
        <v>1504465.99</v>
      </c>
      <c r="S54" s="2" t="s">
        <v>41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3">
        <v>47615</v>
      </c>
      <c r="AE54" s="3">
        <v>46885</v>
      </c>
      <c r="AF54" s="2" t="s">
        <v>38</v>
      </c>
      <c r="AG54" s="2" t="s">
        <v>38</v>
      </c>
      <c r="AH54" s="4">
        <f>DataTable[[#This Row],[Unrestricted]]+DataTable[[#This Row],[Transit &amp; transfer]]+DataTable[[#This Row],[In Quality Insp.]]+DataTable[[#This Row],[Restricted Use Stock]]+DataTable[[#This Row],[Blocked]]</f>
        <v>253</v>
      </c>
    </row>
    <row r="55" spans="1:34" x14ac:dyDescent="0.35">
      <c r="A55" s="2" t="s">
        <v>157</v>
      </c>
      <c r="B55" s="2" t="s">
        <v>160</v>
      </c>
      <c r="C55" s="2" t="s">
        <v>35</v>
      </c>
      <c r="D55" s="2" t="s">
        <v>36</v>
      </c>
      <c r="E55" s="2" t="s">
        <v>161</v>
      </c>
      <c r="F55" s="3">
        <v>46052</v>
      </c>
      <c r="G55" s="3">
        <v>46191</v>
      </c>
      <c r="H55" s="3">
        <v>46191</v>
      </c>
      <c r="I55" s="3">
        <v>46984</v>
      </c>
      <c r="J55" s="3">
        <v>46052</v>
      </c>
      <c r="K55" s="3">
        <v>46782</v>
      </c>
      <c r="L55" s="3">
        <v>47148</v>
      </c>
      <c r="M55" s="2" t="s">
        <v>38</v>
      </c>
      <c r="N55" s="2" t="s">
        <v>38</v>
      </c>
      <c r="O55" s="2" t="s">
        <v>39</v>
      </c>
      <c r="P55" s="2" t="s">
        <v>40</v>
      </c>
      <c r="Q55" s="4">
        <v>561</v>
      </c>
      <c r="R55" s="5">
        <v>3335989.8</v>
      </c>
      <c r="S55" s="2" t="s">
        <v>41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3">
        <v>47513</v>
      </c>
      <c r="AE55" s="3">
        <v>46782</v>
      </c>
      <c r="AF55" s="2" t="s">
        <v>38</v>
      </c>
      <c r="AG55" s="2" t="s">
        <v>38</v>
      </c>
      <c r="AH55" s="4">
        <f>DataTable[[#This Row],[Unrestricted]]+DataTable[[#This Row],[Transit &amp; transfer]]+DataTable[[#This Row],[In Quality Insp.]]+DataTable[[#This Row],[Restricted Use Stock]]+DataTable[[#This Row],[Blocked]]</f>
        <v>561</v>
      </c>
    </row>
    <row r="56" spans="1:34" x14ac:dyDescent="0.35">
      <c r="A56" s="2" t="s">
        <v>157</v>
      </c>
      <c r="B56" s="2" t="s">
        <v>162</v>
      </c>
      <c r="C56" s="2" t="s">
        <v>35</v>
      </c>
      <c r="D56" s="2" t="s">
        <v>36</v>
      </c>
      <c r="E56" s="2" t="s">
        <v>163</v>
      </c>
      <c r="F56" s="3">
        <v>46195</v>
      </c>
      <c r="G56" s="3">
        <v>46203</v>
      </c>
      <c r="H56" s="3">
        <v>46203</v>
      </c>
      <c r="I56" s="3">
        <v>47016</v>
      </c>
      <c r="J56" s="3">
        <v>46195</v>
      </c>
      <c r="K56" s="3">
        <v>46926</v>
      </c>
      <c r="L56" s="3">
        <v>47291</v>
      </c>
      <c r="M56" s="2" t="s">
        <v>38</v>
      </c>
      <c r="N56" s="2" t="s">
        <v>38</v>
      </c>
      <c r="O56" s="2" t="s">
        <v>39</v>
      </c>
      <c r="P56" s="2" t="s">
        <v>40</v>
      </c>
      <c r="Q56" s="4">
        <v>958</v>
      </c>
      <c r="R56" s="5">
        <v>5696752.6399999997</v>
      </c>
      <c r="S56" s="2" t="s">
        <v>41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3">
        <v>47656</v>
      </c>
      <c r="AE56" s="3">
        <v>46926</v>
      </c>
      <c r="AF56" s="2" t="s">
        <v>38</v>
      </c>
      <c r="AG56" s="2" t="s">
        <v>38</v>
      </c>
      <c r="AH56" s="4">
        <f>DataTable[[#This Row],[Unrestricted]]+DataTable[[#This Row],[Transit &amp; transfer]]+DataTable[[#This Row],[In Quality Insp.]]+DataTable[[#This Row],[Restricted Use Stock]]+DataTable[[#This Row],[Blocked]]</f>
        <v>958</v>
      </c>
    </row>
    <row r="57" spans="1:34" x14ac:dyDescent="0.35">
      <c r="A57" s="2" t="s">
        <v>164</v>
      </c>
      <c r="B57" s="2" t="s">
        <v>165</v>
      </c>
      <c r="C57" s="2" t="s">
        <v>35</v>
      </c>
      <c r="D57" s="2" t="s">
        <v>36</v>
      </c>
      <c r="E57" s="2" t="s">
        <v>166</v>
      </c>
      <c r="F57" s="3">
        <v>46134</v>
      </c>
      <c r="G57" s="3">
        <v>46147</v>
      </c>
      <c r="H57" s="3">
        <v>46204</v>
      </c>
      <c r="I57" s="3">
        <v>46506</v>
      </c>
      <c r="J57" s="3">
        <v>46134</v>
      </c>
      <c r="K57" s="3">
        <v>46864</v>
      </c>
      <c r="L57" s="3">
        <v>46865</v>
      </c>
      <c r="M57" s="2" t="s">
        <v>38</v>
      </c>
      <c r="N57" s="2" t="s">
        <v>38</v>
      </c>
      <c r="O57" s="2" t="s">
        <v>39</v>
      </c>
      <c r="P57" s="2" t="s">
        <v>40</v>
      </c>
      <c r="Q57" s="4">
        <v>8800</v>
      </c>
      <c r="R57" s="5">
        <v>7252110.8899999997</v>
      </c>
      <c r="S57" s="2" t="s">
        <v>41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3">
        <v>47230</v>
      </c>
      <c r="AE57" s="3">
        <v>46864</v>
      </c>
      <c r="AF57" s="2" t="s">
        <v>38</v>
      </c>
      <c r="AG57" s="2" t="s">
        <v>38</v>
      </c>
      <c r="AH57" s="4">
        <f>DataTable[[#This Row],[Unrestricted]]+DataTable[[#This Row],[Transit &amp; transfer]]+DataTable[[#This Row],[In Quality Insp.]]+DataTable[[#This Row],[Restricted Use Stock]]+DataTable[[#This Row],[Blocked]]</f>
        <v>8800</v>
      </c>
    </row>
    <row r="58" spans="1:34" x14ac:dyDescent="0.35">
      <c r="A58" s="2" t="s">
        <v>164</v>
      </c>
      <c r="B58" s="2" t="s">
        <v>167</v>
      </c>
      <c r="C58" s="2" t="s">
        <v>35</v>
      </c>
      <c r="D58" s="2" t="s">
        <v>36</v>
      </c>
      <c r="E58" s="2" t="s">
        <v>168</v>
      </c>
      <c r="F58" s="3">
        <v>46137</v>
      </c>
      <c r="G58" s="3">
        <v>46147</v>
      </c>
      <c r="H58" s="3">
        <v>46204</v>
      </c>
      <c r="I58" s="3">
        <v>46507</v>
      </c>
      <c r="J58" s="3">
        <v>46137</v>
      </c>
      <c r="K58" s="3">
        <v>46867</v>
      </c>
      <c r="L58" s="3">
        <v>46868</v>
      </c>
      <c r="M58" s="2" t="s">
        <v>38</v>
      </c>
      <c r="N58" s="2" t="s">
        <v>38</v>
      </c>
      <c r="O58" s="2" t="s">
        <v>39</v>
      </c>
      <c r="P58" s="2" t="s">
        <v>40</v>
      </c>
      <c r="Q58" s="4">
        <v>6000</v>
      </c>
      <c r="R58" s="5">
        <v>4944621.0599999996</v>
      </c>
      <c r="S58" s="2" t="s">
        <v>41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3">
        <v>47233</v>
      </c>
      <c r="AE58" s="3">
        <v>46867</v>
      </c>
      <c r="AF58" s="2" t="s">
        <v>38</v>
      </c>
      <c r="AG58" s="2" t="s">
        <v>38</v>
      </c>
      <c r="AH58" s="4">
        <f>DataTable[[#This Row],[Unrestricted]]+DataTable[[#This Row],[Transit &amp; transfer]]+DataTable[[#This Row],[In Quality Insp.]]+DataTable[[#This Row],[Restricted Use Stock]]+DataTable[[#This Row],[Blocked]]</f>
        <v>6000</v>
      </c>
    </row>
    <row r="59" spans="1:34" x14ac:dyDescent="0.35">
      <c r="A59" s="2" t="s">
        <v>164</v>
      </c>
      <c r="B59" s="2" t="s">
        <v>169</v>
      </c>
      <c r="C59" s="2" t="s">
        <v>35</v>
      </c>
      <c r="D59" s="2" t="s">
        <v>36</v>
      </c>
      <c r="E59" s="2" t="s">
        <v>170</v>
      </c>
      <c r="F59" s="3">
        <v>46140</v>
      </c>
      <c r="G59" s="3">
        <v>46147</v>
      </c>
      <c r="H59" s="3">
        <v>46204</v>
      </c>
      <c r="I59" s="3">
        <v>46507</v>
      </c>
      <c r="J59" s="3">
        <v>46140</v>
      </c>
      <c r="K59" s="3">
        <v>46870</v>
      </c>
      <c r="L59" s="3">
        <v>46871</v>
      </c>
      <c r="M59" s="2" t="s">
        <v>38</v>
      </c>
      <c r="N59" s="2" t="s">
        <v>38</v>
      </c>
      <c r="O59" s="2" t="s">
        <v>39</v>
      </c>
      <c r="P59" s="2" t="s">
        <v>40</v>
      </c>
      <c r="Q59" s="4">
        <v>5200</v>
      </c>
      <c r="R59" s="5">
        <v>4285338.25</v>
      </c>
      <c r="S59" s="2" t="s">
        <v>41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3">
        <v>47236</v>
      </c>
      <c r="AE59" s="3">
        <v>46870</v>
      </c>
      <c r="AF59" s="2" t="s">
        <v>38</v>
      </c>
      <c r="AG59" s="2" t="s">
        <v>38</v>
      </c>
      <c r="AH59" s="4">
        <f>DataTable[[#This Row],[Unrestricted]]+DataTable[[#This Row],[Transit &amp; transfer]]+DataTable[[#This Row],[In Quality Insp.]]+DataTable[[#This Row],[Restricted Use Stock]]+DataTable[[#This Row],[Blocked]]</f>
        <v>5200</v>
      </c>
    </row>
    <row r="60" spans="1:34" x14ac:dyDescent="0.35">
      <c r="A60" s="2" t="s">
        <v>171</v>
      </c>
      <c r="B60" s="2" t="s">
        <v>172</v>
      </c>
      <c r="C60" s="2" t="s">
        <v>35</v>
      </c>
      <c r="D60" s="2" t="s">
        <v>36</v>
      </c>
      <c r="E60" s="2" t="s">
        <v>173</v>
      </c>
      <c r="F60" s="3">
        <v>46111</v>
      </c>
      <c r="G60" s="3">
        <v>46132</v>
      </c>
      <c r="H60" s="3">
        <v>46132</v>
      </c>
      <c r="I60" s="3">
        <v>46476</v>
      </c>
      <c r="J60" s="3">
        <v>46111</v>
      </c>
      <c r="K60" s="3">
        <v>46842</v>
      </c>
      <c r="L60" s="3">
        <v>46842</v>
      </c>
      <c r="M60" s="2" t="s">
        <v>38</v>
      </c>
      <c r="N60" s="2" t="s">
        <v>38</v>
      </c>
      <c r="O60" s="2" t="s">
        <v>39</v>
      </c>
      <c r="P60" s="2" t="s">
        <v>89</v>
      </c>
      <c r="Q60" s="4">
        <v>3300</v>
      </c>
      <c r="R60" s="5">
        <v>2143064.2799999998</v>
      </c>
      <c r="S60" s="2" t="s">
        <v>41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3">
        <v>47207</v>
      </c>
      <c r="AE60" s="3">
        <v>46842</v>
      </c>
      <c r="AF60" s="2" t="s">
        <v>38</v>
      </c>
      <c r="AG60" s="2" t="s">
        <v>38</v>
      </c>
      <c r="AH60" s="4">
        <f>DataTable[[#This Row],[Unrestricted]]+DataTable[[#This Row],[Transit &amp; transfer]]+DataTable[[#This Row],[In Quality Insp.]]+DataTable[[#This Row],[Restricted Use Stock]]+DataTable[[#This Row],[Blocked]]</f>
        <v>3300</v>
      </c>
    </row>
    <row r="61" spans="1:34" x14ac:dyDescent="0.35">
      <c r="A61" s="2" t="s">
        <v>174</v>
      </c>
      <c r="B61" s="2" t="s">
        <v>175</v>
      </c>
      <c r="C61" s="2" t="s">
        <v>35</v>
      </c>
      <c r="D61" s="2" t="s">
        <v>36</v>
      </c>
      <c r="E61" s="2" t="s">
        <v>176</v>
      </c>
      <c r="F61" s="3">
        <v>46119</v>
      </c>
      <c r="G61" s="3">
        <v>46120</v>
      </c>
      <c r="H61" s="3">
        <v>46120</v>
      </c>
      <c r="I61" s="3">
        <v>46575</v>
      </c>
      <c r="J61" s="3">
        <v>46119</v>
      </c>
      <c r="K61" s="3">
        <v>46850</v>
      </c>
      <c r="L61" s="3">
        <v>47215</v>
      </c>
      <c r="M61" s="2" t="s">
        <v>38</v>
      </c>
      <c r="N61" s="2" t="s">
        <v>38</v>
      </c>
      <c r="O61" s="2" t="s">
        <v>39</v>
      </c>
      <c r="P61" s="2" t="s">
        <v>40</v>
      </c>
      <c r="Q61" s="4">
        <v>302</v>
      </c>
      <c r="R61" s="5">
        <v>685524.95</v>
      </c>
      <c r="S61" s="2" t="s">
        <v>41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3">
        <v>47215</v>
      </c>
      <c r="AE61" s="3">
        <v>46850</v>
      </c>
      <c r="AF61" s="2" t="s">
        <v>38</v>
      </c>
      <c r="AG61" s="2" t="s">
        <v>38</v>
      </c>
      <c r="AH61" s="4">
        <f>DataTable[[#This Row],[Unrestricted]]+DataTable[[#This Row],[Transit &amp; transfer]]+DataTable[[#This Row],[In Quality Insp.]]+DataTable[[#This Row],[Restricted Use Stock]]+DataTable[[#This Row],[Blocked]]</f>
        <v>302</v>
      </c>
    </row>
    <row r="62" spans="1:34" x14ac:dyDescent="0.35">
      <c r="A62" s="2" t="s">
        <v>174</v>
      </c>
      <c r="B62" s="2" t="s">
        <v>177</v>
      </c>
      <c r="C62" s="2" t="s">
        <v>35</v>
      </c>
      <c r="D62" s="2" t="s">
        <v>36</v>
      </c>
      <c r="E62" s="2" t="s">
        <v>178</v>
      </c>
      <c r="F62" s="3">
        <v>46120</v>
      </c>
      <c r="G62" s="3">
        <v>46121</v>
      </c>
      <c r="H62" s="3">
        <v>46121</v>
      </c>
      <c r="I62" s="3">
        <v>46576</v>
      </c>
      <c r="J62" s="3">
        <v>46120</v>
      </c>
      <c r="K62" s="3">
        <v>46851</v>
      </c>
      <c r="L62" s="3">
        <v>47216</v>
      </c>
      <c r="M62" s="2" t="s">
        <v>38</v>
      </c>
      <c r="N62" s="2" t="s">
        <v>38</v>
      </c>
      <c r="O62" s="2" t="s">
        <v>39</v>
      </c>
      <c r="P62" s="2" t="s">
        <v>40</v>
      </c>
      <c r="Q62" s="4">
        <v>168</v>
      </c>
      <c r="R62" s="5">
        <v>381351.63</v>
      </c>
      <c r="S62" s="2" t="s">
        <v>41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3">
        <v>47216</v>
      </c>
      <c r="AE62" s="3">
        <v>46851</v>
      </c>
      <c r="AF62" s="2" t="s">
        <v>38</v>
      </c>
      <c r="AG62" s="2" t="s">
        <v>38</v>
      </c>
      <c r="AH62" s="4">
        <f>DataTable[[#This Row],[Unrestricted]]+DataTable[[#This Row],[Transit &amp; transfer]]+DataTable[[#This Row],[In Quality Insp.]]+DataTable[[#This Row],[Restricted Use Stock]]+DataTable[[#This Row],[Blocked]]</f>
        <v>168</v>
      </c>
    </row>
    <row r="63" spans="1:34" x14ac:dyDescent="0.35">
      <c r="A63" s="2" t="s">
        <v>174</v>
      </c>
      <c r="B63" s="2" t="s">
        <v>179</v>
      </c>
      <c r="C63" s="2" t="s">
        <v>35</v>
      </c>
      <c r="D63" s="2" t="s">
        <v>36</v>
      </c>
      <c r="E63" s="2" t="s">
        <v>180</v>
      </c>
      <c r="F63" s="3">
        <v>46182</v>
      </c>
      <c r="G63" s="3">
        <v>46186</v>
      </c>
      <c r="H63" s="3">
        <v>46186</v>
      </c>
      <c r="I63" s="3">
        <v>46638</v>
      </c>
      <c r="J63" s="3">
        <v>46182</v>
      </c>
      <c r="K63" s="3">
        <v>46913</v>
      </c>
      <c r="L63" s="3">
        <v>47278</v>
      </c>
      <c r="M63" s="2" t="s">
        <v>38</v>
      </c>
      <c r="N63" s="2" t="s">
        <v>38</v>
      </c>
      <c r="O63" s="2" t="s">
        <v>39</v>
      </c>
      <c r="P63" s="2" t="s">
        <v>40</v>
      </c>
      <c r="Q63" s="4">
        <v>1200</v>
      </c>
      <c r="R63" s="5">
        <v>2723940.18</v>
      </c>
      <c r="S63" s="2" t="s">
        <v>41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3">
        <v>47278</v>
      </c>
      <c r="AE63" s="3">
        <v>46913</v>
      </c>
      <c r="AF63" s="2" t="s">
        <v>38</v>
      </c>
      <c r="AG63" s="2" t="s">
        <v>38</v>
      </c>
      <c r="AH63" s="4">
        <f>DataTable[[#This Row],[Unrestricted]]+DataTable[[#This Row],[Transit &amp; transfer]]+DataTable[[#This Row],[In Quality Insp.]]+DataTable[[#This Row],[Restricted Use Stock]]+DataTable[[#This Row],[Blocked]]</f>
        <v>1200</v>
      </c>
    </row>
    <row r="64" spans="1:34" x14ac:dyDescent="0.35">
      <c r="A64" s="2" t="s">
        <v>181</v>
      </c>
      <c r="B64" s="2" t="s">
        <v>182</v>
      </c>
      <c r="C64" s="2" t="s">
        <v>35</v>
      </c>
      <c r="D64" s="2" t="s">
        <v>36</v>
      </c>
      <c r="E64" s="2" t="s">
        <v>183</v>
      </c>
      <c r="F64" s="3">
        <v>45991</v>
      </c>
      <c r="G64" s="3">
        <v>45991</v>
      </c>
      <c r="H64" s="3">
        <v>45997</v>
      </c>
      <c r="I64" s="3">
        <v>46356</v>
      </c>
      <c r="J64" s="3">
        <v>45991</v>
      </c>
      <c r="K64" s="3">
        <v>46721</v>
      </c>
      <c r="L64" s="3">
        <v>46721</v>
      </c>
      <c r="M64" s="2" t="s">
        <v>38</v>
      </c>
      <c r="N64" s="2" t="s">
        <v>38</v>
      </c>
      <c r="O64" s="2" t="s">
        <v>39</v>
      </c>
      <c r="P64" s="2" t="s">
        <v>89</v>
      </c>
      <c r="Q64" s="4">
        <v>3370</v>
      </c>
      <c r="R64" s="5">
        <v>2305118.0499999998</v>
      </c>
      <c r="S64" s="2" t="s">
        <v>41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3">
        <v>47087</v>
      </c>
      <c r="AE64" s="3">
        <v>46721</v>
      </c>
      <c r="AF64" s="2" t="s">
        <v>38</v>
      </c>
      <c r="AG64" s="2" t="s">
        <v>38</v>
      </c>
      <c r="AH64" s="4">
        <f>DataTable[[#This Row],[Unrestricted]]+DataTable[[#This Row],[Transit &amp; transfer]]+DataTable[[#This Row],[In Quality Insp.]]+DataTable[[#This Row],[Restricted Use Stock]]+DataTable[[#This Row],[Blocked]]</f>
        <v>3370</v>
      </c>
    </row>
    <row r="65" spans="1:34" x14ac:dyDescent="0.35">
      <c r="A65" s="2" t="s">
        <v>181</v>
      </c>
      <c r="B65" s="2" t="s">
        <v>184</v>
      </c>
      <c r="C65" s="2" t="s">
        <v>35</v>
      </c>
      <c r="D65" s="2" t="s">
        <v>36</v>
      </c>
      <c r="E65" s="2" t="s">
        <v>185</v>
      </c>
      <c r="F65" s="3">
        <v>45991</v>
      </c>
      <c r="G65" s="3">
        <v>45991</v>
      </c>
      <c r="H65" s="3">
        <v>45997</v>
      </c>
      <c r="I65" s="3">
        <v>46356</v>
      </c>
      <c r="J65" s="3">
        <v>45991</v>
      </c>
      <c r="K65" s="3">
        <v>46721</v>
      </c>
      <c r="L65" s="3">
        <v>46721</v>
      </c>
      <c r="M65" s="2" t="s">
        <v>38</v>
      </c>
      <c r="N65" s="2" t="s">
        <v>38</v>
      </c>
      <c r="O65" s="2" t="s">
        <v>39</v>
      </c>
      <c r="P65" s="2" t="s">
        <v>89</v>
      </c>
      <c r="Q65" s="4">
        <v>4250</v>
      </c>
      <c r="R65" s="5">
        <v>2907047.98</v>
      </c>
      <c r="S65" s="2" t="s">
        <v>41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3">
        <v>47087</v>
      </c>
      <c r="AE65" s="3">
        <v>46721</v>
      </c>
      <c r="AF65" s="2" t="s">
        <v>38</v>
      </c>
      <c r="AG65" s="2" t="s">
        <v>38</v>
      </c>
      <c r="AH65" s="4">
        <f>DataTable[[#This Row],[Unrestricted]]+DataTable[[#This Row],[Transit &amp; transfer]]+DataTable[[#This Row],[In Quality Insp.]]+DataTable[[#This Row],[Restricted Use Stock]]+DataTable[[#This Row],[Blocked]]</f>
        <v>4250</v>
      </c>
    </row>
    <row r="66" spans="1:34" x14ac:dyDescent="0.35">
      <c r="A66" s="2" t="s">
        <v>186</v>
      </c>
      <c r="B66" s="2" t="s">
        <v>187</v>
      </c>
      <c r="C66" s="2" t="s">
        <v>35</v>
      </c>
      <c r="D66" s="2" t="s">
        <v>36</v>
      </c>
      <c r="E66" s="2" t="s">
        <v>188</v>
      </c>
      <c r="F66" s="3">
        <v>46084</v>
      </c>
      <c r="G66" s="3">
        <v>46106</v>
      </c>
      <c r="H66" s="3">
        <v>46106</v>
      </c>
      <c r="I66" s="3">
        <v>46449</v>
      </c>
      <c r="J66" s="3">
        <v>46084</v>
      </c>
      <c r="K66" s="3">
        <v>46815</v>
      </c>
      <c r="L66" s="3">
        <v>46815</v>
      </c>
      <c r="M66" s="2" t="s">
        <v>38</v>
      </c>
      <c r="N66" s="2" t="s">
        <v>38</v>
      </c>
      <c r="O66" s="2" t="s">
        <v>39</v>
      </c>
      <c r="P66" s="2" t="s">
        <v>89</v>
      </c>
      <c r="Q66" s="4">
        <v>63</v>
      </c>
      <c r="R66" s="5">
        <v>47837.99</v>
      </c>
      <c r="S66" s="2" t="s">
        <v>41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3">
        <v>47180</v>
      </c>
      <c r="AE66" s="3">
        <v>46815</v>
      </c>
      <c r="AF66" s="2" t="s">
        <v>38</v>
      </c>
      <c r="AG66" s="2" t="s">
        <v>38</v>
      </c>
      <c r="AH66" s="4">
        <f>DataTable[[#This Row],[Unrestricted]]+DataTable[[#This Row],[Transit &amp; transfer]]+DataTable[[#This Row],[In Quality Insp.]]+DataTable[[#This Row],[Restricted Use Stock]]+DataTable[[#This Row],[Blocked]]</f>
        <v>63</v>
      </c>
    </row>
    <row r="67" spans="1:34" x14ac:dyDescent="0.35">
      <c r="A67" s="2" t="s">
        <v>189</v>
      </c>
      <c r="B67" s="2" t="s">
        <v>190</v>
      </c>
      <c r="C67" s="2" t="s">
        <v>35</v>
      </c>
      <c r="D67" s="2" t="s">
        <v>36</v>
      </c>
      <c r="E67" s="2" t="s">
        <v>191</v>
      </c>
      <c r="F67" s="3">
        <v>46141</v>
      </c>
      <c r="G67" s="3">
        <v>46150</v>
      </c>
      <c r="H67" s="3">
        <v>46198</v>
      </c>
      <c r="I67" s="3">
        <v>46596</v>
      </c>
      <c r="J67" s="3">
        <v>46141</v>
      </c>
      <c r="K67" s="3">
        <v>46872</v>
      </c>
      <c r="L67" s="3">
        <v>47237</v>
      </c>
      <c r="M67" s="2" t="s">
        <v>38</v>
      </c>
      <c r="N67" s="2" t="s">
        <v>38</v>
      </c>
      <c r="O67" s="2" t="s">
        <v>39</v>
      </c>
      <c r="P67" s="2" t="s">
        <v>40</v>
      </c>
      <c r="Q67" s="4">
        <v>2400</v>
      </c>
      <c r="R67" s="5">
        <v>5017422.3600000003</v>
      </c>
      <c r="S67" s="2" t="s">
        <v>41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3">
        <v>47237</v>
      </c>
      <c r="AE67" s="3">
        <v>46872</v>
      </c>
      <c r="AF67" s="2" t="s">
        <v>38</v>
      </c>
      <c r="AG67" s="2" t="s">
        <v>38</v>
      </c>
      <c r="AH67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68" spans="1:34" x14ac:dyDescent="0.35">
      <c r="A68" s="2" t="s">
        <v>189</v>
      </c>
      <c r="B68" s="2" t="s">
        <v>192</v>
      </c>
      <c r="C68" s="2" t="s">
        <v>35</v>
      </c>
      <c r="D68" s="2" t="s">
        <v>36</v>
      </c>
      <c r="E68" s="2" t="s">
        <v>193</v>
      </c>
      <c r="F68" s="3">
        <v>46141</v>
      </c>
      <c r="G68" s="3">
        <v>46150</v>
      </c>
      <c r="H68" s="3">
        <v>46198</v>
      </c>
      <c r="I68" s="3">
        <v>46596</v>
      </c>
      <c r="J68" s="3">
        <v>46141</v>
      </c>
      <c r="K68" s="3">
        <v>46872</v>
      </c>
      <c r="L68" s="3">
        <v>47237</v>
      </c>
      <c r="M68" s="2" t="s">
        <v>38</v>
      </c>
      <c r="N68" s="2" t="s">
        <v>38</v>
      </c>
      <c r="O68" s="2" t="s">
        <v>39</v>
      </c>
      <c r="P68" s="2" t="s">
        <v>40</v>
      </c>
      <c r="Q68" s="4">
        <v>3200</v>
      </c>
      <c r="R68" s="5">
        <v>6689896.4800000004</v>
      </c>
      <c r="S68" s="2" t="s">
        <v>41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3">
        <v>47237</v>
      </c>
      <c r="AE68" s="3">
        <v>46872</v>
      </c>
      <c r="AF68" s="2" t="s">
        <v>38</v>
      </c>
      <c r="AG68" s="2" t="s">
        <v>38</v>
      </c>
      <c r="AH68" s="4">
        <f>DataTable[[#This Row],[Unrestricted]]+DataTable[[#This Row],[Transit &amp; transfer]]+DataTable[[#This Row],[In Quality Insp.]]+DataTable[[#This Row],[Restricted Use Stock]]+DataTable[[#This Row],[Blocked]]</f>
        <v>3200</v>
      </c>
    </row>
    <row r="69" spans="1:34" x14ac:dyDescent="0.35">
      <c r="A69" s="2" t="s">
        <v>189</v>
      </c>
      <c r="B69" s="2" t="s">
        <v>194</v>
      </c>
      <c r="C69" s="2" t="s">
        <v>35</v>
      </c>
      <c r="D69" s="2" t="s">
        <v>36</v>
      </c>
      <c r="E69" s="2" t="s">
        <v>195</v>
      </c>
      <c r="F69" s="3">
        <v>46141</v>
      </c>
      <c r="G69" s="3">
        <v>46150</v>
      </c>
      <c r="H69" s="3">
        <v>46198</v>
      </c>
      <c r="I69" s="3">
        <v>46596</v>
      </c>
      <c r="J69" s="3">
        <v>46141</v>
      </c>
      <c r="K69" s="3">
        <v>46872</v>
      </c>
      <c r="L69" s="3">
        <v>47237</v>
      </c>
      <c r="M69" s="2" t="s">
        <v>38</v>
      </c>
      <c r="N69" s="2" t="s">
        <v>38</v>
      </c>
      <c r="O69" s="2" t="s">
        <v>39</v>
      </c>
      <c r="P69" s="2" t="s">
        <v>40</v>
      </c>
      <c r="Q69" s="4">
        <v>2400</v>
      </c>
      <c r="R69" s="5">
        <v>5017422.3600000003</v>
      </c>
      <c r="S69" s="2" t="s">
        <v>41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3">
        <v>47237</v>
      </c>
      <c r="AE69" s="3">
        <v>46872</v>
      </c>
      <c r="AF69" s="2" t="s">
        <v>38</v>
      </c>
      <c r="AG69" s="2" t="s">
        <v>38</v>
      </c>
      <c r="AH69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70" spans="1:34" x14ac:dyDescent="0.35">
      <c r="A70" s="2" t="s">
        <v>189</v>
      </c>
      <c r="B70" s="2" t="s">
        <v>196</v>
      </c>
      <c r="C70" s="2" t="s">
        <v>35</v>
      </c>
      <c r="D70" s="2" t="s">
        <v>36</v>
      </c>
      <c r="E70" s="2" t="s">
        <v>197</v>
      </c>
      <c r="F70" s="3">
        <v>46141</v>
      </c>
      <c r="G70" s="3">
        <v>46150</v>
      </c>
      <c r="H70" s="3">
        <v>46198</v>
      </c>
      <c r="I70" s="3">
        <v>46596</v>
      </c>
      <c r="J70" s="3">
        <v>46141</v>
      </c>
      <c r="K70" s="3">
        <v>46872</v>
      </c>
      <c r="L70" s="3">
        <v>47237</v>
      </c>
      <c r="M70" s="2" t="s">
        <v>38</v>
      </c>
      <c r="N70" s="2" t="s">
        <v>38</v>
      </c>
      <c r="O70" s="2" t="s">
        <v>39</v>
      </c>
      <c r="P70" s="2" t="s">
        <v>40</v>
      </c>
      <c r="Q70" s="4">
        <v>3200</v>
      </c>
      <c r="R70" s="5">
        <v>6689896.4800000004</v>
      </c>
      <c r="S70" s="2" t="s">
        <v>41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3">
        <v>47237</v>
      </c>
      <c r="AE70" s="3">
        <v>46872</v>
      </c>
      <c r="AF70" s="2" t="s">
        <v>38</v>
      </c>
      <c r="AG70" s="2" t="s">
        <v>38</v>
      </c>
      <c r="AH70" s="4">
        <f>DataTable[[#This Row],[Unrestricted]]+DataTable[[#This Row],[Transit &amp; transfer]]+DataTable[[#This Row],[In Quality Insp.]]+DataTable[[#This Row],[Restricted Use Stock]]+DataTable[[#This Row],[Blocked]]</f>
        <v>3200</v>
      </c>
    </row>
    <row r="71" spans="1:34" x14ac:dyDescent="0.35">
      <c r="A71" s="2" t="s">
        <v>189</v>
      </c>
      <c r="B71" s="2" t="s">
        <v>198</v>
      </c>
      <c r="C71" s="2" t="s">
        <v>35</v>
      </c>
      <c r="D71" s="2" t="s">
        <v>36</v>
      </c>
      <c r="E71" s="2" t="s">
        <v>199</v>
      </c>
      <c r="F71" s="3">
        <v>46141</v>
      </c>
      <c r="G71" s="3">
        <v>46150</v>
      </c>
      <c r="H71" s="3">
        <v>46198</v>
      </c>
      <c r="I71" s="3">
        <v>46597</v>
      </c>
      <c r="J71" s="3">
        <v>46141</v>
      </c>
      <c r="K71" s="3">
        <v>46872</v>
      </c>
      <c r="L71" s="3">
        <v>47237</v>
      </c>
      <c r="M71" s="2" t="s">
        <v>38</v>
      </c>
      <c r="N71" s="2" t="s">
        <v>38</v>
      </c>
      <c r="O71" s="2" t="s">
        <v>39</v>
      </c>
      <c r="P71" s="2" t="s">
        <v>40</v>
      </c>
      <c r="Q71" s="4">
        <v>2400</v>
      </c>
      <c r="R71" s="5">
        <v>5017422.3600000003</v>
      </c>
      <c r="S71" s="2" t="s">
        <v>41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3">
        <v>47237</v>
      </c>
      <c r="AE71" s="3">
        <v>46872</v>
      </c>
      <c r="AF71" s="2" t="s">
        <v>38</v>
      </c>
      <c r="AG71" s="2" t="s">
        <v>38</v>
      </c>
      <c r="AH71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72" spans="1:34" x14ac:dyDescent="0.35">
      <c r="A72" s="2" t="s">
        <v>189</v>
      </c>
      <c r="B72" s="2" t="s">
        <v>200</v>
      </c>
      <c r="C72" s="2" t="s">
        <v>35</v>
      </c>
      <c r="D72" s="2" t="s">
        <v>36</v>
      </c>
      <c r="E72" s="2" t="s">
        <v>201</v>
      </c>
      <c r="F72" s="3">
        <v>46141</v>
      </c>
      <c r="G72" s="3">
        <v>46150</v>
      </c>
      <c r="H72" s="3">
        <v>46198</v>
      </c>
      <c r="I72" s="3">
        <v>46597</v>
      </c>
      <c r="J72" s="3">
        <v>46141</v>
      </c>
      <c r="K72" s="3">
        <v>46872</v>
      </c>
      <c r="L72" s="3">
        <v>47237</v>
      </c>
      <c r="M72" s="2" t="s">
        <v>38</v>
      </c>
      <c r="N72" s="2" t="s">
        <v>38</v>
      </c>
      <c r="O72" s="2" t="s">
        <v>39</v>
      </c>
      <c r="P72" s="2" t="s">
        <v>40</v>
      </c>
      <c r="Q72" s="4">
        <v>2400</v>
      </c>
      <c r="R72" s="5">
        <v>5017422.3600000003</v>
      </c>
      <c r="S72" s="2" t="s">
        <v>41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3">
        <v>47237</v>
      </c>
      <c r="AE72" s="3">
        <v>46872</v>
      </c>
      <c r="AF72" s="2" t="s">
        <v>38</v>
      </c>
      <c r="AG72" s="2" t="s">
        <v>38</v>
      </c>
      <c r="AH72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73" spans="1:34" x14ac:dyDescent="0.35">
      <c r="A73" s="2" t="s">
        <v>202</v>
      </c>
      <c r="B73" s="2" t="s">
        <v>203</v>
      </c>
      <c r="C73" s="2" t="s">
        <v>35</v>
      </c>
      <c r="D73" s="2" t="s">
        <v>36</v>
      </c>
      <c r="E73" s="2" t="s">
        <v>204</v>
      </c>
      <c r="F73" s="3">
        <v>45775</v>
      </c>
      <c r="G73" s="3">
        <v>45793</v>
      </c>
      <c r="H73" s="3">
        <v>45860</v>
      </c>
      <c r="I73" s="3">
        <v>46235</v>
      </c>
      <c r="J73" s="3">
        <v>45775</v>
      </c>
      <c r="K73" s="3">
        <v>46504</v>
      </c>
      <c r="L73" s="3">
        <v>46505</v>
      </c>
      <c r="M73" s="2" t="s">
        <v>38</v>
      </c>
      <c r="N73" s="2" t="s">
        <v>38</v>
      </c>
      <c r="O73" s="2" t="s">
        <v>39</v>
      </c>
      <c r="P73" s="2" t="s">
        <v>40</v>
      </c>
      <c r="Q73" s="4">
        <v>1600</v>
      </c>
      <c r="R73" s="5">
        <v>4847318.78</v>
      </c>
      <c r="S73" s="2" t="s">
        <v>41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3">
        <v>46871</v>
      </c>
      <c r="AE73" s="3">
        <v>46504</v>
      </c>
      <c r="AF73" s="2" t="s">
        <v>38</v>
      </c>
      <c r="AG73" s="2" t="s">
        <v>38</v>
      </c>
      <c r="AH73" s="4">
        <f>DataTable[[#This Row],[Unrestricted]]+DataTable[[#This Row],[Transit &amp; transfer]]+DataTable[[#This Row],[In Quality Insp.]]+DataTable[[#This Row],[Restricted Use Stock]]+DataTable[[#This Row],[Blocked]]</f>
        <v>1600</v>
      </c>
    </row>
    <row r="74" spans="1:34" x14ac:dyDescent="0.35">
      <c r="A74" s="2" t="s">
        <v>205</v>
      </c>
      <c r="B74" s="2" t="s">
        <v>206</v>
      </c>
      <c r="C74" s="2" t="s">
        <v>35</v>
      </c>
      <c r="D74" s="2" t="s">
        <v>36</v>
      </c>
      <c r="E74" s="2" t="s">
        <v>207</v>
      </c>
      <c r="F74" s="3">
        <v>45887</v>
      </c>
      <c r="G74" s="3">
        <v>45944</v>
      </c>
      <c r="H74" s="3">
        <v>45983</v>
      </c>
      <c r="I74" s="3">
        <v>46097</v>
      </c>
      <c r="J74" s="3">
        <v>45887</v>
      </c>
      <c r="K74" s="3">
        <v>46617</v>
      </c>
      <c r="L74" s="3">
        <v>46617</v>
      </c>
      <c r="M74" s="2" t="s">
        <v>38</v>
      </c>
      <c r="N74" s="2" t="s">
        <v>38</v>
      </c>
      <c r="O74" s="2" t="s">
        <v>208</v>
      </c>
      <c r="P74" s="2" t="s">
        <v>89</v>
      </c>
      <c r="Q74" s="4">
        <v>3600</v>
      </c>
      <c r="R74" s="5">
        <v>2758749.73</v>
      </c>
      <c r="S74" s="2" t="s">
        <v>41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3">
        <v>46617</v>
      </c>
      <c r="AE74" s="2" t="s">
        <v>38</v>
      </c>
      <c r="AF74" s="2" t="s">
        <v>38</v>
      </c>
      <c r="AG74" s="2" t="s">
        <v>38</v>
      </c>
      <c r="AH74" s="4">
        <f>DataTable[[#This Row],[Unrestricted]]+DataTable[[#This Row],[Transit &amp; transfer]]+DataTable[[#This Row],[In Quality Insp.]]+DataTable[[#This Row],[Restricted Use Stock]]+DataTable[[#This Row],[Blocked]]</f>
        <v>3600</v>
      </c>
    </row>
    <row r="75" spans="1:34" x14ac:dyDescent="0.35">
      <c r="A75" s="2" t="s">
        <v>209</v>
      </c>
      <c r="B75" s="2" t="s">
        <v>210</v>
      </c>
      <c r="C75" s="2" t="s">
        <v>35</v>
      </c>
      <c r="D75" s="2" t="s">
        <v>36</v>
      </c>
      <c r="E75" s="2" t="s">
        <v>211</v>
      </c>
      <c r="F75" s="3">
        <v>46137</v>
      </c>
      <c r="G75" s="3">
        <v>46137</v>
      </c>
      <c r="H75" s="3">
        <v>46137</v>
      </c>
      <c r="I75" s="3">
        <v>46593</v>
      </c>
      <c r="J75" s="3">
        <v>46137</v>
      </c>
      <c r="K75" s="3">
        <v>46868</v>
      </c>
      <c r="L75" s="3">
        <v>47233</v>
      </c>
      <c r="M75" s="2" t="s">
        <v>38</v>
      </c>
      <c r="N75" s="2" t="s">
        <v>38</v>
      </c>
      <c r="O75" s="2" t="s">
        <v>39</v>
      </c>
      <c r="P75" s="2" t="s">
        <v>40</v>
      </c>
      <c r="Q75" s="4">
        <v>200</v>
      </c>
      <c r="R75" s="5">
        <v>481552.54</v>
      </c>
      <c r="S75" s="2" t="s">
        <v>41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3">
        <v>47233</v>
      </c>
      <c r="AE75" s="3">
        <v>46868</v>
      </c>
      <c r="AF75" s="2" t="s">
        <v>38</v>
      </c>
      <c r="AG75" s="2" t="s">
        <v>38</v>
      </c>
      <c r="AH75" s="4">
        <f>DataTable[[#This Row],[Unrestricted]]+DataTable[[#This Row],[Transit &amp; transfer]]+DataTable[[#This Row],[In Quality Insp.]]+DataTable[[#This Row],[Restricted Use Stock]]+DataTable[[#This Row],[Blocked]]</f>
        <v>200</v>
      </c>
    </row>
    <row r="76" spans="1:34" x14ac:dyDescent="0.35">
      <c r="A76" s="2" t="s">
        <v>209</v>
      </c>
      <c r="B76" s="2" t="s">
        <v>212</v>
      </c>
      <c r="C76" s="2" t="s">
        <v>35</v>
      </c>
      <c r="D76" s="2" t="s">
        <v>36</v>
      </c>
      <c r="E76" s="2" t="s">
        <v>213</v>
      </c>
      <c r="F76" s="3">
        <v>46121</v>
      </c>
      <c r="G76" s="3">
        <v>46180</v>
      </c>
      <c r="H76" s="3">
        <v>46180</v>
      </c>
      <c r="I76" s="3">
        <v>46577</v>
      </c>
      <c r="J76" s="3">
        <v>46121</v>
      </c>
      <c r="K76" s="3">
        <v>46852</v>
      </c>
      <c r="L76" s="3">
        <v>47217</v>
      </c>
      <c r="M76" s="2" t="s">
        <v>38</v>
      </c>
      <c r="N76" s="2" t="s">
        <v>38</v>
      </c>
      <c r="O76" s="2" t="s">
        <v>39</v>
      </c>
      <c r="P76" s="2" t="s">
        <v>40</v>
      </c>
      <c r="Q76" s="4">
        <v>664</v>
      </c>
      <c r="R76" s="5">
        <v>1598754.44</v>
      </c>
      <c r="S76" s="2" t="s">
        <v>41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3">
        <v>47217</v>
      </c>
      <c r="AE76" s="3">
        <v>46852</v>
      </c>
      <c r="AF76" s="2" t="s">
        <v>38</v>
      </c>
      <c r="AG76" s="2" t="s">
        <v>38</v>
      </c>
      <c r="AH76" s="4">
        <f>DataTable[[#This Row],[Unrestricted]]+DataTable[[#This Row],[Transit &amp; transfer]]+DataTable[[#This Row],[In Quality Insp.]]+DataTable[[#This Row],[Restricted Use Stock]]+DataTable[[#This Row],[Blocked]]</f>
        <v>664</v>
      </c>
    </row>
    <row r="77" spans="1:34" x14ac:dyDescent="0.35">
      <c r="A77" s="2" t="s">
        <v>214</v>
      </c>
      <c r="B77" s="2" t="s">
        <v>215</v>
      </c>
      <c r="C77" s="2" t="s">
        <v>35</v>
      </c>
      <c r="D77" s="2" t="s">
        <v>36</v>
      </c>
      <c r="E77" s="2" t="s">
        <v>216</v>
      </c>
      <c r="F77" s="3">
        <v>46091</v>
      </c>
      <c r="G77" s="3">
        <v>46091</v>
      </c>
      <c r="H77" s="3">
        <v>46166</v>
      </c>
      <c r="I77" s="3">
        <v>47916</v>
      </c>
      <c r="J77" s="3">
        <v>46091</v>
      </c>
      <c r="K77" s="3">
        <v>46822</v>
      </c>
      <c r="L77" s="3">
        <v>47917</v>
      </c>
      <c r="M77" s="2" t="s">
        <v>38</v>
      </c>
      <c r="N77" s="2" t="s">
        <v>38</v>
      </c>
      <c r="O77" s="2" t="s">
        <v>39</v>
      </c>
      <c r="P77" s="2" t="s">
        <v>89</v>
      </c>
      <c r="Q77" s="4">
        <v>3520</v>
      </c>
      <c r="R77" s="5">
        <v>12025581.779999999</v>
      </c>
      <c r="S77" s="2" t="s">
        <v>41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3">
        <v>47917</v>
      </c>
      <c r="AE77" s="3">
        <v>46822</v>
      </c>
      <c r="AF77" s="2" t="s">
        <v>38</v>
      </c>
      <c r="AG77" s="2" t="s">
        <v>38</v>
      </c>
      <c r="AH77" s="4">
        <f>DataTable[[#This Row],[Unrestricted]]+DataTable[[#This Row],[Transit &amp; transfer]]+DataTable[[#This Row],[In Quality Insp.]]+DataTable[[#This Row],[Restricted Use Stock]]+DataTable[[#This Row],[Blocked]]</f>
        <v>3520</v>
      </c>
    </row>
    <row r="78" spans="1:34" x14ac:dyDescent="0.35">
      <c r="A78" s="2" t="s">
        <v>214</v>
      </c>
      <c r="B78" s="2" t="s">
        <v>217</v>
      </c>
      <c r="C78" s="2" t="s">
        <v>35</v>
      </c>
      <c r="D78" s="2" t="s">
        <v>36</v>
      </c>
      <c r="E78" s="2" t="s">
        <v>218</v>
      </c>
      <c r="F78" s="3">
        <v>46091</v>
      </c>
      <c r="G78" s="3">
        <v>46091</v>
      </c>
      <c r="H78" s="3">
        <v>46166</v>
      </c>
      <c r="I78" s="3">
        <v>47916</v>
      </c>
      <c r="J78" s="3">
        <v>46091</v>
      </c>
      <c r="K78" s="3">
        <v>46822</v>
      </c>
      <c r="L78" s="3">
        <v>47917</v>
      </c>
      <c r="M78" s="2" t="s">
        <v>38</v>
      </c>
      <c r="N78" s="2" t="s">
        <v>38</v>
      </c>
      <c r="O78" s="2" t="s">
        <v>39</v>
      </c>
      <c r="P78" s="2" t="s">
        <v>89</v>
      </c>
      <c r="Q78" s="4">
        <v>4400</v>
      </c>
      <c r="R78" s="5">
        <v>15031977.220000001</v>
      </c>
      <c r="S78" s="2" t="s">
        <v>41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3">
        <v>47917</v>
      </c>
      <c r="AE78" s="3">
        <v>46822</v>
      </c>
      <c r="AF78" s="2" t="s">
        <v>38</v>
      </c>
      <c r="AG78" s="2" t="s">
        <v>38</v>
      </c>
      <c r="AH78" s="4">
        <f>DataTable[[#This Row],[Unrestricted]]+DataTable[[#This Row],[Transit &amp; transfer]]+DataTable[[#This Row],[In Quality Insp.]]+DataTable[[#This Row],[Restricted Use Stock]]+DataTable[[#This Row],[Blocked]]</f>
        <v>4400</v>
      </c>
    </row>
    <row r="79" spans="1:34" x14ac:dyDescent="0.35">
      <c r="A79" s="2" t="s">
        <v>219</v>
      </c>
      <c r="B79" s="2" t="s">
        <v>220</v>
      </c>
      <c r="C79" s="2" t="s">
        <v>35</v>
      </c>
      <c r="D79" s="2" t="s">
        <v>36</v>
      </c>
      <c r="E79" s="2" t="s">
        <v>221</v>
      </c>
      <c r="F79" s="3">
        <v>46117</v>
      </c>
      <c r="G79" s="3">
        <v>46119</v>
      </c>
      <c r="H79" s="3">
        <v>46119</v>
      </c>
      <c r="I79" s="3">
        <v>46573</v>
      </c>
      <c r="J79" s="3">
        <v>46117</v>
      </c>
      <c r="K79" s="3">
        <v>46848</v>
      </c>
      <c r="L79" s="3">
        <v>47213</v>
      </c>
      <c r="M79" s="2" t="s">
        <v>38</v>
      </c>
      <c r="N79" s="2" t="s">
        <v>38</v>
      </c>
      <c r="O79" s="2" t="s">
        <v>39</v>
      </c>
      <c r="P79" s="2" t="s">
        <v>40</v>
      </c>
      <c r="Q79" s="4">
        <v>325</v>
      </c>
      <c r="R79" s="5">
        <v>706993.4</v>
      </c>
      <c r="S79" s="2" t="s">
        <v>41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3">
        <v>47213</v>
      </c>
      <c r="AE79" s="3">
        <v>46848</v>
      </c>
      <c r="AF79" s="2" t="s">
        <v>38</v>
      </c>
      <c r="AG79" s="2" t="s">
        <v>38</v>
      </c>
      <c r="AH79" s="4">
        <f>DataTable[[#This Row],[Unrestricted]]+DataTable[[#This Row],[Transit &amp; transfer]]+DataTable[[#This Row],[In Quality Insp.]]+DataTable[[#This Row],[Restricted Use Stock]]+DataTable[[#This Row],[Blocked]]</f>
        <v>325</v>
      </c>
    </row>
    <row r="80" spans="1:34" x14ac:dyDescent="0.35">
      <c r="A80" s="2" t="s">
        <v>219</v>
      </c>
      <c r="B80" s="2" t="s">
        <v>222</v>
      </c>
      <c r="C80" s="2" t="s">
        <v>35</v>
      </c>
      <c r="D80" s="2" t="s">
        <v>36</v>
      </c>
      <c r="E80" s="2" t="s">
        <v>223</v>
      </c>
      <c r="F80" s="3">
        <v>46187</v>
      </c>
      <c r="G80" s="3">
        <v>46188</v>
      </c>
      <c r="H80" s="3">
        <v>46188</v>
      </c>
      <c r="I80" s="3">
        <v>46643</v>
      </c>
      <c r="J80" s="3">
        <v>46187</v>
      </c>
      <c r="K80" s="3">
        <v>46918</v>
      </c>
      <c r="L80" s="3">
        <v>47283</v>
      </c>
      <c r="M80" s="2" t="s">
        <v>38</v>
      </c>
      <c r="N80" s="2" t="s">
        <v>38</v>
      </c>
      <c r="O80" s="2" t="s">
        <v>39</v>
      </c>
      <c r="P80" s="2" t="s">
        <v>40</v>
      </c>
      <c r="Q80" s="4">
        <v>490</v>
      </c>
      <c r="R80" s="5">
        <v>1065928.51</v>
      </c>
      <c r="S80" s="2" t="s">
        <v>41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3">
        <v>47283</v>
      </c>
      <c r="AE80" s="3">
        <v>46918</v>
      </c>
      <c r="AF80" s="2" t="s">
        <v>38</v>
      </c>
      <c r="AG80" s="2" t="s">
        <v>38</v>
      </c>
      <c r="AH80" s="4">
        <f>DataTable[[#This Row],[Unrestricted]]+DataTable[[#This Row],[Transit &amp; transfer]]+DataTable[[#This Row],[In Quality Insp.]]+DataTable[[#This Row],[Restricted Use Stock]]+DataTable[[#This Row],[Blocked]]</f>
        <v>490</v>
      </c>
    </row>
    <row r="81" spans="1:34" x14ac:dyDescent="0.35">
      <c r="A81" s="2" t="s">
        <v>219</v>
      </c>
      <c r="B81" s="2" t="s">
        <v>224</v>
      </c>
      <c r="C81" s="2" t="s">
        <v>35</v>
      </c>
      <c r="D81" s="2" t="s">
        <v>36</v>
      </c>
      <c r="E81" s="2" t="s">
        <v>225</v>
      </c>
      <c r="F81" s="3">
        <v>46188</v>
      </c>
      <c r="G81" s="3">
        <v>46203</v>
      </c>
      <c r="H81" s="3">
        <v>46203</v>
      </c>
      <c r="I81" s="3">
        <v>46644</v>
      </c>
      <c r="J81" s="3">
        <v>46188</v>
      </c>
      <c r="K81" s="3">
        <v>46919</v>
      </c>
      <c r="L81" s="3">
        <v>47284</v>
      </c>
      <c r="M81" s="2" t="s">
        <v>38</v>
      </c>
      <c r="N81" s="2" t="s">
        <v>38</v>
      </c>
      <c r="O81" s="2" t="s">
        <v>39</v>
      </c>
      <c r="P81" s="2" t="s">
        <v>40</v>
      </c>
      <c r="Q81" s="4">
        <v>755</v>
      </c>
      <c r="R81" s="5">
        <v>1642400.05</v>
      </c>
      <c r="S81" s="2" t="s">
        <v>41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3">
        <v>47284</v>
      </c>
      <c r="AE81" s="3">
        <v>46919</v>
      </c>
      <c r="AF81" s="2" t="s">
        <v>38</v>
      </c>
      <c r="AG81" s="2" t="s">
        <v>38</v>
      </c>
      <c r="AH81" s="4">
        <f>DataTable[[#This Row],[Unrestricted]]+DataTable[[#This Row],[Transit &amp; transfer]]+DataTable[[#This Row],[In Quality Insp.]]+DataTable[[#This Row],[Restricted Use Stock]]+DataTable[[#This Row],[Blocked]]</f>
        <v>755</v>
      </c>
    </row>
    <row r="82" spans="1:34" x14ac:dyDescent="0.35">
      <c r="A82" s="2" t="s">
        <v>226</v>
      </c>
      <c r="B82" s="2" t="s">
        <v>227</v>
      </c>
      <c r="C82" s="2" t="s">
        <v>35</v>
      </c>
      <c r="D82" s="2" t="s">
        <v>36</v>
      </c>
      <c r="E82" s="2" t="s">
        <v>228</v>
      </c>
      <c r="F82" s="3">
        <v>45890</v>
      </c>
      <c r="G82" s="3">
        <v>45898</v>
      </c>
      <c r="H82" s="3">
        <v>45990</v>
      </c>
      <c r="I82" s="3">
        <v>47076</v>
      </c>
      <c r="J82" s="3">
        <v>45890</v>
      </c>
      <c r="K82" s="3">
        <v>46620</v>
      </c>
      <c r="L82" s="3">
        <v>47716</v>
      </c>
      <c r="M82" s="2" t="s">
        <v>38</v>
      </c>
      <c r="N82" s="2" t="s">
        <v>38</v>
      </c>
      <c r="O82" s="2" t="s">
        <v>39</v>
      </c>
      <c r="P82" s="2" t="s">
        <v>89</v>
      </c>
      <c r="Q82" s="4">
        <v>1600</v>
      </c>
      <c r="R82" s="5">
        <v>8843253.5999999996</v>
      </c>
      <c r="S82" s="2" t="s">
        <v>41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3">
        <v>47716</v>
      </c>
      <c r="AE82" s="3">
        <v>46620</v>
      </c>
      <c r="AF82" s="2" t="s">
        <v>38</v>
      </c>
      <c r="AG82" s="2" t="s">
        <v>38</v>
      </c>
      <c r="AH82" s="4">
        <f>DataTable[[#This Row],[Unrestricted]]+DataTable[[#This Row],[Transit &amp; transfer]]+DataTable[[#This Row],[In Quality Insp.]]+DataTable[[#This Row],[Restricted Use Stock]]+DataTable[[#This Row],[Blocked]]</f>
        <v>1600</v>
      </c>
    </row>
    <row r="83" spans="1:34" x14ac:dyDescent="0.35">
      <c r="A83" s="2" t="s">
        <v>229</v>
      </c>
      <c r="B83" s="2" t="s">
        <v>230</v>
      </c>
      <c r="C83" s="2" t="s">
        <v>35</v>
      </c>
      <c r="D83" s="2" t="s">
        <v>36</v>
      </c>
      <c r="E83" s="2" t="s">
        <v>231</v>
      </c>
      <c r="F83" s="3">
        <v>46202</v>
      </c>
      <c r="G83" s="3">
        <v>46204</v>
      </c>
      <c r="H83" s="3">
        <v>46204</v>
      </c>
      <c r="I83" s="3">
        <v>46567</v>
      </c>
      <c r="J83" s="3">
        <v>46202</v>
      </c>
      <c r="K83" s="3">
        <v>46933</v>
      </c>
      <c r="L83" s="3">
        <v>46933</v>
      </c>
      <c r="M83" s="2" t="s">
        <v>38</v>
      </c>
      <c r="N83" s="2" t="s">
        <v>38</v>
      </c>
      <c r="O83" s="2" t="s">
        <v>39</v>
      </c>
      <c r="P83" s="2" t="s">
        <v>89</v>
      </c>
      <c r="Q83" s="4">
        <v>220</v>
      </c>
      <c r="R83" s="5">
        <v>49042.21</v>
      </c>
      <c r="S83" s="2" t="s">
        <v>41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3">
        <v>47298</v>
      </c>
      <c r="AE83" s="3">
        <v>46933</v>
      </c>
      <c r="AF83" s="2" t="s">
        <v>38</v>
      </c>
      <c r="AG83" s="2" t="s">
        <v>38</v>
      </c>
      <c r="AH83" s="4">
        <f>DataTable[[#This Row],[Unrestricted]]+DataTable[[#This Row],[Transit &amp; transfer]]+DataTable[[#This Row],[In Quality Insp.]]+DataTable[[#This Row],[Restricted Use Stock]]+DataTable[[#This Row],[Blocked]]</f>
        <v>220</v>
      </c>
    </row>
    <row r="84" spans="1:34" x14ac:dyDescent="0.35">
      <c r="A84" s="2" t="s">
        <v>232</v>
      </c>
      <c r="B84" s="2" t="s">
        <v>233</v>
      </c>
      <c r="C84" s="2" t="s">
        <v>35</v>
      </c>
      <c r="D84" s="2" t="s">
        <v>36</v>
      </c>
      <c r="E84" s="2" t="s">
        <v>234</v>
      </c>
      <c r="F84" s="3">
        <v>45773</v>
      </c>
      <c r="G84" s="3">
        <v>46167</v>
      </c>
      <c r="H84" s="3">
        <v>46167</v>
      </c>
      <c r="I84" s="3">
        <v>46233</v>
      </c>
      <c r="J84" s="3">
        <v>45773</v>
      </c>
      <c r="K84" s="3">
        <v>46503</v>
      </c>
      <c r="L84" s="3">
        <v>46503</v>
      </c>
      <c r="M84" s="2" t="s">
        <v>38</v>
      </c>
      <c r="N84" s="2" t="s">
        <v>38</v>
      </c>
      <c r="O84" s="2" t="s">
        <v>39</v>
      </c>
      <c r="P84" s="2" t="s">
        <v>40</v>
      </c>
      <c r="Q84" s="4">
        <v>200</v>
      </c>
      <c r="R84" s="5">
        <v>678246.9</v>
      </c>
      <c r="S84" s="2" t="s">
        <v>41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3">
        <v>46869</v>
      </c>
      <c r="AE84" s="3">
        <v>46503</v>
      </c>
      <c r="AF84" s="2" t="s">
        <v>38</v>
      </c>
      <c r="AG84" s="2" t="s">
        <v>38</v>
      </c>
      <c r="AH84" s="4">
        <f>DataTable[[#This Row],[Unrestricted]]+DataTable[[#This Row],[Transit &amp; transfer]]+DataTable[[#This Row],[In Quality Insp.]]+DataTable[[#This Row],[Restricted Use Stock]]+DataTable[[#This Row],[Blocked]]</f>
        <v>200</v>
      </c>
    </row>
    <row r="85" spans="1:34" x14ac:dyDescent="0.35">
      <c r="A85" s="2" t="s">
        <v>235</v>
      </c>
      <c r="B85" s="2" t="s">
        <v>236</v>
      </c>
      <c r="C85" s="2" t="s">
        <v>35</v>
      </c>
      <c r="D85" s="2" t="s">
        <v>36</v>
      </c>
      <c r="E85" s="2" t="s">
        <v>237</v>
      </c>
      <c r="F85" s="3">
        <v>46083</v>
      </c>
      <c r="G85" s="3">
        <v>46083</v>
      </c>
      <c r="H85" s="3">
        <v>46083</v>
      </c>
      <c r="I85" s="3">
        <v>46448</v>
      </c>
      <c r="J85" s="3">
        <v>46083</v>
      </c>
      <c r="K85" s="3">
        <v>46814</v>
      </c>
      <c r="L85" s="3">
        <v>46814</v>
      </c>
      <c r="M85" s="2" t="s">
        <v>38</v>
      </c>
      <c r="N85" s="2" t="s">
        <v>38</v>
      </c>
      <c r="O85" s="2" t="s">
        <v>39</v>
      </c>
      <c r="P85" s="2" t="s">
        <v>40</v>
      </c>
      <c r="Q85" s="4">
        <v>1635</v>
      </c>
      <c r="R85" s="5">
        <v>1034402.13</v>
      </c>
      <c r="S85" s="2" t="s">
        <v>41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3">
        <v>47179</v>
      </c>
      <c r="AE85" s="3">
        <v>46814</v>
      </c>
      <c r="AF85" s="2" t="s">
        <v>38</v>
      </c>
      <c r="AG85" s="2" t="s">
        <v>38</v>
      </c>
      <c r="AH85" s="4">
        <f>DataTable[[#This Row],[Unrestricted]]+DataTable[[#This Row],[Transit &amp; transfer]]+DataTable[[#This Row],[In Quality Insp.]]+DataTable[[#This Row],[Restricted Use Stock]]+DataTable[[#This Row],[Blocked]]</f>
        <v>1635</v>
      </c>
    </row>
    <row r="86" spans="1:34" x14ac:dyDescent="0.35">
      <c r="A86" s="2" t="s">
        <v>235</v>
      </c>
      <c r="B86" s="2" t="s">
        <v>238</v>
      </c>
      <c r="C86" s="2" t="s">
        <v>35</v>
      </c>
      <c r="D86" s="2" t="s">
        <v>36</v>
      </c>
      <c r="E86" s="2" t="s">
        <v>239</v>
      </c>
      <c r="F86" s="3">
        <v>46083</v>
      </c>
      <c r="G86" s="3">
        <v>46112</v>
      </c>
      <c r="H86" s="3">
        <v>46112</v>
      </c>
      <c r="I86" s="3">
        <v>46448</v>
      </c>
      <c r="J86" s="3">
        <v>46083</v>
      </c>
      <c r="K86" s="3">
        <v>46814</v>
      </c>
      <c r="L86" s="3">
        <v>46814</v>
      </c>
      <c r="M86" s="2" t="s">
        <v>38</v>
      </c>
      <c r="N86" s="2" t="s">
        <v>38</v>
      </c>
      <c r="O86" s="2" t="s">
        <v>39</v>
      </c>
      <c r="P86" s="2" t="s">
        <v>40</v>
      </c>
      <c r="Q86" s="4">
        <v>605</v>
      </c>
      <c r="R86" s="5">
        <v>382760.42</v>
      </c>
      <c r="S86" s="2" t="s">
        <v>41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3">
        <v>47179</v>
      </c>
      <c r="AE86" s="3">
        <v>46814</v>
      </c>
      <c r="AF86" s="2" t="s">
        <v>38</v>
      </c>
      <c r="AG86" s="2" t="s">
        <v>38</v>
      </c>
      <c r="AH86" s="4">
        <f>DataTable[[#This Row],[Unrestricted]]+DataTable[[#This Row],[Transit &amp; transfer]]+DataTable[[#This Row],[In Quality Insp.]]+DataTable[[#This Row],[Restricted Use Stock]]+DataTable[[#This Row],[Blocked]]</f>
        <v>605</v>
      </c>
    </row>
    <row r="87" spans="1:34" x14ac:dyDescent="0.35">
      <c r="A87" s="2" t="s">
        <v>235</v>
      </c>
      <c r="B87" s="2" t="s">
        <v>240</v>
      </c>
      <c r="C87" s="2" t="s">
        <v>35</v>
      </c>
      <c r="D87" s="2" t="s">
        <v>36</v>
      </c>
      <c r="E87" s="2" t="s">
        <v>241</v>
      </c>
      <c r="F87" s="3">
        <v>46180</v>
      </c>
      <c r="G87" s="3">
        <v>46180</v>
      </c>
      <c r="H87" s="3">
        <v>46180</v>
      </c>
      <c r="I87" s="3">
        <v>46545</v>
      </c>
      <c r="J87" s="3">
        <v>46180</v>
      </c>
      <c r="K87" s="3">
        <v>46911</v>
      </c>
      <c r="L87" s="3">
        <v>46911</v>
      </c>
      <c r="M87" s="2" t="s">
        <v>38</v>
      </c>
      <c r="N87" s="2" t="s">
        <v>38</v>
      </c>
      <c r="O87" s="2" t="s">
        <v>39</v>
      </c>
      <c r="P87" s="2" t="s">
        <v>40</v>
      </c>
      <c r="Q87" s="4">
        <v>2630</v>
      </c>
      <c r="R87" s="5">
        <v>1663900.68</v>
      </c>
      <c r="S87" s="2" t="s">
        <v>41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3">
        <v>47276</v>
      </c>
      <c r="AE87" s="3">
        <v>46911</v>
      </c>
      <c r="AF87" s="2" t="s">
        <v>38</v>
      </c>
      <c r="AG87" s="2" t="s">
        <v>38</v>
      </c>
      <c r="AH87" s="4">
        <f>DataTable[[#This Row],[Unrestricted]]+DataTable[[#This Row],[Transit &amp; transfer]]+DataTable[[#This Row],[In Quality Insp.]]+DataTable[[#This Row],[Restricted Use Stock]]+DataTable[[#This Row],[Blocked]]</f>
        <v>2630</v>
      </c>
    </row>
    <row r="88" spans="1:34" x14ac:dyDescent="0.35">
      <c r="A88" s="2" t="s">
        <v>235</v>
      </c>
      <c r="B88" s="2" t="s">
        <v>242</v>
      </c>
      <c r="C88" s="2" t="s">
        <v>35</v>
      </c>
      <c r="D88" s="2" t="s">
        <v>36</v>
      </c>
      <c r="E88" s="2" t="s">
        <v>243</v>
      </c>
      <c r="F88" s="3">
        <v>46180</v>
      </c>
      <c r="G88" s="3">
        <v>46180</v>
      </c>
      <c r="H88" s="3">
        <v>46180</v>
      </c>
      <c r="I88" s="3">
        <v>46545</v>
      </c>
      <c r="J88" s="3">
        <v>46180</v>
      </c>
      <c r="K88" s="3">
        <v>46911</v>
      </c>
      <c r="L88" s="3">
        <v>46911</v>
      </c>
      <c r="M88" s="2" t="s">
        <v>38</v>
      </c>
      <c r="N88" s="2" t="s">
        <v>38</v>
      </c>
      <c r="O88" s="2" t="s">
        <v>39</v>
      </c>
      <c r="P88" s="2" t="s">
        <v>40</v>
      </c>
      <c r="Q88" s="4">
        <v>805</v>
      </c>
      <c r="R88" s="5">
        <v>509292.79</v>
      </c>
      <c r="S88" s="2" t="s">
        <v>41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3">
        <v>47276</v>
      </c>
      <c r="AE88" s="3">
        <v>46911</v>
      </c>
      <c r="AF88" s="2" t="s">
        <v>38</v>
      </c>
      <c r="AG88" s="2" t="s">
        <v>38</v>
      </c>
      <c r="AH88" s="4">
        <f>DataTable[[#This Row],[Unrestricted]]+DataTable[[#This Row],[Transit &amp; transfer]]+DataTable[[#This Row],[In Quality Insp.]]+DataTable[[#This Row],[Restricted Use Stock]]+DataTable[[#This Row],[Blocked]]</f>
        <v>805</v>
      </c>
    </row>
    <row r="89" spans="1:34" x14ac:dyDescent="0.35">
      <c r="A89" s="2" t="s">
        <v>244</v>
      </c>
      <c r="B89" s="2" t="s">
        <v>245</v>
      </c>
      <c r="C89" s="2" t="s">
        <v>35</v>
      </c>
      <c r="D89" s="2" t="s">
        <v>36</v>
      </c>
      <c r="E89" s="2" t="s">
        <v>246</v>
      </c>
      <c r="F89" s="3">
        <v>46172</v>
      </c>
      <c r="G89" s="3">
        <v>46180</v>
      </c>
      <c r="H89" s="3">
        <v>46180</v>
      </c>
      <c r="I89" s="3">
        <v>47001</v>
      </c>
      <c r="J89" s="3">
        <v>46172</v>
      </c>
      <c r="K89" s="3">
        <v>46903</v>
      </c>
      <c r="L89" s="3">
        <v>47268</v>
      </c>
      <c r="M89" s="2" t="s">
        <v>38</v>
      </c>
      <c r="N89" s="2" t="s">
        <v>38</v>
      </c>
      <c r="O89" s="2" t="s">
        <v>39</v>
      </c>
      <c r="P89" s="2" t="s">
        <v>40</v>
      </c>
      <c r="Q89" s="4">
        <v>945</v>
      </c>
      <c r="R89" s="5">
        <v>1407260.29</v>
      </c>
      <c r="S89" s="2" t="s">
        <v>41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3">
        <v>47633</v>
      </c>
      <c r="AE89" s="3">
        <v>46903</v>
      </c>
      <c r="AF89" s="2" t="s">
        <v>38</v>
      </c>
      <c r="AG89" s="2" t="s">
        <v>38</v>
      </c>
      <c r="AH89" s="4">
        <f>DataTable[[#This Row],[Unrestricted]]+DataTable[[#This Row],[Transit &amp; transfer]]+DataTable[[#This Row],[In Quality Insp.]]+DataTable[[#This Row],[Restricted Use Stock]]+DataTable[[#This Row],[Blocked]]</f>
        <v>945</v>
      </c>
    </row>
    <row r="90" spans="1:34" x14ac:dyDescent="0.35">
      <c r="A90" s="2" t="s">
        <v>247</v>
      </c>
      <c r="B90" s="2" t="s">
        <v>248</v>
      </c>
      <c r="C90" s="2" t="s">
        <v>35</v>
      </c>
      <c r="D90" s="2" t="s">
        <v>36</v>
      </c>
      <c r="E90" s="2" t="s">
        <v>249</v>
      </c>
      <c r="F90" s="3">
        <v>46127</v>
      </c>
      <c r="G90" s="3">
        <v>46142</v>
      </c>
      <c r="H90" s="3">
        <v>46142</v>
      </c>
      <c r="I90" s="3">
        <v>46948</v>
      </c>
      <c r="J90" s="3">
        <v>46127</v>
      </c>
      <c r="K90" s="3">
        <v>46858</v>
      </c>
      <c r="L90" s="3">
        <v>47223</v>
      </c>
      <c r="M90" s="2" t="s">
        <v>38</v>
      </c>
      <c r="N90" s="2" t="s">
        <v>38</v>
      </c>
      <c r="O90" s="2" t="s">
        <v>39</v>
      </c>
      <c r="P90" s="2" t="s">
        <v>40</v>
      </c>
      <c r="Q90" s="4">
        <v>449</v>
      </c>
      <c r="R90" s="5">
        <v>779221.32</v>
      </c>
      <c r="S90" s="2" t="s">
        <v>41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3">
        <v>47588</v>
      </c>
      <c r="AE90" s="3">
        <v>46858</v>
      </c>
      <c r="AF90" s="2" t="s">
        <v>38</v>
      </c>
      <c r="AG90" s="2" t="s">
        <v>38</v>
      </c>
      <c r="AH90" s="4">
        <f>DataTable[[#This Row],[Unrestricted]]+DataTable[[#This Row],[Transit &amp; transfer]]+DataTable[[#This Row],[In Quality Insp.]]+DataTable[[#This Row],[Restricted Use Stock]]+DataTable[[#This Row],[Blocked]]</f>
        <v>449</v>
      </c>
    </row>
    <row r="91" spans="1:34" x14ac:dyDescent="0.35">
      <c r="A91" s="2" t="s">
        <v>250</v>
      </c>
      <c r="B91" s="2" t="s">
        <v>251</v>
      </c>
      <c r="C91" s="2" t="s">
        <v>35</v>
      </c>
      <c r="D91" s="2" t="s">
        <v>36</v>
      </c>
      <c r="E91" s="2" t="s">
        <v>252</v>
      </c>
      <c r="F91" s="3">
        <v>46182</v>
      </c>
      <c r="G91" s="3">
        <v>46182</v>
      </c>
      <c r="H91" s="3">
        <v>46182</v>
      </c>
      <c r="I91" s="3">
        <v>47003</v>
      </c>
      <c r="J91" s="3">
        <v>46182</v>
      </c>
      <c r="K91" s="3">
        <v>46913</v>
      </c>
      <c r="L91" s="3">
        <v>47278</v>
      </c>
      <c r="M91" s="2" t="s">
        <v>38</v>
      </c>
      <c r="N91" s="2" t="s">
        <v>38</v>
      </c>
      <c r="O91" s="2" t="s">
        <v>39</v>
      </c>
      <c r="P91" s="2" t="s">
        <v>40</v>
      </c>
      <c r="Q91" s="4">
        <v>580</v>
      </c>
      <c r="R91" s="5">
        <v>920408.25</v>
      </c>
      <c r="S91" s="2" t="s">
        <v>41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3">
        <v>47643</v>
      </c>
      <c r="AE91" s="3">
        <v>46913</v>
      </c>
      <c r="AF91" s="2" t="s">
        <v>38</v>
      </c>
      <c r="AG91" s="2" t="s">
        <v>38</v>
      </c>
      <c r="AH91" s="4">
        <f>DataTable[[#This Row],[Unrestricted]]+DataTable[[#This Row],[Transit &amp; transfer]]+DataTable[[#This Row],[In Quality Insp.]]+DataTable[[#This Row],[Restricted Use Stock]]+DataTable[[#This Row],[Blocked]]</f>
        <v>580</v>
      </c>
    </row>
    <row r="92" spans="1:34" x14ac:dyDescent="0.35">
      <c r="A92" s="2" t="s">
        <v>250</v>
      </c>
      <c r="B92" s="2" t="s">
        <v>253</v>
      </c>
      <c r="C92" s="2" t="s">
        <v>35</v>
      </c>
      <c r="D92" s="2" t="s">
        <v>36</v>
      </c>
      <c r="E92" s="2" t="s">
        <v>254</v>
      </c>
      <c r="F92" s="3">
        <v>46182</v>
      </c>
      <c r="G92" s="3">
        <v>46182</v>
      </c>
      <c r="H92" s="3">
        <v>46182</v>
      </c>
      <c r="I92" s="3">
        <v>47003</v>
      </c>
      <c r="J92" s="3">
        <v>46182</v>
      </c>
      <c r="K92" s="3">
        <v>46913</v>
      </c>
      <c r="L92" s="3">
        <v>47278</v>
      </c>
      <c r="M92" s="2" t="s">
        <v>38</v>
      </c>
      <c r="N92" s="2" t="s">
        <v>38</v>
      </c>
      <c r="O92" s="2" t="s">
        <v>39</v>
      </c>
      <c r="P92" s="2" t="s">
        <v>40</v>
      </c>
      <c r="Q92" s="4">
        <v>358</v>
      </c>
      <c r="R92" s="5">
        <v>568114.06000000006</v>
      </c>
      <c r="S92" s="2" t="s">
        <v>41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3">
        <v>47643</v>
      </c>
      <c r="AE92" s="3">
        <v>46913</v>
      </c>
      <c r="AF92" s="2" t="s">
        <v>38</v>
      </c>
      <c r="AG92" s="2" t="s">
        <v>38</v>
      </c>
      <c r="AH92" s="4">
        <f>DataTable[[#This Row],[Unrestricted]]+DataTable[[#This Row],[Transit &amp; transfer]]+DataTable[[#This Row],[In Quality Insp.]]+DataTable[[#This Row],[Restricted Use Stock]]+DataTable[[#This Row],[Blocked]]</f>
        <v>358</v>
      </c>
    </row>
    <row r="93" spans="1:34" x14ac:dyDescent="0.35">
      <c r="A93" s="2" t="s">
        <v>255</v>
      </c>
      <c r="B93" s="2" t="s">
        <v>256</v>
      </c>
      <c r="C93" s="2" t="s">
        <v>35</v>
      </c>
      <c r="D93" s="2" t="s">
        <v>36</v>
      </c>
      <c r="E93" s="2" t="s">
        <v>257</v>
      </c>
      <c r="F93" s="3">
        <v>46079</v>
      </c>
      <c r="G93" s="3">
        <v>46081</v>
      </c>
      <c r="H93" s="3">
        <v>46081</v>
      </c>
      <c r="I93" s="3">
        <v>46444</v>
      </c>
      <c r="J93" s="3">
        <v>46079</v>
      </c>
      <c r="K93" s="3">
        <v>46809</v>
      </c>
      <c r="L93" s="3">
        <v>46809</v>
      </c>
      <c r="M93" s="2" t="s">
        <v>38</v>
      </c>
      <c r="N93" s="2" t="s">
        <v>38</v>
      </c>
      <c r="O93" s="2" t="s">
        <v>39</v>
      </c>
      <c r="P93" s="2" t="s">
        <v>40</v>
      </c>
      <c r="Q93" s="4">
        <v>325</v>
      </c>
      <c r="R93" s="5">
        <v>238110.76</v>
      </c>
      <c r="S93" s="2" t="s">
        <v>41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3">
        <v>47175</v>
      </c>
      <c r="AE93" s="3">
        <v>46809</v>
      </c>
      <c r="AF93" s="2" t="s">
        <v>38</v>
      </c>
      <c r="AG93" s="2" t="s">
        <v>38</v>
      </c>
      <c r="AH93" s="4">
        <f>DataTable[[#This Row],[Unrestricted]]+DataTable[[#This Row],[Transit &amp; transfer]]+DataTable[[#This Row],[In Quality Insp.]]+DataTable[[#This Row],[Restricted Use Stock]]+DataTable[[#This Row],[Blocked]]</f>
        <v>325</v>
      </c>
    </row>
    <row r="94" spans="1:34" x14ac:dyDescent="0.35">
      <c r="A94" s="2" t="s">
        <v>255</v>
      </c>
      <c r="B94" s="2" t="s">
        <v>258</v>
      </c>
      <c r="C94" s="2" t="s">
        <v>35</v>
      </c>
      <c r="D94" s="2" t="s">
        <v>36</v>
      </c>
      <c r="E94" s="2" t="s">
        <v>259</v>
      </c>
      <c r="F94" s="3">
        <v>46172</v>
      </c>
      <c r="G94" s="3">
        <v>46175</v>
      </c>
      <c r="H94" s="3">
        <v>46175</v>
      </c>
      <c r="I94" s="3">
        <v>46540</v>
      </c>
      <c r="J94" s="3">
        <v>46172</v>
      </c>
      <c r="K94" s="3">
        <v>46903</v>
      </c>
      <c r="L94" s="3">
        <v>46903</v>
      </c>
      <c r="M94" s="2" t="s">
        <v>38</v>
      </c>
      <c r="N94" s="2" t="s">
        <v>38</v>
      </c>
      <c r="O94" s="2" t="s">
        <v>39</v>
      </c>
      <c r="P94" s="2" t="s">
        <v>40</v>
      </c>
      <c r="Q94" s="4">
        <v>990</v>
      </c>
      <c r="R94" s="5">
        <v>725322.02</v>
      </c>
      <c r="S94" s="2" t="s">
        <v>41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3">
        <v>47268</v>
      </c>
      <c r="AE94" s="3">
        <v>46903</v>
      </c>
      <c r="AF94" s="2" t="s">
        <v>38</v>
      </c>
      <c r="AG94" s="2" t="s">
        <v>38</v>
      </c>
      <c r="AH94" s="4">
        <f>DataTable[[#This Row],[Unrestricted]]+DataTable[[#This Row],[Transit &amp; transfer]]+DataTable[[#This Row],[In Quality Insp.]]+DataTable[[#This Row],[Restricted Use Stock]]+DataTable[[#This Row],[Blocked]]</f>
        <v>990</v>
      </c>
    </row>
    <row r="95" spans="1:34" x14ac:dyDescent="0.35">
      <c r="A95" s="2" t="s">
        <v>255</v>
      </c>
      <c r="B95" s="2" t="s">
        <v>260</v>
      </c>
      <c r="C95" s="2" t="s">
        <v>35</v>
      </c>
      <c r="D95" s="2" t="s">
        <v>36</v>
      </c>
      <c r="E95" s="2" t="s">
        <v>261</v>
      </c>
      <c r="F95" s="3">
        <v>46175</v>
      </c>
      <c r="G95" s="3">
        <v>46175</v>
      </c>
      <c r="H95" s="3">
        <v>46175</v>
      </c>
      <c r="I95" s="3">
        <v>46540</v>
      </c>
      <c r="J95" s="3">
        <v>46175</v>
      </c>
      <c r="K95" s="3">
        <v>46906</v>
      </c>
      <c r="L95" s="3">
        <v>46906</v>
      </c>
      <c r="M95" s="2" t="s">
        <v>38</v>
      </c>
      <c r="N95" s="2" t="s">
        <v>38</v>
      </c>
      <c r="O95" s="2" t="s">
        <v>39</v>
      </c>
      <c r="P95" s="2" t="s">
        <v>40</v>
      </c>
      <c r="Q95" s="4">
        <v>1695</v>
      </c>
      <c r="R95" s="5">
        <v>1241839.21</v>
      </c>
      <c r="S95" s="2" t="s">
        <v>41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3">
        <v>47271</v>
      </c>
      <c r="AE95" s="3">
        <v>46906</v>
      </c>
      <c r="AF95" s="2" t="s">
        <v>38</v>
      </c>
      <c r="AG95" s="2" t="s">
        <v>38</v>
      </c>
      <c r="AH95" s="4">
        <f>DataTable[[#This Row],[Unrestricted]]+DataTable[[#This Row],[Transit &amp; transfer]]+DataTable[[#This Row],[In Quality Insp.]]+DataTable[[#This Row],[Restricted Use Stock]]+DataTable[[#This Row],[Blocked]]</f>
        <v>1695</v>
      </c>
    </row>
    <row r="96" spans="1:34" x14ac:dyDescent="0.35">
      <c r="A96" s="2" t="s">
        <v>255</v>
      </c>
      <c r="B96" s="2" t="s">
        <v>262</v>
      </c>
      <c r="C96" s="2" t="s">
        <v>35</v>
      </c>
      <c r="D96" s="2" t="s">
        <v>36</v>
      </c>
      <c r="E96" s="2" t="s">
        <v>263</v>
      </c>
      <c r="F96" s="3">
        <v>46175</v>
      </c>
      <c r="G96" s="3">
        <v>46203</v>
      </c>
      <c r="H96" s="3">
        <v>46203</v>
      </c>
      <c r="I96" s="3">
        <v>46540</v>
      </c>
      <c r="J96" s="3">
        <v>46175</v>
      </c>
      <c r="K96" s="3">
        <v>46906</v>
      </c>
      <c r="L96" s="3">
        <v>46906</v>
      </c>
      <c r="M96" s="2" t="s">
        <v>38</v>
      </c>
      <c r="N96" s="2" t="s">
        <v>38</v>
      </c>
      <c r="O96" s="2" t="s">
        <v>39</v>
      </c>
      <c r="P96" s="2" t="s">
        <v>40</v>
      </c>
      <c r="Q96" s="4">
        <v>1925</v>
      </c>
      <c r="R96" s="5">
        <v>1410348.36</v>
      </c>
      <c r="S96" s="2" t="s">
        <v>41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3">
        <v>47271</v>
      </c>
      <c r="AE96" s="3">
        <v>46906</v>
      </c>
      <c r="AF96" s="2" t="s">
        <v>38</v>
      </c>
      <c r="AG96" s="2" t="s">
        <v>38</v>
      </c>
      <c r="AH96" s="4">
        <f>DataTable[[#This Row],[Unrestricted]]+DataTable[[#This Row],[Transit &amp; transfer]]+DataTable[[#This Row],[In Quality Insp.]]+DataTable[[#This Row],[Restricted Use Stock]]+DataTable[[#This Row],[Blocked]]</f>
        <v>1925</v>
      </c>
    </row>
    <row r="97" spans="1:34" x14ac:dyDescent="0.35">
      <c r="A97" s="2" t="s">
        <v>264</v>
      </c>
      <c r="B97" s="2" t="s">
        <v>265</v>
      </c>
      <c r="C97" s="2" t="s">
        <v>35</v>
      </c>
      <c r="D97" s="2" t="s">
        <v>36</v>
      </c>
      <c r="E97" s="2" t="s">
        <v>266</v>
      </c>
      <c r="F97" s="3">
        <v>46111</v>
      </c>
      <c r="G97" s="3">
        <v>46112</v>
      </c>
      <c r="H97" s="3">
        <v>46112</v>
      </c>
      <c r="I97" s="3">
        <v>46476</v>
      </c>
      <c r="J97" s="3">
        <v>46111</v>
      </c>
      <c r="K97" s="3">
        <v>46842</v>
      </c>
      <c r="L97" s="3">
        <v>46842</v>
      </c>
      <c r="M97" s="2" t="s">
        <v>38</v>
      </c>
      <c r="N97" s="2" t="s">
        <v>38</v>
      </c>
      <c r="O97" s="2" t="s">
        <v>39</v>
      </c>
      <c r="P97" s="2" t="s">
        <v>40</v>
      </c>
      <c r="Q97" s="4">
        <v>392.5</v>
      </c>
      <c r="R97" s="5">
        <v>345897.69</v>
      </c>
      <c r="S97" s="2" t="s">
        <v>41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3">
        <v>47207</v>
      </c>
      <c r="AE97" s="3">
        <v>46842</v>
      </c>
      <c r="AF97" s="2" t="s">
        <v>38</v>
      </c>
      <c r="AG97" s="2" t="s">
        <v>38</v>
      </c>
      <c r="AH97" s="4">
        <f>DataTable[[#This Row],[Unrestricted]]+DataTable[[#This Row],[Transit &amp; transfer]]+DataTable[[#This Row],[In Quality Insp.]]+DataTable[[#This Row],[Restricted Use Stock]]+DataTable[[#This Row],[Blocked]]</f>
        <v>392.5</v>
      </c>
    </row>
    <row r="98" spans="1:34" x14ac:dyDescent="0.35">
      <c r="A98" s="2" t="s">
        <v>264</v>
      </c>
      <c r="B98" s="2" t="s">
        <v>267</v>
      </c>
      <c r="C98" s="2" t="s">
        <v>35</v>
      </c>
      <c r="D98" s="2" t="s">
        <v>36</v>
      </c>
      <c r="E98" s="2" t="s">
        <v>268</v>
      </c>
      <c r="F98" s="3">
        <v>46149</v>
      </c>
      <c r="G98" s="3">
        <v>46160</v>
      </c>
      <c r="H98" s="3">
        <v>46160</v>
      </c>
      <c r="I98" s="3">
        <v>46524</v>
      </c>
      <c r="J98" s="3">
        <v>46149</v>
      </c>
      <c r="K98" s="3">
        <v>46880</v>
      </c>
      <c r="L98" s="3">
        <v>46880</v>
      </c>
      <c r="M98" s="2" t="s">
        <v>38</v>
      </c>
      <c r="N98" s="2" t="s">
        <v>38</v>
      </c>
      <c r="O98" s="2" t="s">
        <v>39</v>
      </c>
      <c r="P98" s="2" t="s">
        <v>40</v>
      </c>
      <c r="Q98" s="4">
        <v>1375</v>
      </c>
      <c r="R98" s="5">
        <v>1211743.52</v>
      </c>
      <c r="S98" s="2" t="s">
        <v>41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3">
        <v>47245</v>
      </c>
      <c r="AE98" s="3">
        <v>46880</v>
      </c>
      <c r="AF98" s="2" t="s">
        <v>38</v>
      </c>
      <c r="AG98" s="2" t="s">
        <v>38</v>
      </c>
      <c r="AH98" s="4">
        <f>DataTable[[#This Row],[Unrestricted]]+DataTable[[#This Row],[Transit &amp; transfer]]+DataTable[[#This Row],[In Quality Insp.]]+DataTable[[#This Row],[Restricted Use Stock]]+DataTable[[#This Row],[Blocked]]</f>
        <v>1375</v>
      </c>
    </row>
    <row r="99" spans="1:34" x14ac:dyDescent="0.35">
      <c r="A99" s="2" t="s">
        <v>269</v>
      </c>
      <c r="B99" s="2" t="s">
        <v>270</v>
      </c>
      <c r="C99" s="2" t="s">
        <v>35</v>
      </c>
      <c r="D99" s="2" t="s">
        <v>36</v>
      </c>
      <c r="E99" s="2" t="s">
        <v>271</v>
      </c>
      <c r="F99" s="3">
        <v>45902</v>
      </c>
      <c r="G99" s="3">
        <v>45924</v>
      </c>
      <c r="H99" s="3">
        <v>45928</v>
      </c>
      <c r="I99" s="3">
        <v>46358</v>
      </c>
      <c r="J99" s="3">
        <v>45902</v>
      </c>
      <c r="K99" s="3">
        <v>46632</v>
      </c>
      <c r="L99" s="3">
        <v>46632</v>
      </c>
      <c r="M99" s="2" t="s">
        <v>38</v>
      </c>
      <c r="N99" s="2" t="s">
        <v>38</v>
      </c>
      <c r="O99" s="2" t="s">
        <v>39</v>
      </c>
      <c r="P99" s="2" t="s">
        <v>40</v>
      </c>
      <c r="Q99" s="4">
        <v>2012</v>
      </c>
      <c r="R99" s="5">
        <v>3840605.67</v>
      </c>
      <c r="S99" s="2" t="s">
        <v>41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3">
        <v>46998</v>
      </c>
      <c r="AE99" s="3">
        <v>45902</v>
      </c>
      <c r="AF99" s="2" t="s">
        <v>38</v>
      </c>
      <c r="AG99" s="2" t="s">
        <v>38</v>
      </c>
      <c r="AH99" s="4">
        <f>DataTable[[#This Row],[Unrestricted]]+DataTable[[#This Row],[Transit &amp; transfer]]+DataTable[[#This Row],[In Quality Insp.]]+DataTable[[#This Row],[Restricted Use Stock]]+DataTable[[#This Row],[Blocked]]</f>
        <v>2012</v>
      </c>
    </row>
    <row r="100" spans="1:34" x14ac:dyDescent="0.35">
      <c r="A100" s="2" t="s">
        <v>272</v>
      </c>
      <c r="B100" s="2" t="s">
        <v>273</v>
      </c>
      <c r="C100" s="2" t="s">
        <v>35</v>
      </c>
      <c r="D100" s="2" t="s">
        <v>36</v>
      </c>
      <c r="E100" s="2" t="s">
        <v>274</v>
      </c>
      <c r="F100" s="3">
        <v>46051</v>
      </c>
      <c r="G100" s="3">
        <v>46080</v>
      </c>
      <c r="H100" s="3">
        <v>46081</v>
      </c>
      <c r="I100" s="3">
        <v>46507</v>
      </c>
      <c r="J100" s="3">
        <v>46051</v>
      </c>
      <c r="K100" s="3">
        <v>46781</v>
      </c>
      <c r="L100" s="3">
        <v>46781</v>
      </c>
      <c r="M100" s="2" t="s">
        <v>38</v>
      </c>
      <c r="N100" s="2" t="s">
        <v>38</v>
      </c>
      <c r="O100" s="2" t="s">
        <v>39</v>
      </c>
      <c r="P100" s="2" t="s">
        <v>40</v>
      </c>
      <c r="Q100" s="4">
        <v>8</v>
      </c>
      <c r="R100" s="5">
        <v>15898.81</v>
      </c>
      <c r="S100" s="2" t="s">
        <v>41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3">
        <v>47147</v>
      </c>
      <c r="AE100" s="3">
        <v>46051</v>
      </c>
      <c r="AF100" s="2" t="s">
        <v>38</v>
      </c>
      <c r="AG100" s="2" t="s">
        <v>38</v>
      </c>
      <c r="AH100" s="4">
        <f>DataTable[[#This Row],[Unrestricted]]+DataTable[[#This Row],[Transit &amp; transfer]]+DataTable[[#This Row],[In Quality Insp.]]+DataTable[[#This Row],[Restricted Use Stock]]+DataTable[[#This Row],[Blocked]]</f>
        <v>8</v>
      </c>
    </row>
    <row r="101" spans="1:34" x14ac:dyDescent="0.35">
      <c r="A101" s="2" t="s">
        <v>272</v>
      </c>
      <c r="B101" s="2" t="s">
        <v>275</v>
      </c>
      <c r="C101" s="2" t="s">
        <v>35</v>
      </c>
      <c r="D101" s="2" t="s">
        <v>36</v>
      </c>
      <c r="E101" s="2" t="s">
        <v>276</v>
      </c>
      <c r="F101" s="3">
        <v>46051</v>
      </c>
      <c r="G101" s="3">
        <v>46080</v>
      </c>
      <c r="H101" s="3">
        <v>46081</v>
      </c>
      <c r="I101" s="3">
        <v>46507</v>
      </c>
      <c r="J101" s="3">
        <v>46051</v>
      </c>
      <c r="K101" s="3">
        <v>46781</v>
      </c>
      <c r="L101" s="3">
        <v>46781</v>
      </c>
      <c r="M101" s="2" t="s">
        <v>38</v>
      </c>
      <c r="N101" s="2" t="s">
        <v>38</v>
      </c>
      <c r="O101" s="2" t="s">
        <v>39</v>
      </c>
      <c r="P101" s="2" t="s">
        <v>40</v>
      </c>
      <c r="Q101" s="4">
        <v>424</v>
      </c>
      <c r="R101" s="5">
        <v>842637.15</v>
      </c>
      <c r="S101" s="2" t="s">
        <v>41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3">
        <v>47147</v>
      </c>
      <c r="AE101" s="3">
        <v>46051</v>
      </c>
      <c r="AF101" s="2" t="s">
        <v>38</v>
      </c>
      <c r="AG101" s="2" t="s">
        <v>38</v>
      </c>
      <c r="AH101" s="4">
        <f>DataTable[[#This Row],[Unrestricted]]+DataTable[[#This Row],[Transit &amp; transfer]]+DataTable[[#This Row],[In Quality Insp.]]+DataTable[[#This Row],[Restricted Use Stock]]+DataTable[[#This Row],[Blocked]]</f>
        <v>424</v>
      </c>
    </row>
    <row r="102" spans="1:34" x14ac:dyDescent="0.35">
      <c r="A102" s="2" t="s">
        <v>277</v>
      </c>
      <c r="B102" s="2" t="s">
        <v>278</v>
      </c>
      <c r="C102" s="2" t="s">
        <v>35</v>
      </c>
      <c r="D102" s="2" t="s">
        <v>36</v>
      </c>
      <c r="E102" s="2" t="s">
        <v>279</v>
      </c>
      <c r="F102" s="3">
        <v>46043</v>
      </c>
      <c r="G102" s="3">
        <v>46063</v>
      </c>
      <c r="H102" s="3">
        <v>46067</v>
      </c>
      <c r="I102" s="3">
        <v>46499</v>
      </c>
      <c r="J102" s="3">
        <v>46043</v>
      </c>
      <c r="K102" s="3">
        <v>46773</v>
      </c>
      <c r="L102" s="3">
        <v>46773</v>
      </c>
      <c r="M102" s="2" t="s">
        <v>38</v>
      </c>
      <c r="N102" s="2" t="s">
        <v>38</v>
      </c>
      <c r="O102" s="2" t="s">
        <v>39</v>
      </c>
      <c r="P102" s="2" t="s">
        <v>40</v>
      </c>
      <c r="Q102" s="4">
        <v>360</v>
      </c>
      <c r="R102" s="5">
        <v>581473.13</v>
      </c>
      <c r="S102" s="2" t="s">
        <v>41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3">
        <v>47139</v>
      </c>
      <c r="AE102" s="3">
        <v>46043</v>
      </c>
      <c r="AF102" s="2" t="s">
        <v>38</v>
      </c>
      <c r="AG102" s="2" t="s">
        <v>38</v>
      </c>
      <c r="AH102" s="4">
        <f>DataTable[[#This Row],[Unrestricted]]+DataTable[[#This Row],[Transit &amp; transfer]]+DataTable[[#This Row],[In Quality Insp.]]+DataTable[[#This Row],[Restricted Use Stock]]+DataTable[[#This Row],[Blocked]]</f>
        <v>360</v>
      </c>
    </row>
    <row r="103" spans="1:34" x14ac:dyDescent="0.35">
      <c r="A103" s="2" t="s">
        <v>277</v>
      </c>
      <c r="B103" s="2" t="s">
        <v>280</v>
      </c>
      <c r="C103" s="2" t="s">
        <v>35</v>
      </c>
      <c r="D103" s="2" t="s">
        <v>36</v>
      </c>
      <c r="E103" s="2" t="s">
        <v>281</v>
      </c>
      <c r="F103" s="3">
        <v>46043</v>
      </c>
      <c r="G103" s="3">
        <v>46063</v>
      </c>
      <c r="H103" s="3">
        <v>46067</v>
      </c>
      <c r="I103" s="3">
        <v>46499</v>
      </c>
      <c r="J103" s="3">
        <v>46043</v>
      </c>
      <c r="K103" s="3">
        <v>46773</v>
      </c>
      <c r="L103" s="3">
        <v>46773</v>
      </c>
      <c r="M103" s="2" t="s">
        <v>38</v>
      </c>
      <c r="N103" s="2" t="s">
        <v>38</v>
      </c>
      <c r="O103" s="2" t="s">
        <v>39</v>
      </c>
      <c r="P103" s="2" t="s">
        <v>40</v>
      </c>
      <c r="Q103" s="4">
        <v>2000</v>
      </c>
      <c r="R103" s="5">
        <v>3230406.29</v>
      </c>
      <c r="S103" s="2" t="s">
        <v>41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3">
        <v>47139</v>
      </c>
      <c r="AE103" s="3">
        <v>46043</v>
      </c>
      <c r="AF103" s="2" t="s">
        <v>38</v>
      </c>
      <c r="AG103" s="2" t="s">
        <v>38</v>
      </c>
      <c r="AH103" s="4">
        <f>DataTable[[#This Row],[Unrestricted]]+DataTable[[#This Row],[Transit &amp; transfer]]+DataTable[[#This Row],[In Quality Insp.]]+DataTable[[#This Row],[Restricted Use Stock]]+DataTable[[#This Row],[Blocked]]</f>
        <v>2000</v>
      </c>
    </row>
    <row r="104" spans="1:34" x14ac:dyDescent="0.35">
      <c r="A104" s="2" t="s">
        <v>282</v>
      </c>
      <c r="B104" s="2" t="s">
        <v>283</v>
      </c>
      <c r="C104" s="2" t="s">
        <v>35</v>
      </c>
      <c r="D104" s="2" t="s">
        <v>36</v>
      </c>
      <c r="E104" s="2" t="s">
        <v>284</v>
      </c>
      <c r="F104" s="3">
        <v>46132</v>
      </c>
      <c r="G104" s="3">
        <v>46142</v>
      </c>
      <c r="H104" s="3">
        <v>46142</v>
      </c>
      <c r="I104" s="3">
        <v>46953</v>
      </c>
      <c r="J104" s="3">
        <v>46132</v>
      </c>
      <c r="K104" s="3">
        <v>46863</v>
      </c>
      <c r="L104" s="3">
        <v>47228</v>
      </c>
      <c r="M104" s="2" t="s">
        <v>38</v>
      </c>
      <c r="N104" s="2" t="s">
        <v>38</v>
      </c>
      <c r="O104" s="2" t="s">
        <v>39</v>
      </c>
      <c r="P104" s="2" t="s">
        <v>40</v>
      </c>
      <c r="Q104" s="4">
        <v>30</v>
      </c>
      <c r="R104" s="5">
        <v>74919.67</v>
      </c>
      <c r="S104" s="2" t="s">
        <v>41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3">
        <v>47593</v>
      </c>
      <c r="AE104" s="3">
        <v>46863</v>
      </c>
      <c r="AF104" s="2" t="s">
        <v>38</v>
      </c>
      <c r="AG104" s="2" t="s">
        <v>38</v>
      </c>
      <c r="AH104" s="4">
        <f>DataTable[[#This Row],[Unrestricted]]+DataTable[[#This Row],[Transit &amp; transfer]]+DataTable[[#This Row],[In Quality Insp.]]+DataTable[[#This Row],[Restricted Use Stock]]+DataTable[[#This Row],[Blocked]]</f>
        <v>30</v>
      </c>
    </row>
    <row r="105" spans="1:34" x14ac:dyDescent="0.35">
      <c r="A105" s="2" t="s">
        <v>285</v>
      </c>
      <c r="B105" s="2" t="s">
        <v>286</v>
      </c>
      <c r="C105" s="2" t="s">
        <v>35</v>
      </c>
      <c r="D105" s="2" t="s">
        <v>36</v>
      </c>
      <c r="E105" s="2" t="s">
        <v>287</v>
      </c>
      <c r="F105" s="3">
        <v>46008</v>
      </c>
      <c r="G105" s="3">
        <v>46084</v>
      </c>
      <c r="H105" s="3">
        <v>46084</v>
      </c>
      <c r="I105" s="3">
        <v>46464</v>
      </c>
      <c r="J105" s="3">
        <v>46008</v>
      </c>
      <c r="K105" s="3">
        <v>46738</v>
      </c>
      <c r="L105" s="3">
        <v>47104</v>
      </c>
      <c r="M105" s="2" t="s">
        <v>38</v>
      </c>
      <c r="N105" s="2" t="s">
        <v>38</v>
      </c>
      <c r="O105" s="2" t="s">
        <v>39</v>
      </c>
      <c r="P105" s="2" t="s">
        <v>89</v>
      </c>
      <c r="Q105" s="4">
        <v>4180</v>
      </c>
      <c r="R105" s="5">
        <v>2994333.18</v>
      </c>
      <c r="S105" s="2" t="s">
        <v>41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3">
        <v>47104</v>
      </c>
      <c r="AE105" s="3">
        <v>46738</v>
      </c>
      <c r="AF105" s="2" t="s">
        <v>38</v>
      </c>
      <c r="AG105" s="2" t="s">
        <v>38</v>
      </c>
      <c r="AH105" s="4">
        <f>DataTable[[#This Row],[Unrestricted]]+DataTable[[#This Row],[Transit &amp; transfer]]+DataTable[[#This Row],[In Quality Insp.]]+DataTable[[#This Row],[Restricted Use Stock]]+DataTable[[#This Row],[Blocked]]</f>
        <v>4180</v>
      </c>
    </row>
    <row r="106" spans="1:34" x14ac:dyDescent="0.35">
      <c r="A106" s="2" t="s">
        <v>288</v>
      </c>
      <c r="B106" s="2" t="s">
        <v>289</v>
      </c>
      <c r="C106" s="2" t="s">
        <v>35</v>
      </c>
      <c r="D106" s="2" t="s">
        <v>36</v>
      </c>
      <c r="E106" s="2" t="s">
        <v>290</v>
      </c>
      <c r="F106" s="3">
        <v>46057</v>
      </c>
      <c r="G106" s="3">
        <v>46110</v>
      </c>
      <c r="H106" s="3">
        <v>46111</v>
      </c>
      <c r="I106" s="3">
        <v>46513</v>
      </c>
      <c r="J106" s="3">
        <v>46057</v>
      </c>
      <c r="K106" s="3">
        <v>46787</v>
      </c>
      <c r="L106" s="3">
        <v>47153</v>
      </c>
      <c r="M106" s="2" t="s">
        <v>38</v>
      </c>
      <c r="N106" s="2" t="s">
        <v>38</v>
      </c>
      <c r="O106" s="2" t="s">
        <v>39</v>
      </c>
      <c r="P106" s="2" t="s">
        <v>89</v>
      </c>
      <c r="Q106" s="4">
        <v>220</v>
      </c>
      <c r="R106" s="5">
        <v>210169.67</v>
      </c>
      <c r="S106" s="2" t="s">
        <v>41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3">
        <v>47153</v>
      </c>
      <c r="AE106" s="3">
        <v>46787</v>
      </c>
      <c r="AF106" s="2" t="s">
        <v>38</v>
      </c>
      <c r="AG106" s="2" t="s">
        <v>38</v>
      </c>
      <c r="AH106" s="4">
        <f>DataTable[[#This Row],[Unrestricted]]+DataTable[[#This Row],[Transit &amp; transfer]]+DataTable[[#This Row],[In Quality Insp.]]+DataTable[[#This Row],[Restricted Use Stock]]+DataTable[[#This Row],[Blocked]]</f>
        <v>220</v>
      </c>
    </row>
    <row r="107" spans="1:34" x14ac:dyDescent="0.35">
      <c r="A107" s="2" t="s">
        <v>291</v>
      </c>
      <c r="B107" s="2" t="s">
        <v>292</v>
      </c>
      <c r="C107" s="2" t="s">
        <v>35</v>
      </c>
      <c r="D107" s="2" t="s">
        <v>36</v>
      </c>
      <c r="E107" s="2" t="s">
        <v>293</v>
      </c>
      <c r="F107" s="3">
        <v>46134</v>
      </c>
      <c r="G107" s="3">
        <v>46165</v>
      </c>
      <c r="H107" s="3">
        <v>46166</v>
      </c>
      <c r="I107" s="3">
        <v>46314</v>
      </c>
      <c r="J107" s="3">
        <v>46134</v>
      </c>
      <c r="K107" s="3">
        <v>46865</v>
      </c>
      <c r="L107" s="3">
        <v>46499</v>
      </c>
      <c r="M107" s="2" t="s">
        <v>38</v>
      </c>
      <c r="N107" s="2" t="s">
        <v>38</v>
      </c>
      <c r="O107" s="2" t="s">
        <v>39</v>
      </c>
      <c r="P107" s="2" t="s">
        <v>89</v>
      </c>
      <c r="Q107" s="4">
        <v>8000</v>
      </c>
      <c r="R107" s="5">
        <v>4541082.63</v>
      </c>
      <c r="S107" s="2" t="s">
        <v>41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3">
        <v>46499</v>
      </c>
      <c r="AE107" s="3">
        <v>46865</v>
      </c>
      <c r="AF107" s="2" t="s">
        <v>38</v>
      </c>
      <c r="AG107" s="2" t="s">
        <v>38</v>
      </c>
      <c r="AH107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08" spans="1:34" x14ac:dyDescent="0.35">
      <c r="A108" s="2" t="s">
        <v>294</v>
      </c>
      <c r="B108" s="2" t="s">
        <v>295</v>
      </c>
      <c r="C108" s="2" t="s">
        <v>35</v>
      </c>
      <c r="D108" s="2" t="s">
        <v>36</v>
      </c>
      <c r="E108" s="2" t="s">
        <v>296</v>
      </c>
      <c r="F108" s="3">
        <v>46186</v>
      </c>
      <c r="G108" s="3">
        <v>46203</v>
      </c>
      <c r="H108" s="3">
        <v>46203</v>
      </c>
      <c r="I108" s="3">
        <v>47372</v>
      </c>
      <c r="J108" s="3">
        <v>46186</v>
      </c>
      <c r="K108" s="3">
        <v>46917</v>
      </c>
      <c r="L108" s="3">
        <v>47282</v>
      </c>
      <c r="M108" s="2" t="s">
        <v>38</v>
      </c>
      <c r="N108" s="2" t="s">
        <v>38</v>
      </c>
      <c r="O108" s="2" t="s">
        <v>39</v>
      </c>
      <c r="P108" s="2" t="s">
        <v>40</v>
      </c>
      <c r="Q108" s="4">
        <v>627</v>
      </c>
      <c r="R108" s="5">
        <v>792027.97</v>
      </c>
      <c r="S108" s="2" t="s">
        <v>41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3">
        <v>48012</v>
      </c>
      <c r="AE108" s="3">
        <v>46917</v>
      </c>
      <c r="AF108" s="2" t="s">
        <v>38</v>
      </c>
      <c r="AG108" s="2" t="s">
        <v>38</v>
      </c>
      <c r="AH108" s="4">
        <f>DataTable[[#This Row],[Unrestricted]]+DataTable[[#This Row],[Transit &amp; transfer]]+DataTable[[#This Row],[In Quality Insp.]]+DataTable[[#This Row],[Restricted Use Stock]]+DataTable[[#This Row],[Blocked]]</f>
        <v>627</v>
      </c>
    </row>
    <row r="109" spans="1:34" x14ac:dyDescent="0.35">
      <c r="A109" s="2" t="s">
        <v>297</v>
      </c>
      <c r="B109" s="2" t="s">
        <v>298</v>
      </c>
      <c r="C109" s="2" t="s">
        <v>35</v>
      </c>
      <c r="D109" s="2" t="s">
        <v>36</v>
      </c>
      <c r="E109" s="2" t="s">
        <v>299</v>
      </c>
      <c r="F109" s="3">
        <v>46187</v>
      </c>
      <c r="G109" s="3">
        <v>46187</v>
      </c>
      <c r="H109" s="3">
        <v>46187</v>
      </c>
      <c r="I109" s="3">
        <v>47373</v>
      </c>
      <c r="J109" s="3">
        <v>46187</v>
      </c>
      <c r="K109" s="3">
        <v>46918</v>
      </c>
      <c r="L109" s="3">
        <v>47283</v>
      </c>
      <c r="M109" s="2" t="s">
        <v>38</v>
      </c>
      <c r="N109" s="2" t="s">
        <v>38</v>
      </c>
      <c r="O109" s="2" t="s">
        <v>39</v>
      </c>
      <c r="P109" s="2" t="s">
        <v>40</v>
      </c>
      <c r="Q109" s="4">
        <v>254</v>
      </c>
      <c r="R109" s="5">
        <v>283086.40999999997</v>
      </c>
      <c r="S109" s="2" t="s">
        <v>41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3">
        <v>48013</v>
      </c>
      <c r="AE109" s="3">
        <v>46918</v>
      </c>
      <c r="AF109" s="2" t="s">
        <v>38</v>
      </c>
      <c r="AG109" s="2" t="s">
        <v>38</v>
      </c>
      <c r="AH109" s="4">
        <f>DataTable[[#This Row],[Unrestricted]]+DataTable[[#This Row],[Transit &amp; transfer]]+DataTable[[#This Row],[In Quality Insp.]]+DataTable[[#This Row],[Restricted Use Stock]]+DataTable[[#This Row],[Blocked]]</f>
        <v>254</v>
      </c>
    </row>
    <row r="110" spans="1:34" x14ac:dyDescent="0.35">
      <c r="A110" s="2" t="s">
        <v>297</v>
      </c>
      <c r="B110" s="2" t="s">
        <v>300</v>
      </c>
      <c r="C110" s="2" t="s">
        <v>35</v>
      </c>
      <c r="D110" s="2" t="s">
        <v>36</v>
      </c>
      <c r="E110" s="2" t="s">
        <v>301</v>
      </c>
      <c r="F110" s="3">
        <v>46187</v>
      </c>
      <c r="G110" s="3">
        <v>46187</v>
      </c>
      <c r="H110" s="3">
        <v>46187</v>
      </c>
      <c r="I110" s="3">
        <v>47373</v>
      </c>
      <c r="J110" s="3">
        <v>46187</v>
      </c>
      <c r="K110" s="3">
        <v>46918</v>
      </c>
      <c r="L110" s="3">
        <v>47283</v>
      </c>
      <c r="M110" s="2" t="s">
        <v>38</v>
      </c>
      <c r="N110" s="2" t="s">
        <v>38</v>
      </c>
      <c r="O110" s="2" t="s">
        <v>39</v>
      </c>
      <c r="P110" s="2" t="s">
        <v>40</v>
      </c>
      <c r="Q110" s="4">
        <v>528</v>
      </c>
      <c r="R110" s="5">
        <v>588463.09</v>
      </c>
      <c r="S110" s="2" t="s">
        <v>41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3">
        <v>48013</v>
      </c>
      <c r="AE110" s="3">
        <v>46918</v>
      </c>
      <c r="AF110" s="2" t="s">
        <v>38</v>
      </c>
      <c r="AG110" s="2" t="s">
        <v>38</v>
      </c>
      <c r="AH110" s="4">
        <f>DataTable[[#This Row],[Unrestricted]]+DataTable[[#This Row],[Transit &amp; transfer]]+DataTable[[#This Row],[In Quality Insp.]]+DataTable[[#This Row],[Restricted Use Stock]]+DataTable[[#This Row],[Blocked]]</f>
        <v>528</v>
      </c>
    </row>
    <row r="111" spans="1:34" x14ac:dyDescent="0.35">
      <c r="A111" s="2" t="s">
        <v>297</v>
      </c>
      <c r="B111" s="2" t="s">
        <v>302</v>
      </c>
      <c r="C111" s="2" t="s">
        <v>35</v>
      </c>
      <c r="D111" s="2" t="s">
        <v>36</v>
      </c>
      <c r="E111" s="2" t="s">
        <v>303</v>
      </c>
      <c r="F111" s="3">
        <v>46188</v>
      </c>
      <c r="G111" s="3">
        <v>46203</v>
      </c>
      <c r="H111" s="3">
        <v>46203</v>
      </c>
      <c r="I111" s="3">
        <v>47374</v>
      </c>
      <c r="J111" s="3">
        <v>46188</v>
      </c>
      <c r="K111" s="3">
        <v>46919</v>
      </c>
      <c r="L111" s="3">
        <v>47284</v>
      </c>
      <c r="M111" s="2" t="s">
        <v>38</v>
      </c>
      <c r="N111" s="2" t="s">
        <v>38</v>
      </c>
      <c r="O111" s="2" t="s">
        <v>39</v>
      </c>
      <c r="P111" s="2" t="s">
        <v>40</v>
      </c>
      <c r="Q111" s="4">
        <v>720</v>
      </c>
      <c r="R111" s="5">
        <v>802449.66</v>
      </c>
      <c r="S111" s="2" t="s">
        <v>41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3">
        <v>48014</v>
      </c>
      <c r="AE111" s="3">
        <v>46919</v>
      </c>
      <c r="AF111" s="2" t="s">
        <v>38</v>
      </c>
      <c r="AG111" s="2" t="s">
        <v>38</v>
      </c>
      <c r="AH111" s="4">
        <f>DataTable[[#This Row],[Unrestricted]]+DataTable[[#This Row],[Transit &amp; transfer]]+DataTable[[#This Row],[In Quality Insp.]]+DataTable[[#This Row],[Restricted Use Stock]]+DataTable[[#This Row],[Blocked]]</f>
        <v>720</v>
      </c>
    </row>
    <row r="112" spans="1:34" x14ac:dyDescent="0.35">
      <c r="A112" s="2" t="s">
        <v>304</v>
      </c>
      <c r="B112" s="2" t="s">
        <v>305</v>
      </c>
      <c r="C112" s="2" t="s">
        <v>35</v>
      </c>
      <c r="D112" s="2" t="s">
        <v>36</v>
      </c>
      <c r="E112" s="2" t="s">
        <v>306</v>
      </c>
      <c r="F112" s="3">
        <v>46117</v>
      </c>
      <c r="G112" s="3">
        <v>46117</v>
      </c>
      <c r="H112" s="3">
        <v>46118</v>
      </c>
      <c r="I112" s="3">
        <v>47303</v>
      </c>
      <c r="J112" s="3">
        <v>46117</v>
      </c>
      <c r="K112" s="3">
        <v>46848</v>
      </c>
      <c r="L112" s="3">
        <v>47213</v>
      </c>
      <c r="M112" s="2" t="s">
        <v>38</v>
      </c>
      <c r="N112" s="2" t="s">
        <v>38</v>
      </c>
      <c r="O112" s="2" t="s">
        <v>39</v>
      </c>
      <c r="P112" s="2" t="s">
        <v>40</v>
      </c>
      <c r="Q112" s="4">
        <v>850</v>
      </c>
      <c r="R112" s="5">
        <v>864099.79</v>
      </c>
      <c r="S112" s="2" t="s">
        <v>41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3">
        <v>47943</v>
      </c>
      <c r="AE112" s="3">
        <v>46848</v>
      </c>
      <c r="AF112" s="2" t="s">
        <v>38</v>
      </c>
      <c r="AG112" s="2" t="s">
        <v>38</v>
      </c>
      <c r="AH112" s="4">
        <f>DataTable[[#This Row],[Unrestricted]]+DataTable[[#This Row],[Transit &amp; transfer]]+DataTable[[#This Row],[In Quality Insp.]]+DataTable[[#This Row],[Restricted Use Stock]]+DataTable[[#This Row],[Blocked]]</f>
        <v>850</v>
      </c>
    </row>
    <row r="113" spans="1:34" x14ac:dyDescent="0.35">
      <c r="A113" s="2" t="s">
        <v>307</v>
      </c>
      <c r="B113" s="2" t="s">
        <v>308</v>
      </c>
      <c r="C113" s="2" t="s">
        <v>35</v>
      </c>
      <c r="D113" s="2" t="s">
        <v>36</v>
      </c>
      <c r="E113" s="2" t="s">
        <v>309</v>
      </c>
      <c r="F113" s="3">
        <v>46073</v>
      </c>
      <c r="G113" s="3">
        <v>46139</v>
      </c>
      <c r="H113" s="3">
        <v>46188</v>
      </c>
      <c r="I113" s="3">
        <v>46920</v>
      </c>
      <c r="J113" s="3">
        <v>46073</v>
      </c>
      <c r="K113" s="3">
        <v>46802</v>
      </c>
      <c r="L113" s="3">
        <v>47169</v>
      </c>
      <c r="M113" s="2" t="s">
        <v>38</v>
      </c>
      <c r="N113" s="2" t="s">
        <v>38</v>
      </c>
      <c r="O113" s="2" t="s">
        <v>39</v>
      </c>
      <c r="P113" s="2" t="s">
        <v>89</v>
      </c>
      <c r="Q113" s="4">
        <v>238</v>
      </c>
      <c r="R113" s="5">
        <v>1288558.78</v>
      </c>
      <c r="S113" s="2" t="s">
        <v>41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3">
        <v>47534</v>
      </c>
      <c r="AE113" s="3">
        <v>46802</v>
      </c>
      <c r="AF113" s="2" t="s">
        <v>38</v>
      </c>
      <c r="AG113" s="2" t="s">
        <v>38</v>
      </c>
      <c r="AH113" s="4">
        <f>DataTable[[#This Row],[Unrestricted]]+DataTable[[#This Row],[Transit &amp; transfer]]+DataTable[[#This Row],[In Quality Insp.]]+DataTable[[#This Row],[Restricted Use Stock]]+DataTable[[#This Row],[Blocked]]</f>
        <v>238</v>
      </c>
    </row>
    <row r="114" spans="1:34" x14ac:dyDescent="0.35">
      <c r="A114" s="2" t="s">
        <v>307</v>
      </c>
      <c r="B114" s="2" t="s">
        <v>310</v>
      </c>
      <c r="C114" s="2" t="s">
        <v>35</v>
      </c>
      <c r="D114" s="2" t="s">
        <v>36</v>
      </c>
      <c r="E114" s="2" t="s">
        <v>311</v>
      </c>
      <c r="F114" s="3">
        <v>46104</v>
      </c>
      <c r="G114" s="3">
        <v>46139</v>
      </c>
      <c r="H114" s="3">
        <v>46188</v>
      </c>
      <c r="I114" s="3">
        <v>46941</v>
      </c>
      <c r="J114" s="3">
        <v>46104</v>
      </c>
      <c r="K114" s="3">
        <v>46834</v>
      </c>
      <c r="L114" s="3">
        <v>47200</v>
      </c>
      <c r="M114" s="2" t="s">
        <v>38</v>
      </c>
      <c r="N114" s="2" t="s">
        <v>38</v>
      </c>
      <c r="O114" s="2" t="s">
        <v>39</v>
      </c>
      <c r="P114" s="2" t="s">
        <v>89</v>
      </c>
      <c r="Q114" s="4">
        <v>577</v>
      </c>
      <c r="R114" s="5">
        <v>3123942.93</v>
      </c>
      <c r="S114" s="2" t="s">
        <v>41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3">
        <v>47565</v>
      </c>
      <c r="AE114" s="3">
        <v>46834</v>
      </c>
      <c r="AF114" s="2" t="s">
        <v>38</v>
      </c>
      <c r="AG114" s="2" t="s">
        <v>38</v>
      </c>
      <c r="AH114" s="4">
        <f>DataTable[[#This Row],[Unrestricted]]+DataTable[[#This Row],[Transit &amp; transfer]]+DataTable[[#This Row],[In Quality Insp.]]+DataTable[[#This Row],[Restricted Use Stock]]+DataTable[[#This Row],[Blocked]]</f>
        <v>577</v>
      </c>
    </row>
    <row r="115" spans="1:34" x14ac:dyDescent="0.35">
      <c r="A115" s="2" t="s">
        <v>307</v>
      </c>
      <c r="B115" s="2" t="s">
        <v>312</v>
      </c>
      <c r="C115" s="2" t="s">
        <v>35</v>
      </c>
      <c r="D115" s="2" t="s">
        <v>36</v>
      </c>
      <c r="E115" s="2" t="s">
        <v>313</v>
      </c>
      <c r="F115" s="3">
        <v>46104</v>
      </c>
      <c r="G115" s="3">
        <v>46139</v>
      </c>
      <c r="H115" s="3">
        <v>46188</v>
      </c>
      <c r="I115" s="3">
        <v>46941</v>
      </c>
      <c r="J115" s="3">
        <v>46104</v>
      </c>
      <c r="K115" s="3">
        <v>46834</v>
      </c>
      <c r="L115" s="3">
        <v>47200</v>
      </c>
      <c r="M115" s="2" t="s">
        <v>38</v>
      </c>
      <c r="N115" s="2" t="s">
        <v>38</v>
      </c>
      <c r="O115" s="2" t="s">
        <v>39</v>
      </c>
      <c r="P115" s="2" t="s">
        <v>89</v>
      </c>
      <c r="Q115" s="4">
        <v>577</v>
      </c>
      <c r="R115" s="5">
        <v>3123942.93</v>
      </c>
      <c r="S115" s="2" t="s">
        <v>41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3">
        <v>47565</v>
      </c>
      <c r="AE115" s="3">
        <v>46834</v>
      </c>
      <c r="AF115" s="2" t="s">
        <v>38</v>
      </c>
      <c r="AG115" s="2" t="s">
        <v>38</v>
      </c>
      <c r="AH115" s="4">
        <f>DataTable[[#This Row],[Unrestricted]]+DataTable[[#This Row],[Transit &amp; transfer]]+DataTable[[#This Row],[In Quality Insp.]]+DataTable[[#This Row],[Restricted Use Stock]]+DataTable[[#This Row],[Blocked]]</f>
        <v>577</v>
      </c>
    </row>
    <row r="116" spans="1:34" x14ac:dyDescent="0.35">
      <c r="A116" s="2" t="s">
        <v>307</v>
      </c>
      <c r="B116" s="2" t="s">
        <v>314</v>
      </c>
      <c r="C116" s="2" t="s">
        <v>35</v>
      </c>
      <c r="D116" s="2" t="s">
        <v>36</v>
      </c>
      <c r="E116" s="2" t="s">
        <v>315</v>
      </c>
      <c r="F116" s="3">
        <v>46107</v>
      </c>
      <c r="G116" s="3">
        <v>46139</v>
      </c>
      <c r="H116" s="3">
        <v>46188</v>
      </c>
      <c r="I116" s="3">
        <v>46943</v>
      </c>
      <c r="J116" s="3">
        <v>46107</v>
      </c>
      <c r="K116" s="3">
        <v>46837</v>
      </c>
      <c r="L116" s="3">
        <v>47203</v>
      </c>
      <c r="M116" s="2" t="s">
        <v>38</v>
      </c>
      <c r="N116" s="2" t="s">
        <v>38</v>
      </c>
      <c r="O116" s="2" t="s">
        <v>39</v>
      </c>
      <c r="P116" s="2" t="s">
        <v>89</v>
      </c>
      <c r="Q116" s="4">
        <v>578</v>
      </c>
      <c r="R116" s="5">
        <v>3129357.04</v>
      </c>
      <c r="S116" s="2" t="s">
        <v>41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3">
        <v>47568</v>
      </c>
      <c r="AE116" s="3">
        <v>46837</v>
      </c>
      <c r="AF116" s="2" t="s">
        <v>38</v>
      </c>
      <c r="AG116" s="2" t="s">
        <v>38</v>
      </c>
      <c r="AH116" s="4">
        <f>DataTable[[#This Row],[Unrestricted]]+DataTable[[#This Row],[Transit &amp; transfer]]+DataTable[[#This Row],[In Quality Insp.]]+DataTable[[#This Row],[Restricted Use Stock]]+DataTable[[#This Row],[Blocked]]</f>
        <v>578</v>
      </c>
    </row>
    <row r="117" spans="1:34" x14ac:dyDescent="0.35">
      <c r="A117" s="2" t="s">
        <v>307</v>
      </c>
      <c r="B117" s="2" t="s">
        <v>316</v>
      </c>
      <c r="C117" s="2" t="s">
        <v>35</v>
      </c>
      <c r="D117" s="2" t="s">
        <v>36</v>
      </c>
      <c r="E117" s="2" t="s">
        <v>317</v>
      </c>
      <c r="F117" s="3">
        <v>46108</v>
      </c>
      <c r="G117" s="3">
        <v>46139</v>
      </c>
      <c r="H117" s="3">
        <v>46188</v>
      </c>
      <c r="I117" s="3">
        <v>46944</v>
      </c>
      <c r="J117" s="3">
        <v>46108</v>
      </c>
      <c r="K117" s="3">
        <v>46838</v>
      </c>
      <c r="L117" s="3">
        <v>47204</v>
      </c>
      <c r="M117" s="2" t="s">
        <v>38</v>
      </c>
      <c r="N117" s="2" t="s">
        <v>38</v>
      </c>
      <c r="O117" s="2" t="s">
        <v>39</v>
      </c>
      <c r="P117" s="2" t="s">
        <v>89</v>
      </c>
      <c r="Q117" s="4">
        <v>579</v>
      </c>
      <c r="R117" s="5">
        <v>3134771.16</v>
      </c>
      <c r="S117" s="2" t="s">
        <v>41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3">
        <v>47569</v>
      </c>
      <c r="AE117" s="3">
        <v>46838</v>
      </c>
      <c r="AF117" s="2" t="s">
        <v>38</v>
      </c>
      <c r="AG117" s="2" t="s">
        <v>38</v>
      </c>
      <c r="AH117" s="4">
        <f>DataTable[[#This Row],[Unrestricted]]+DataTable[[#This Row],[Transit &amp; transfer]]+DataTable[[#This Row],[In Quality Insp.]]+DataTable[[#This Row],[Restricted Use Stock]]+DataTable[[#This Row],[Blocked]]</f>
        <v>579</v>
      </c>
    </row>
    <row r="118" spans="1:34" x14ac:dyDescent="0.35">
      <c r="A118" s="2" t="s">
        <v>307</v>
      </c>
      <c r="B118" s="2" t="s">
        <v>318</v>
      </c>
      <c r="C118" s="2" t="s">
        <v>35</v>
      </c>
      <c r="D118" s="2" t="s">
        <v>36</v>
      </c>
      <c r="E118" s="2" t="s">
        <v>319</v>
      </c>
      <c r="F118" s="3">
        <v>46116</v>
      </c>
      <c r="G118" s="3">
        <v>46139</v>
      </c>
      <c r="H118" s="3">
        <v>46188</v>
      </c>
      <c r="I118" s="3">
        <v>46946</v>
      </c>
      <c r="J118" s="3">
        <v>46116</v>
      </c>
      <c r="K118" s="3">
        <v>46846</v>
      </c>
      <c r="L118" s="3">
        <v>47212</v>
      </c>
      <c r="M118" s="2" t="s">
        <v>38</v>
      </c>
      <c r="N118" s="2" t="s">
        <v>38</v>
      </c>
      <c r="O118" s="2" t="s">
        <v>39</v>
      </c>
      <c r="P118" s="2" t="s">
        <v>89</v>
      </c>
      <c r="Q118" s="4">
        <v>468</v>
      </c>
      <c r="R118" s="5">
        <v>2533804.67</v>
      </c>
      <c r="S118" s="2" t="s">
        <v>41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3">
        <v>47577</v>
      </c>
      <c r="AE118" s="3">
        <v>46846</v>
      </c>
      <c r="AF118" s="2" t="s">
        <v>38</v>
      </c>
      <c r="AG118" s="2" t="s">
        <v>38</v>
      </c>
      <c r="AH118" s="4">
        <f>DataTable[[#This Row],[Unrestricted]]+DataTable[[#This Row],[Transit &amp; transfer]]+DataTable[[#This Row],[In Quality Insp.]]+DataTable[[#This Row],[Restricted Use Stock]]+DataTable[[#This Row],[Blocked]]</f>
        <v>468</v>
      </c>
    </row>
    <row r="119" spans="1:34" x14ac:dyDescent="0.35">
      <c r="A119" s="2" t="s">
        <v>320</v>
      </c>
      <c r="B119" s="2" t="s">
        <v>321</v>
      </c>
      <c r="C119" s="2" t="s">
        <v>35</v>
      </c>
      <c r="D119" s="2" t="s">
        <v>36</v>
      </c>
      <c r="E119" s="2" t="s">
        <v>322</v>
      </c>
      <c r="F119" s="3">
        <v>46142</v>
      </c>
      <c r="G119" s="3">
        <v>46204</v>
      </c>
      <c r="H119" s="3">
        <v>46204</v>
      </c>
      <c r="I119" s="3">
        <v>46658</v>
      </c>
      <c r="J119" s="3">
        <v>46142</v>
      </c>
      <c r="K119" s="3">
        <v>46873</v>
      </c>
      <c r="L119" s="3">
        <v>46873</v>
      </c>
      <c r="M119" s="2" t="s">
        <v>38</v>
      </c>
      <c r="N119" s="2" t="s">
        <v>38</v>
      </c>
      <c r="O119" s="2" t="s">
        <v>39</v>
      </c>
      <c r="P119" s="2" t="s">
        <v>89</v>
      </c>
      <c r="Q119" s="4">
        <v>100</v>
      </c>
      <c r="R119" s="5">
        <v>450641.27</v>
      </c>
      <c r="S119" s="2" t="s">
        <v>41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3">
        <v>47238</v>
      </c>
      <c r="AE119" s="3">
        <v>46873</v>
      </c>
      <c r="AF119" s="2" t="s">
        <v>38</v>
      </c>
      <c r="AG119" s="2" t="s">
        <v>38</v>
      </c>
      <c r="AH119" s="4">
        <f>DataTable[[#This Row],[Unrestricted]]+DataTable[[#This Row],[Transit &amp; transfer]]+DataTable[[#This Row],[In Quality Insp.]]+DataTable[[#This Row],[Restricted Use Stock]]+DataTable[[#This Row],[Blocked]]</f>
        <v>100</v>
      </c>
    </row>
    <row r="120" spans="1:34" x14ac:dyDescent="0.35">
      <c r="A120" s="2" t="s">
        <v>320</v>
      </c>
      <c r="B120" s="2" t="s">
        <v>323</v>
      </c>
      <c r="C120" s="2" t="s">
        <v>35</v>
      </c>
      <c r="D120" s="2" t="s">
        <v>36</v>
      </c>
      <c r="E120" s="2" t="s">
        <v>324</v>
      </c>
      <c r="F120" s="3">
        <v>46204</v>
      </c>
      <c r="G120" s="3">
        <v>46205</v>
      </c>
      <c r="H120" s="3">
        <v>46205</v>
      </c>
      <c r="I120" s="3">
        <v>46660</v>
      </c>
      <c r="J120" s="3">
        <v>46204</v>
      </c>
      <c r="K120" s="3">
        <v>46935</v>
      </c>
      <c r="L120" s="3">
        <v>46935</v>
      </c>
      <c r="M120" s="2" t="s">
        <v>38</v>
      </c>
      <c r="N120" s="2" t="s">
        <v>38</v>
      </c>
      <c r="O120" s="2" t="s">
        <v>39</v>
      </c>
      <c r="P120" s="2" t="s">
        <v>89</v>
      </c>
      <c r="Q120" s="4">
        <v>426</v>
      </c>
      <c r="R120" s="5">
        <v>1919731.82</v>
      </c>
      <c r="S120" s="2" t="s">
        <v>41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3">
        <v>47300</v>
      </c>
      <c r="AE120" s="3">
        <v>46935</v>
      </c>
      <c r="AF120" s="2" t="s">
        <v>38</v>
      </c>
      <c r="AG120" s="2" t="s">
        <v>38</v>
      </c>
      <c r="AH120" s="4">
        <f>DataTable[[#This Row],[Unrestricted]]+DataTable[[#This Row],[Transit &amp; transfer]]+DataTable[[#This Row],[In Quality Insp.]]+DataTable[[#This Row],[Restricted Use Stock]]+DataTable[[#This Row],[Blocked]]</f>
        <v>426</v>
      </c>
    </row>
    <row r="121" spans="1:34" x14ac:dyDescent="0.35">
      <c r="A121" s="2" t="s">
        <v>325</v>
      </c>
      <c r="B121" s="2" t="s">
        <v>326</v>
      </c>
      <c r="C121" s="2" t="s">
        <v>35</v>
      </c>
      <c r="D121" s="2" t="s">
        <v>36</v>
      </c>
      <c r="E121" s="2" t="s">
        <v>324</v>
      </c>
      <c r="F121" s="3">
        <v>46172</v>
      </c>
      <c r="G121" s="3">
        <v>46208</v>
      </c>
      <c r="H121" s="3">
        <v>46208</v>
      </c>
      <c r="I121" s="3">
        <v>46663</v>
      </c>
      <c r="J121" s="3">
        <v>46172</v>
      </c>
      <c r="K121" s="3">
        <v>46903</v>
      </c>
      <c r="L121" s="3">
        <v>46903</v>
      </c>
      <c r="M121" s="2" t="s">
        <v>38</v>
      </c>
      <c r="N121" s="2" t="s">
        <v>38</v>
      </c>
      <c r="O121" s="2" t="s">
        <v>39</v>
      </c>
      <c r="P121" s="2" t="s">
        <v>89</v>
      </c>
      <c r="Q121" s="4">
        <v>956</v>
      </c>
      <c r="R121" s="5">
        <v>4235545.09</v>
      </c>
      <c r="S121" s="2" t="s">
        <v>41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3">
        <v>47268</v>
      </c>
      <c r="AE121" s="3">
        <v>46903</v>
      </c>
      <c r="AF121" s="2" t="s">
        <v>38</v>
      </c>
      <c r="AG121" s="2" t="s">
        <v>38</v>
      </c>
      <c r="AH121" s="4">
        <f>DataTable[[#This Row],[Unrestricted]]+DataTable[[#This Row],[Transit &amp; transfer]]+DataTable[[#This Row],[In Quality Insp.]]+DataTable[[#This Row],[Restricted Use Stock]]+DataTable[[#This Row],[Blocked]]</f>
        <v>956</v>
      </c>
    </row>
    <row r="122" spans="1:34" x14ac:dyDescent="0.35">
      <c r="A122" s="2" t="s">
        <v>327</v>
      </c>
      <c r="B122" s="2" t="s">
        <v>328</v>
      </c>
      <c r="C122" s="2" t="s">
        <v>35</v>
      </c>
      <c r="D122" s="2" t="s">
        <v>36</v>
      </c>
      <c r="E122" s="2" t="s">
        <v>329</v>
      </c>
      <c r="F122" s="3">
        <v>46160</v>
      </c>
      <c r="G122" s="3">
        <v>46160</v>
      </c>
      <c r="H122" s="3">
        <v>46160</v>
      </c>
      <c r="I122" s="3">
        <v>46340</v>
      </c>
      <c r="J122" s="3">
        <v>46160</v>
      </c>
      <c r="K122" s="3">
        <v>46891</v>
      </c>
      <c r="L122" s="3">
        <v>46891</v>
      </c>
      <c r="M122" s="2" t="s">
        <v>38</v>
      </c>
      <c r="N122" s="2" t="s">
        <v>38</v>
      </c>
      <c r="O122" s="2" t="s">
        <v>39</v>
      </c>
      <c r="P122" s="2" t="s">
        <v>89</v>
      </c>
      <c r="Q122" s="4">
        <v>486</v>
      </c>
      <c r="R122" s="5">
        <v>308610</v>
      </c>
      <c r="S122" s="2" t="s">
        <v>41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3">
        <v>46891</v>
      </c>
      <c r="AE122" s="2" t="s">
        <v>38</v>
      </c>
      <c r="AF122" s="2" t="s">
        <v>38</v>
      </c>
      <c r="AG122" s="2" t="s">
        <v>38</v>
      </c>
      <c r="AH122" s="4">
        <f>DataTable[[#This Row],[Unrestricted]]+DataTable[[#This Row],[Transit &amp; transfer]]+DataTable[[#This Row],[In Quality Insp.]]+DataTable[[#This Row],[Restricted Use Stock]]+DataTable[[#This Row],[Blocked]]</f>
        <v>486</v>
      </c>
    </row>
    <row r="123" spans="1:34" x14ac:dyDescent="0.35">
      <c r="A123" s="2" t="s">
        <v>330</v>
      </c>
      <c r="B123" s="2" t="s">
        <v>331</v>
      </c>
      <c r="C123" s="2" t="s">
        <v>35</v>
      </c>
      <c r="D123" s="2" t="s">
        <v>36</v>
      </c>
      <c r="E123" s="2" t="s">
        <v>332</v>
      </c>
      <c r="F123" s="3">
        <v>46021</v>
      </c>
      <c r="G123" s="3">
        <v>46028</v>
      </c>
      <c r="H123" s="3">
        <v>46035</v>
      </c>
      <c r="I123" s="3">
        <v>46201</v>
      </c>
      <c r="J123" s="3">
        <v>46021</v>
      </c>
      <c r="K123" s="3">
        <v>46751</v>
      </c>
      <c r="L123" s="3">
        <v>46751</v>
      </c>
      <c r="M123" s="2" t="s">
        <v>38</v>
      </c>
      <c r="N123" s="2" t="s">
        <v>38</v>
      </c>
      <c r="O123" s="2" t="s">
        <v>39</v>
      </c>
      <c r="P123" s="2" t="s">
        <v>89</v>
      </c>
      <c r="Q123" s="4">
        <v>270</v>
      </c>
      <c r="R123" s="5">
        <v>126900</v>
      </c>
      <c r="S123" s="2" t="s">
        <v>41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3">
        <v>46751</v>
      </c>
      <c r="AE123" s="2" t="s">
        <v>38</v>
      </c>
      <c r="AF123" s="2" t="s">
        <v>38</v>
      </c>
      <c r="AG123" s="2" t="s">
        <v>38</v>
      </c>
      <c r="AH123" s="4">
        <f>DataTable[[#This Row],[Unrestricted]]+DataTable[[#This Row],[Transit &amp; transfer]]+DataTable[[#This Row],[In Quality Insp.]]+DataTable[[#This Row],[Restricted Use Stock]]+DataTable[[#This Row],[Blocked]]</f>
        <v>270</v>
      </c>
    </row>
    <row r="124" spans="1:34" x14ac:dyDescent="0.35">
      <c r="A124" s="2" t="s">
        <v>333</v>
      </c>
      <c r="B124" s="2" t="s">
        <v>334</v>
      </c>
      <c r="C124" s="2" t="s">
        <v>35</v>
      </c>
      <c r="D124" s="2" t="s">
        <v>36</v>
      </c>
      <c r="E124" s="2" t="s">
        <v>335</v>
      </c>
      <c r="F124" s="3">
        <v>46113</v>
      </c>
      <c r="G124" s="3">
        <v>46114</v>
      </c>
      <c r="H124" s="3">
        <v>46114</v>
      </c>
      <c r="I124" s="3">
        <v>46569</v>
      </c>
      <c r="J124" s="3">
        <v>46113</v>
      </c>
      <c r="K124" s="3">
        <v>46844</v>
      </c>
      <c r="L124" s="3">
        <v>46844</v>
      </c>
      <c r="M124" s="2" t="s">
        <v>38</v>
      </c>
      <c r="N124" s="2" t="s">
        <v>38</v>
      </c>
      <c r="O124" s="2" t="s">
        <v>39</v>
      </c>
      <c r="P124" s="2" t="s">
        <v>40</v>
      </c>
      <c r="Q124" s="4">
        <v>273</v>
      </c>
      <c r="R124" s="5">
        <v>921347.39</v>
      </c>
      <c r="S124" s="2" t="s">
        <v>41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3">
        <v>47209</v>
      </c>
      <c r="AE124" s="3">
        <v>46844</v>
      </c>
      <c r="AF124" s="2" t="s">
        <v>38</v>
      </c>
      <c r="AG124" s="2" t="s">
        <v>38</v>
      </c>
      <c r="AH124" s="4">
        <f>DataTable[[#This Row],[Unrestricted]]+DataTable[[#This Row],[Transit &amp; transfer]]+DataTable[[#This Row],[In Quality Insp.]]+DataTable[[#This Row],[Restricted Use Stock]]+DataTable[[#This Row],[Blocked]]</f>
        <v>273</v>
      </c>
    </row>
    <row r="125" spans="1:34" x14ac:dyDescent="0.35">
      <c r="A125" s="2" t="s">
        <v>336</v>
      </c>
      <c r="B125" s="2" t="s">
        <v>337</v>
      </c>
      <c r="C125" s="2" t="s">
        <v>35</v>
      </c>
      <c r="D125" s="2" t="s">
        <v>36</v>
      </c>
      <c r="E125" s="2" t="s">
        <v>329</v>
      </c>
      <c r="F125" s="3">
        <v>46160</v>
      </c>
      <c r="G125" s="3">
        <v>46160</v>
      </c>
      <c r="H125" s="3">
        <v>46160</v>
      </c>
      <c r="I125" s="3">
        <v>46340</v>
      </c>
      <c r="J125" s="3">
        <v>46160</v>
      </c>
      <c r="K125" s="3">
        <v>46891</v>
      </c>
      <c r="L125" s="3">
        <v>46891</v>
      </c>
      <c r="M125" s="2" t="s">
        <v>38</v>
      </c>
      <c r="N125" s="2" t="s">
        <v>38</v>
      </c>
      <c r="O125" s="2" t="s">
        <v>39</v>
      </c>
      <c r="P125" s="2" t="s">
        <v>89</v>
      </c>
      <c r="Q125" s="4">
        <v>220</v>
      </c>
      <c r="R125" s="5">
        <v>128920</v>
      </c>
      <c r="S125" s="2" t="s">
        <v>41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3">
        <v>46891</v>
      </c>
      <c r="AE125" s="2" t="s">
        <v>38</v>
      </c>
      <c r="AF125" s="2" t="s">
        <v>38</v>
      </c>
      <c r="AG125" s="2" t="s">
        <v>38</v>
      </c>
      <c r="AH125" s="4">
        <f>DataTable[[#This Row],[Unrestricted]]+DataTable[[#This Row],[Transit &amp; transfer]]+DataTable[[#This Row],[In Quality Insp.]]+DataTable[[#This Row],[Restricted Use Stock]]+DataTable[[#This Row],[Blocked]]</f>
        <v>220</v>
      </c>
    </row>
    <row r="126" spans="1:34" x14ac:dyDescent="0.35">
      <c r="A126" s="2" t="s">
        <v>338</v>
      </c>
      <c r="B126" s="2" t="s">
        <v>339</v>
      </c>
      <c r="C126" s="2" t="s">
        <v>35</v>
      </c>
      <c r="D126" s="2" t="s">
        <v>36</v>
      </c>
      <c r="E126" s="2" t="s">
        <v>340</v>
      </c>
      <c r="F126" s="3">
        <v>46134</v>
      </c>
      <c r="G126" s="3">
        <v>46148</v>
      </c>
      <c r="H126" s="3">
        <v>46196</v>
      </c>
      <c r="I126" s="3">
        <v>46955</v>
      </c>
      <c r="J126" s="3">
        <v>46134</v>
      </c>
      <c r="K126" s="3">
        <v>46865</v>
      </c>
      <c r="L126" s="3">
        <v>47230</v>
      </c>
      <c r="M126" s="2" t="s">
        <v>38</v>
      </c>
      <c r="N126" s="2" t="s">
        <v>38</v>
      </c>
      <c r="O126" s="2" t="s">
        <v>39</v>
      </c>
      <c r="P126" s="2" t="s">
        <v>89</v>
      </c>
      <c r="Q126" s="4">
        <v>1080</v>
      </c>
      <c r="R126" s="5">
        <v>5165151.9000000004</v>
      </c>
      <c r="S126" s="2" t="s">
        <v>41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3">
        <v>47595</v>
      </c>
      <c r="AE126" s="3">
        <v>46865</v>
      </c>
      <c r="AF126" s="2" t="s">
        <v>38</v>
      </c>
      <c r="AG126" s="2" t="s">
        <v>38</v>
      </c>
      <c r="AH126" s="4">
        <f>DataTable[[#This Row],[Unrestricted]]+DataTable[[#This Row],[Transit &amp; transfer]]+DataTable[[#This Row],[In Quality Insp.]]+DataTable[[#This Row],[Restricted Use Stock]]+DataTable[[#This Row],[Blocked]]</f>
        <v>1080</v>
      </c>
    </row>
    <row r="127" spans="1:34" x14ac:dyDescent="0.35">
      <c r="A127" s="2" t="s">
        <v>341</v>
      </c>
      <c r="B127" s="2" t="s">
        <v>342</v>
      </c>
      <c r="C127" s="2" t="s">
        <v>35</v>
      </c>
      <c r="D127" s="2" t="s">
        <v>36</v>
      </c>
      <c r="E127" s="2" t="s">
        <v>343</v>
      </c>
      <c r="F127" s="3">
        <v>45807</v>
      </c>
      <c r="G127" s="3">
        <v>46197</v>
      </c>
      <c r="H127" s="3">
        <v>46197</v>
      </c>
      <c r="I127" s="3">
        <v>46996</v>
      </c>
      <c r="J127" s="3">
        <v>45807</v>
      </c>
      <c r="K127" s="3">
        <v>46537</v>
      </c>
      <c r="L127" s="3">
        <v>46903</v>
      </c>
      <c r="M127" s="2" t="s">
        <v>38</v>
      </c>
      <c r="N127" s="2" t="s">
        <v>38</v>
      </c>
      <c r="O127" s="2" t="s">
        <v>39</v>
      </c>
      <c r="P127" s="2" t="s">
        <v>89</v>
      </c>
      <c r="Q127" s="4">
        <v>330</v>
      </c>
      <c r="R127" s="5">
        <v>1683969.38</v>
      </c>
      <c r="S127" s="2" t="s">
        <v>41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3">
        <v>47268</v>
      </c>
      <c r="AE127" s="3">
        <v>46537</v>
      </c>
      <c r="AF127" s="2" t="s">
        <v>38</v>
      </c>
      <c r="AG127" s="2" t="s">
        <v>38</v>
      </c>
      <c r="AH127" s="4">
        <f>DataTable[[#This Row],[Unrestricted]]+DataTable[[#This Row],[Transit &amp; transfer]]+DataTable[[#This Row],[In Quality Insp.]]+DataTable[[#This Row],[Restricted Use Stock]]+DataTable[[#This Row],[Blocked]]</f>
        <v>330</v>
      </c>
    </row>
    <row r="128" spans="1:34" x14ac:dyDescent="0.35">
      <c r="A128" s="2" t="s">
        <v>344</v>
      </c>
      <c r="B128" s="2" t="s">
        <v>345</v>
      </c>
      <c r="C128" s="2" t="s">
        <v>35</v>
      </c>
      <c r="D128" s="2" t="s">
        <v>36</v>
      </c>
      <c r="E128" s="2" t="s">
        <v>346</v>
      </c>
      <c r="F128" s="3">
        <v>46142</v>
      </c>
      <c r="G128" s="3">
        <v>46202</v>
      </c>
      <c r="H128" s="3">
        <v>46202</v>
      </c>
      <c r="I128" s="3">
        <v>46656</v>
      </c>
      <c r="J128" s="3">
        <v>46142</v>
      </c>
      <c r="K128" s="3">
        <v>46872</v>
      </c>
      <c r="L128" s="3">
        <v>46873</v>
      </c>
      <c r="M128" s="2" t="s">
        <v>38</v>
      </c>
      <c r="N128" s="2" t="s">
        <v>38</v>
      </c>
      <c r="O128" s="2" t="s">
        <v>39</v>
      </c>
      <c r="P128" s="2" t="s">
        <v>89</v>
      </c>
      <c r="Q128" s="4">
        <v>566.4</v>
      </c>
      <c r="R128" s="5">
        <v>6112242.0099999998</v>
      </c>
      <c r="S128" s="2" t="s">
        <v>41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3">
        <v>47238</v>
      </c>
      <c r="AE128" s="3">
        <v>46872</v>
      </c>
      <c r="AF128" s="2" t="s">
        <v>38</v>
      </c>
      <c r="AG128" s="2" t="s">
        <v>38</v>
      </c>
      <c r="AH128" s="4">
        <f>DataTable[[#This Row],[Unrestricted]]+DataTable[[#This Row],[Transit &amp; transfer]]+DataTable[[#This Row],[In Quality Insp.]]+DataTable[[#This Row],[Restricted Use Stock]]+DataTable[[#This Row],[Blocked]]</f>
        <v>566.4</v>
      </c>
    </row>
    <row r="129" spans="1:34" x14ac:dyDescent="0.35">
      <c r="A129" s="2" t="s">
        <v>347</v>
      </c>
      <c r="B129" s="2" t="s">
        <v>348</v>
      </c>
      <c r="C129" s="2" t="s">
        <v>35</v>
      </c>
      <c r="D129" s="2" t="s">
        <v>36</v>
      </c>
      <c r="E129" s="2" t="s">
        <v>349</v>
      </c>
      <c r="F129" s="3">
        <v>46113</v>
      </c>
      <c r="G129" s="3">
        <v>46138</v>
      </c>
      <c r="H129" s="3">
        <v>46138</v>
      </c>
      <c r="I129" s="3">
        <v>46569</v>
      </c>
      <c r="J129" s="3">
        <v>46113</v>
      </c>
      <c r="K129" s="3">
        <v>46843</v>
      </c>
      <c r="L129" s="3">
        <v>46844</v>
      </c>
      <c r="M129" s="2" t="s">
        <v>38</v>
      </c>
      <c r="N129" s="2" t="s">
        <v>38</v>
      </c>
      <c r="O129" s="2" t="s">
        <v>39</v>
      </c>
      <c r="P129" s="2" t="s">
        <v>89</v>
      </c>
      <c r="Q129" s="4">
        <v>207.6</v>
      </c>
      <c r="R129" s="5">
        <v>2291854.2000000002</v>
      </c>
      <c r="S129" s="2" t="s">
        <v>41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3">
        <v>47209</v>
      </c>
      <c r="AE129" s="3">
        <v>46843</v>
      </c>
      <c r="AF129" s="2" t="s">
        <v>38</v>
      </c>
      <c r="AG129" s="2" t="s">
        <v>38</v>
      </c>
      <c r="AH129" s="4">
        <f>DataTable[[#This Row],[Unrestricted]]+DataTable[[#This Row],[Transit &amp; transfer]]+DataTable[[#This Row],[In Quality Insp.]]+DataTable[[#This Row],[Restricted Use Stock]]+DataTable[[#This Row],[Blocked]]</f>
        <v>207.6</v>
      </c>
    </row>
    <row r="130" spans="1:34" x14ac:dyDescent="0.35">
      <c r="A130" s="2" t="s">
        <v>347</v>
      </c>
      <c r="B130" s="2" t="s">
        <v>350</v>
      </c>
      <c r="C130" s="2" t="s">
        <v>35</v>
      </c>
      <c r="D130" s="2" t="s">
        <v>36</v>
      </c>
      <c r="E130" s="2" t="s">
        <v>351</v>
      </c>
      <c r="F130" s="3">
        <v>46111</v>
      </c>
      <c r="G130" s="3">
        <v>46145</v>
      </c>
      <c r="H130" s="3">
        <v>46145</v>
      </c>
      <c r="I130" s="3">
        <v>46594</v>
      </c>
      <c r="J130" s="3">
        <v>46111</v>
      </c>
      <c r="K130" s="3">
        <v>46841</v>
      </c>
      <c r="L130" s="3">
        <v>46842</v>
      </c>
      <c r="M130" s="2" t="s">
        <v>38</v>
      </c>
      <c r="N130" s="2" t="s">
        <v>38</v>
      </c>
      <c r="O130" s="2" t="s">
        <v>39</v>
      </c>
      <c r="P130" s="2" t="s">
        <v>89</v>
      </c>
      <c r="Q130" s="4">
        <v>80</v>
      </c>
      <c r="R130" s="5">
        <v>883180.81</v>
      </c>
      <c r="S130" s="2" t="s">
        <v>41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3">
        <v>47207</v>
      </c>
      <c r="AE130" s="3">
        <v>46841</v>
      </c>
      <c r="AF130" s="2" t="s">
        <v>38</v>
      </c>
      <c r="AG130" s="2" t="s">
        <v>38</v>
      </c>
      <c r="AH130" s="4">
        <f>DataTable[[#This Row],[Unrestricted]]+DataTable[[#This Row],[Transit &amp; transfer]]+DataTable[[#This Row],[In Quality Insp.]]+DataTable[[#This Row],[Restricted Use Stock]]+DataTable[[#This Row],[Blocked]]</f>
        <v>80</v>
      </c>
    </row>
    <row r="131" spans="1:34" x14ac:dyDescent="0.35">
      <c r="A131" s="2" t="s">
        <v>347</v>
      </c>
      <c r="B131" s="2" t="s">
        <v>352</v>
      </c>
      <c r="C131" s="2" t="s">
        <v>35</v>
      </c>
      <c r="D131" s="2" t="s">
        <v>36</v>
      </c>
      <c r="E131" s="2" t="s">
        <v>353</v>
      </c>
      <c r="F131" s="3">
        <v>46145</v>
      </c>
      <c r="G131" s="3">
        <v>46152</v>
      </c>
      <c r="H131" s="3">
        <v>46152</v>
      </c>
      <c r="I131" s="3">
        <v>46601</v>
      </c>
      <c r="J131" s="3">
        <v>46145</v>
      </c>
      <c r="K131" s="3">
        <v>46875</v>
      </c>
      <c r="L131" s="3">
        <v>46876</v>
      </c>
      <c r="M131" s="2" t="s">
        <v>38</v>
      </c>
      <c r="N131" s="2" t="s">
        <v>38</v>
      </c>
      <c r="O131" s="2" t="s">
        <v>39</v>
      </c>
      <c r="P131" s="2" t="s">
        <v>89</v>
      </c>
      <c r="Q131" s="4">
        <v>634.4</v>
      </c>
      <c r="R131" s="5">
        <v>7003623.8300000001</v>
      </c>
      <c r="S131" s="2" t="s">
        <v>41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3">
        <v>47241</v>
      </c>
      <c r="AE131" s="3">
        <v>46875</v>
      </c>
      <c r="AF131" s="2" t="s">
        <v>38</v>
      </c>
      <c r="AG131" s="2" t="s">
        <v>38</v>
      </c>
      <c r="AH131" s="4">
        <f>DataTable[[#This Row],[Unrestricted]]+DataTable[[#This Row],[Transit &amp; transfer]]+DataTable[[#This Row],[In Quality Insp.]]+DataTable[[#This Row],[Restricted Use Stock]]+DataTable[[#This Row],[Blocked]]</f>
        <v>634.4</v>
      </c>
    </row>
    <row r="132" spans="1:34" x14ac:dyDescent="0.35">
      <c r="A132" s="2" t="s">
        <v>347</v>
      </c>
      <c r="B132" s="2" t="s">
        <v>354</v>
      </c>
      <c r="C132" s="2" t="s">
        <v>35</v>
      </c>
      <c r="D132" s="2" t="s">
        <v>36</v>
      </c>
      <c r="E132" s="2" t="s">
        <v>355</v>
      </c>
      <c r="F132" s="3">
        <v>46111</v>
      </c>
      <c r="G132" s="3">
        <v>46160</v>
      </c>
      <c r="H132" s="3">
        <v>46160</v>
      </c>
      <c r="I132" s="3">
        <v>46608</v>
      </c>
      <c r="J132" s="3">
        <v>46111</v>
      </c>
      <c r="K132" s="3">
        <v>46841</v>
      </c>
      <c r="L132" s="3">
        <v>46842</v>
      </c>
      <c r="M132" s="2" t="s">
        <v>38</v>
      </c>
      <c r="N132" s="2" t="s">
        <v>38</v>
      </c>
      <c r="O132" s="2" t="s">
        <v>39</v>
      </c>
      <c r="P132" s="2" t="s">
        <v>89</v>
      </c>
      <c r="Q132" s="4">
        <v>833.6</v>
      </c>
      <c r="R132" s="5">
        <v>9202744.0500000007</v>
      </c>
      <c r="S132" s="2" t="s">
        <v>41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3">
        <v>47207</v>
      </c>
      <c r="AE132" s="3">
        <v>46841</v>
      </c>
      <c r="AF132" s="2" t="s">
        <v>38</v>
      </c>
      <c r="AG132" s="2" t="s">
        <v>38</v>
      </c>
      <c r="AH132" s="4">
        <f>DataTable[[#This Row],[Unrestricted]]+DataTable[[#This Row],[Transit &amp; transfer]]+DataTable[[#This Row],[In Quality Insp.]]+DataTable[[#This Row],[Restricted Use Stock]]+DataTable[[#This Row],[Blocked]]</f>
        <v>833.6</v>
      </c>
    </row>
    <row r="133" spans="1:34" x14ac:dyDescent="0.35">
      <c r="A133" s="2" t="s">
        <v>347</v>
      </c>
      <c r="B133" s="2" t="s">
        <v>356</v>
      </c>
      <c r="C133" s="2" t="s">
        <v>35</v>
      </c>
      <c r="D133" s="2" t="s">
        <v>36</v>
      </c>
      <c r="E133" s="2" t="s">
        <v>357</v>
      </c>
      <c r="F133" s="3">
        <v>46160</v>
      </c>
      <c r="G133" s="3">
        <v>46167</v>
      </c>
      <c r="H133" s="3">
        <v>46167</v>
      </c>
      <c r="I133" s="3">
        <v>46616</v>
      </c>
      <c r="J133" s="3">
        <v>46160</v>
      </c>
      <c r="K133" s="3">
        <v>46890</v>
      </c>
      <c r="L133" s="3">
        <v>46891</v>
      </c>
      <c r="M133" s="2" t="s">
        <v>38</v>
      </c>
      <c r="N133" s="2" t="s">
        <v>38</v>
      </c>
      <c r="O133" s="2" t="s">
        <v>39</v>
      </c>
      <c r="P133" s="2" t="s">
        <v>89</v>
      </c>
      <c r="Q133" s="4">
        <v>762</v>
      </c>
      <c r="R133" s="5">
        <v>8412297.2200000007</v>
      </c>
      <c r="S133" s="2" t="s">
        <v>41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3">
        <v>47256</v>
      </c>
      <c r="AE133" s="3">
        <v>46890</v>
      </c>
      <c r="AF133" s="2" t="s">
        <v>38</v>
      </c>
      <c r="AG133" s="2" t="s">
        <v>38</v>
      </c>
      <c r="AH133" s="4">
        <f>DataTable[[#This Row],[Unrestricted]]+DataTable[[#This Row],[Transit &amp; transfer]]+DataTable[[#This Row],[In Quality Insp.]]+DataTable[[#This Row],[Restricted Use Stock]]+DataTable[[#This Row],[Blocked]]</f>
        <v>762</v>
      </c>
    </row>
    <row r="134" spans="1:34" x14ac:dyDescent="0.35">
      <c r="A134" s="2" t="s">
        <v>347</v>
      </c>
      <c r="B134" s="2" t="s">
        <v>358</v>
      </c>
      <c r="C134" s="2" t="s">
        <v>35</v>
      </c>
      <c r="D134" s="2" t="s">
        <v>36</v>
      </c>
      <c r="E134" s="2" t="s">
        <v>359</v>
      </c>
      <c r="F134" s="3">
        <v>46167</v>
      </c>
      <c r="G134" s="3">
        <v>46201</v>
      </c>
      <c r="H134" s="3">
        <v>46201</v>
      </c>
      <c r="I134" s="3">
        <v>46623</v>
      </c>
      <c r="J134" s="3">
        <v>46167</v>
      </c>
      <c r="K134" s="3">
        <v>46897</v>
      </c>
      <c r="L134" s="3">
        <v>46898</v>
      </c>
      <c r="M134" s="2" t="s">
        <v>38</v>
      </c>
      <c r="N134" s="2" t="s">
        <v>38</v>
      </c>
      <c r="O134" s="2" t="s">
        <v>39</v>
      </c>
      <c r="P134" s="2" t="s">
        <v>89</v>
      </c>
      <c r="Q134" s="4">
        <v>672</v>
      </c>
      <c r="R134" s="5">
        <v>7418718.8099999996</v>
      </c>
      <c r="S134" s="2" t="s">
        <v>41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3">
        <v>47263</v>
      </c>
      <c r="AE134" s="3">
        <v>46897</v>
      </c>
      <c r="AF134" s="2" t="s">
        <v>38</v>
      </c>
      <c r="AG134" s="2" t="s">
        <v>38</v>
      </c>
      <c r="AH134" s="4">
        <f>DataTable[[#This Row],[Unrestricted]]+DataTable[[#This Row],[Transit &amp; transfer]]+DataTable[[#This Row],[In Quality Insp.]]+DataTable[[#This Row],[Restricted Use Stock]]+DataTable[[#This Row],[Blocked]]</f>
        <v>672</v>
      </c>
    </row>
    <row r="135" spans="1:34" x14ac:dyDescent="0.35">
      <c r="A135" s="2" t="s">
        <v>347</v>
      </c>
      <c r="B135" s="2" t="s">
        <v>360</v>
      </c>
      <c r="C135" s="2" t="s">
        <v>35</v>
      </c>
      <c r="D135" s="2" t="s">
        <v>36</v>
      </c>
      <c r="E135" s="2" t="s">
        <v>361</v>
      </c>
      <c r="F135" s="3">
        <v>46202</v>
      </c>
      <c r="G135" s="3">
        <v>46207</v>
      </c>
      <c r="H135" s="3">
        <v>46207</v>
      </c>
      <c r="I135" s="3">
        <v>46658</v>
      </c>
      <c r="J135" s="3">
        <v>46202</v>
      </c>
      <c r="K135" s="3">
        <v>46932</v>
      </c>
      <c r="L135" s="3">
        <v>46933</v>
      </c>
      <c r="M135" s="2" t="s">
        <v>38</v>
      </c>
      <c r="N135" s="2" t="s">
        <v>38</v>
      </c>
      <c r="O135" s="2" t="s">
        <v>39</v>
      </c>
      <c r="P135" s="2" t="s">
        <v>89</v>
      </c>
      <c r="Q135" s="4">
        <v>646.4</v>
      </c>
      <c r="R135" s="5">
        <v>7136100.9500000002</v>
      </c>
      <c r="S135" s="2" t="s">
        <v>41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3">
        <v>47298</v>
      </c>
      <c r="AE135" s="3">
        <v>46932</v>
      </c>
      <c r="AF135" s="2" t="s">
        <v>38</v>
      </c>
      <c r="AG135" s="2" t="s">
        <v>38</v>
      </c>
      <c r="AH135" s="4">
        <f>DataTable[[#This Row],[Unrestricted]]+DataTable[[#This Row],[Transit &amp; transfer]]+DataTable[[#This Row],[In Quality Insp.]]+DataTable[[#This Row],[Restricted Use Stock]]+DataTable[[#This Row],[Blocked]]</f>
        <v>646.4</v>
      </c>
    </row>
    <row r="136" spans="1:34" x14ac:dyDescent="0.35">
      <c r="A136" s="2" t="s">
        <v>362</v>
      </c>
      <c r="B136" s="2" t="s">
        <v>363</v>
      </c>
      <c r="C136" s="2" t="s">
        <v>35</v>
      </c>
      <c r="D136" s="2" t="s">
        <v>36</v>
      </c>
      <c r="E136" s="2" t="s">
        <v>364</v>
      </c>
      <c r="F136" s="3">
        <v>45837</v>
      </c>
      <c r="G136" s="3">
        <v>45841</v>
      </c>
      <c r="H136" s="3">
        <v>46142</v>
      </c>
      <c r="I136" s="3">
        <v>46662</v>
      </c>
      <c r="J136" s="3">
        <v>45837</v>
      </c>
      <c r="K136" s="3">
        <v>46567</v>
      </c>
      <c r="L136" s="3">
        <v>46933</v>
      </c>
      <c r="M136" s="2" t="s">
        <v>38</v>
      </c>
      <c r="N136" s="2" t="s">
        <v>38</v>
      </c>
      <c r="O136" s="2" t="s">
        <v>39</v>
      </c>
      <c r="P136" s="2" t="s">
        <v>89</v>
      </c>
      <c r="Q136" s="4">
        <v>1200</v>
      </c>
      <c r="R136" s="5">
        <v>1319363.95</v>
      </c>
      <c r="S136" s="2" t="s">
        <v>41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3">
        <v>47298</v>
      </c>
      <c r="AE136" s="3">
        <v>46567</v>
      </c>
      <c r="AF136" s="2" t="s">
        <v>38</v>
      </c>
      <c r="AG136" s="2" t="s">
        <v>38</v>
      </c>
      <c r="AH136" s="4">
        <f>DataTable[[#This Row],[Unrestricted]]+DataTable[[#This Row],[Transit &amp; transfer]]+DataTable[[#This Row],[In Quality Insp.]]+DataTable[[#This Row],[Restricted Use Stock]]+DataTable[[#This Row],[Blocked]]</f>
        <v>1200</v>
      </c>
    </row>
    <row r="137" spans="1:34" x14ac:dyDescent="0.35">
      <c r="A137" s="2" t="s">
        <v>362</v>
      </c>
      <c r="B137" s="2" t="s">
        <v>365</v>
      </c>
      <c r="C137" s="2" t="s">
        <v>35</v>
      </c>
      <c r="D137" s="2" t="s">
        <v>36</v>
      </c>
      <c r="E137" s="2" t="s">
        <v>366</v>
      </c>
      <c r="F137" s="3">
        <v>45837</v>
      </c>
      <c r="G137" s="3">
        <v>45840</v>
      </c>
      <c r="H137" s="3">
        <v>46021</v>
      </c>
      <c r="I137" s="3">
        <v>46661</v>
      </c>
      <c r="J137" s="3">
        <v>45837</v>
      </c>
      <c r="K137" s="3">
        <v>46567</v>
      </c>
      <c r="L137" s="3">
        <v>46933</v>
      </c>
      <c r="M137" s="2" t="s">
        <v>38</v>
      </c>
      <c r="N137" s="2" t="s">
        <v>38</v>
      </c>
      <c r="O137" s="2" t="s">
        <v>39</v>
      </c>
      <c r="P137" s="2" t="s">
        <v>89</v>
      </c>
      <c r="Q137" s="4">
        <v>3000</v>
      </c>
      <c r="R137" s="5">
        <v>3298409.88</v>
      </c>
      <c r="S137" s="2" t="s">
        <v>41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3">
        <v>47298</v>
      </c>
      <c r="AE137" s="3">
        <v>46567</v>
      </c>
      <c r="AF137" s="2" t="s">
        <v>38</v>
      </c>
      <c r="AG137" s="2" t="s">
        <v>38</v>
      </c>
      <c r="AH137" s="4">
        <f>DataTable[[#This Row],[Unrestricted]]+DataTable[[#This Row],[Transit &amp; transfer]]+DataTable[[#This Row],[In Quality Insp.]]+DataTable[[#This Row],[Restricted Use Stock]]+DataTable[[#This Row],[Blocked]]</f>
        <v>3000</v>
      </c>
    </row>
    <row r="138" spans="1:34" x14ac:dyDescent="0.35">
      <c r="A138" s="2" t="s">
        <v>362</v>
      </c>
      <c r="B138" s="2" t="s">
        <v>367</v>
      </c>
      <c r="C138" s="2" t="s">
        <v>35</v>
      </c>
      <c r="D138" s="2" t="s">
        <v>36</v>
      </c>
      <c r="E138" s="2" t="s">
        <v>368</v>
      </c>
      <c r="F138" s="3">
        <v>45838</v>
      </c>
      <c r="G138" s="3">
        <v>45840</v>
      </c>
      <c r="H138" s="3">
        <v>46142</v>
      </c>
      <c r="I138" s="3">
        <v>46661</v>
      </c>
      <c r="J138" s="3">
        <v>45838</v>
      </c>
      <c r="K138" s="3">
        <v>46568</v>
      </c>
      <c r="L138" s="3">
        <v>46934</v>
      </c>
      <c r="M138" s="2" t="s">
        <v>38</v>
      </c>
      <c r="N138" s="2" t="s">
        <v>38</v>
      </c>
      <c r="O138" s="2" t="s">
        <v>39</v>
      </c>
      <c r="P138" s="2" t="s">
        <v>89</v>
      </c>
      <c r="Q138" s="4">
        <v>600</v>
      </c>
      <c r="R138" s="5">
        <v>659681.98</v>
      </c>
      <c r="S138" s="2" t="s">
        <v>41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3">
        <v>47299</v>
      </c>
      <c r="AE138" s="3">
        <v>46568</v>
      </c>
      <c r="AF138" s="2" t="s">
        <v>38</v>
      </c>
      <c r="AG138" s="2" t="s">
        <v>38</v>
      </c>
      <c r="AH138" s="4">
        <f>DataTable[[#This Row],[Unrestricted]]+DataTable[[#This Row],[Transit &amp; transfer]]+DataTable[[#This Row],[In Quality Insp.]]+DataTable[[#This Row],[Restricted Use Stock]]+DataTable[[#This Row],[Blocked]]</f>
        <v>600</v>
      </c>
    </row>
    <row r="139" spans="1:34" x14ac:dyDescent="0.35">
      <c r="A139" s="2" t="s">
        <v>362</v>
      </c>
      <c r="B139" s="2" t="s">
        <v>369</v>
      </c>
      <c r="C139" s="2" t="s">
        <v>35</v>
      </c>
      <c r="D139" s="2" t="s">
        <v>36</v>
      </c>
      <c r="E139" s="2" t="s">
        <v>370</v>
      </c>
      <c r="F139" s="3">
        <v>46048</v>
      </c>
      <c r="G139" s="3">
        <v>46050</v>
      </c>
      <c r="H139" s="3">
        <v>46142</v>
      </c>
      <c r="I139" s="3">
        <v>46871</v>
      </c>
      <c r="J139" s="3">
        <v>46048</v>
      </c>
      <c r="K139" s="3">
        <v>46778</v>
      </c>
      <c r="L139" s="3">
        <v>47144</v>
      </c>
      <c r="M139" s="2" t="s">
        <v>38</v>
      </c>
      <c r="N139" s="2" t="s">
        <v>38</v>
      </c>
      <c r="O139" s="2" t="s">
        <v>39</v>
      </c>
      <c r="P139" s="2" t="s">
        <v>89</v>
      </c>
      <c r="Q139" s="4">
        <v>11400</v>
      </c>
      <c r="R139" s="5">
        <v>12533957.550000001</v>
      </c>
      <c r="S139" s="2" t="s">
        <v>41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3">
        <v>47509</v>
      </c>
      <c r="AE139" s="3">
        <v>46778</v>
      </c>
      <c r="AF139" s="2" t="s">
        <v>38</v>
      </c>
      <c r="AG139" s="2" t="s">
        <v>38</v>
      </c>
      <c r="AH139" s="4">
        <f>DataTable[[#This Row],[Unrestricted]]+DataTable[[#This Row],[Transit &amp; transfer]]+DataTable[[#This Row],[In Quality Insp.]]+DataTable[[#This Row],[Restricted Use Stock]]+DataTable[[#This Row],[Blocked]]</f>
        <v>11400</v>
      </c>
    </row>
    <row r="140" spans="1:34" x14ac:dyDescent="0.35">
      <c r="A140" s="2" t="s">
        <v>362</v>
      </c>
      <c r="B140" s="2" t="s">
        <v>371</v>
      </c>
      <c r="C140" s="2" t="s">
        <v>35</v>
      </c>
      <c r="D140" s="2" t="s">
        <v>36</v>
      </c>
      <c r="E140" s="2" t="s">
        <v>372</v>
      </c>
      <c r="F140" s="3">
        <v>46048</v>
      </c>
      <c r="G140" s="3">
        <v>46051</v>
      </c>
      <c r="H140" s="3">
        <v>46166</v>
      </c>
      <c r="I140" s="3">
        <v>46872</v>
      </c>
      <c r="J140" s="3">
        <v>46048</v>
      </c>
      <c r="K140" s="3">
        <v>46778</v>
      </c>
      <c r="L140" s="3">
        <v>47144</v>
      </c>
      <c r="M140" s="2" t="s">
        <v>38</v>
      </c>
      <c r="N140" s="2" t="s">
        <v>38</v>
      </c>
      <c r="O140" s="2" t="s">
        <v>39</v>
      </c>
      <c r="P140" s="2" t="s">
        <v>89</v>
      </c>
      <c r="Q140" s="4">
        <v>19200</v>
      </c>
      <c r="R140" s="5">
        <v>21109823.23</v>
      </c>
      <c r="S140" s="2" t="s">
        <v>41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3">
        <v>47509</v>
      </c>
      <c r="AE140" s="3">
        <v>46778</v>
      </c>
      <c r="AF140" s="2" t="s">
        <v>38</v>
      </c>
      <c r="AG140" s="2" t="s">
        <v>38</v>
      </c>
      <c r="AH140" s="4">
        <f>DataTable[[#This Row],[Unrestricted]]+DataTable[[#This Row],[Transit &amp; transfer]]+DataTable[[#This Row],[In Quality Insp.]]+DataTable[[#This Row],[Restricted Use Stock]]+DataTable[[#This Row],[Blocked]]</f>
        <v>19200</v>
      </c>
    </row>
    <row r="141" spans="1:34" x14ac:dyDescent="0.35">
      <c r="A141" s="2" t="s">
        <v>362</v>
      </c>
      <c r="B141" s="2" t="s">
        <v>373</v>
      </c>
      <c r="C141" s="2" t="s">
        <v>35</v>
      </c>
      <c r="D141" s="2" t="s">
        <v>36</v>
      </c>
      <c r="E141" s="2" t="s">
        <v>374</v>
      </c>
      <c r="F141" s="3">
        <v>46049</v>
      </c>
      <c r="G141" s="3">
        <v>46051</v>
      </c>
      <c r="H141" s="3">
        <v>46166</v>
      </c>
      <c r="I141" s="3">
        <v>46872</v>
      </c>
      <c r="J141" s="3">
        <v>46049</v>
      </c>
      <c r="K141" s="3">
        <v>46779</v>
      </c>
      <c r="L141" s="3">
        <v>47145</v>
      </c>
      <c r="M141" s="2" t="s">
        <v>38</v>
      </c>
      <c r="N141" s="2" t="s">
        <v>38</v>
      </c>
      <c r="O141" s="2" t="s">
        <v>39</v>
      </c>
      <c r="P141" s="2" t="s">
        <v>89</v>
      </c>
      <c r="Q141" s="4">
        <v>19200</v>
      </c>
      <c r="R141" s="5">
        <v>21109823.23</v>
      </c>
      <c r="S141" s="2" t="s">
        <v>41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3">
        <v>47510</v>
      </c>
      <c r="AE141" s="3">
        <v>46779</v>
      </c>
      <c r="AF141" s="2" t="s">
        <v>38</v>
      </c>
      <c r="AG141" s="2" t="s">
        <v>38</v>
      </c>
      <c r="AH141" s="4">
        <f>DataTable[[#This Row],[Unrestricted]]+DataTable[[#This Row],[Transit &amp; transfer]]+DataTable[[#This Row],[In Quality Insp.]]+DataTable[[#This Row],[Restricted Use Stock]]+DataTable[[#This Row],[Blocked]]</f>
        <v>19200</v>
      </c>
    </row>
    <row r="142" spans="1:34" x14ac:dyDescent="0.35">
      <c r="A142" s="2" t="s">
        <v>362</v>
      </c>
      <c r="B142" s="2" t="s">
        <v>375</v>
      </c>
      <c r="C142" s="2" t="s">
        <v>35</v>
      </c>
      <c r="D142" s="2" t="s">
        <v>36</v>
      </c>
      <c r="E142" s="2" t="s">
        <v>376</v>
      </c>
      <c r="F142" s="3">
        <v>46050</v>
      </c>
      <c r="G142" s="3">
        <v>46052</v>
      </c>
      <c r="H142" s="3">
        <v>46166</v>
      </c>
      <c r="I142" s="3">
        <v>46873</v>
      </c>
      <c r="J142" s="3">
        <v>46050</v>
      </c>
      <c r="K142" s="3">
        <v>46780</v>
      </c>
      <c r="L142" s="3">
        <v>47146</v>
      </c>
      <c r="M142" s="2" t="s">
        <v>38</v>
      </c>
      <c r="N142" s="2" t="s">
        <v>38</v>
      </c>
      <c r="O142" s="2" t="s">
        <v>39</v>
      </c>
      <c r="P142" s="2" t="s">
        <v>89</v>
      </c>
      <c r="Q142" s="4">
        <v>14400</v>
      </c>
      <c r="R142" s="5">
        <v>15832367.43</v>
      </c>
      <c r="S142" s="2" t="s">
        <v>41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3">
        <v>47511</v>
      </c>
      <c r="AE142" s="3">
        <v>46780</v>
      </c>
      <c r="AF142" s="2" t="s">
        <v>38</v>
      </c>
      <c r="AG142" s="2" t="s">
        <v>38</v>
      </c>
      <c r="AH142" s="4">
        <f>DataTable[[#This Row],[Unrestricted]]+DataTable[[#This Row],[Transit &amp; transfer]]+DataTable[[#This Row],[In Quality Insp.]]+DataTable[[#This Row],[Restricted Use Stock]]+DataTable[[#This Row],[Blocked]]</f>
        <v>14400</v>
      </c>
    </row>
    <row r="143" spans="1:34" x14ac:dyDescent="0.35">
      <c r="A143" s="2" t="s">
        <v>362</v>
      </c>
      <c r="B143" s="2" t="s">
        <v>377</v>
      </c>
      <c r="C143" s="2" t="s">
        <v>35</v>
      </c>
      <c r="D143" s="2" t="s">
        <v>36</v>
      </c>
      <c r="E143" s="2" t="s">
        <v>378</v>
      </c>
      <c r="F143" s="3">
        <v>46076</v>
      </c>
      <c r="G143" s="3">
        <v>46078</v>
      </c>
      <c r="H143" s="3">
        <v>46166</v>
      </c>
      <c r="I143" s="3">
        <v>46899</v>
      </c>
      <c r="J143" s="3">
        <v>46076</v>
      </c>
      <c r="K143" s="3">
        <v>46806</v>
      </c>
      <c r="L143" s="3">
        <v>47172</v>
      </c>
      <c r="M143" s="2" t="s">
        <v>38</v>
      </c>
      <c r="N143" s="2" t="s">
        <v>38</v>
      </c>
      <c r="O143" s="2" t="s">
        <v>39</v>
      </c>
      <c r="P143" s="2" t="s">
        <v>89</v>
      </c>
      <c r="Q143" s="4">
        <v>2400</v>
      </c>
      <c r="R143" s="5">
        <v>2638727.9</v>
      </c>
      <c r="S143" s="2" t="s">
        <v>41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3">
        <v>47537</v>
      </c>
      <c r="AE143" s="3">
        <v>46806</v>
      </c>
      <c r="AF143" s="2" t="s">
        <v>38</v>
      </c>
      <c r="AG143" s="2" t="s">
        <v>38</v>
      </c>
      <c r="AH143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144" spans="1:34" x14ac:dyDescent="0.35">
      <c r="A144" s="2" t="s">
        <v>362</v>
      </c>
      <c r="B144" s="2" t="s">
        <v>379</v>
      </c>
      <c r="C144" s="2" t="s">
        <v>35</v>
      </c>
      <c r="D144" s="2" t="s">
        <v>36</v>
      </c>
      <c r="E144" s="2" t="s">
        <v>380</v>
      </c>
      <c r="F144" s="3">
        <v>46077</v>
      </c>
      <c r="G144" s="3">
        <v>46079</v>
      </c>
      <c r="H144" s="3">
        <v>46166</v>
      </c>
      <c r="I144" s="3">
        <v>46900</v>
      </c>
      <c r="J144" s="3">
        <v>46077</v>
      </c>
      <c r="K144" s="3">
        <v>46807</v>
      </c>
      <c r="L144" s="3">
        <v>47173</v>
      </c>
      <c r="M144" s="2" t="s">
        <v>38</v>
      </c>
      <c r="N144" s="2" t="s">
        <v>38</v>
      </c>
      <c r="O144" s="2" t="s">
        <v>39</v>
      </c>
      <c r="P144" s="2" t="s">
        <v>89</v>
      </c>
      <c r="Q144" s="4">
        <v>19200</v>
      </c>
      <c r="R144" s="5">
        <v>21109823.23</v>
      </c>
      <c r="S144" s="2" t="s">
        <v>41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3">
        <v>47538</v>
      </c>
      <c r="AE144" s="3">
        <v>46807</v>
      </c>
      <c r="AF144" s="2" t="s">
        <v>38</v>
      </c>
      <c r="AG144" s="2" t="s">
        <v>38</v>
      </c>
      <c r="AH144" s="4">
        <f>DataTable[[#This Row],[Unrestricted]]+DataTable[[#This Row],[Transit &amp; transfer]]+DataTable[[#This Row],[In Quality Insp.]]+DataTable[[#This Row],[Restricted Use Stock]]+DataTable[[#This Row],[Blocked]]</f>
        <v>19200</v>
      </c>
    </row>
    <row r="145" spans="1:34" x14ac:dyDescent="0.35">
      <c r="A145" s="2" t="s">
        <v>362</v>
      </c>
      <c r="B145" s="2" t="s">
        <v>381</v>
      </c>
      <c r="C145" s="2" t="s">
        <v>35</v>
      </c>
      <c r="D145" s="2" t="s">
        <v>36</v>
      </c>
      <c r="E145" s="2" t="s">
        <v>382</v>
      </c>
      <c r="F145" s="3">
        <v>46077</v>
      </c>
      <c r="G145" s="3">
        <v>46079</v>
      </c>
      <c r="H145" s="3">
        <v>46166</v>
      </c>
      <c r="I145" s="3">
        <v>46900</v>
      </c>
      <c r="J145" s="3">
        <v>46077</v>
      </c>
      <c r="K145" s="3">
        <v>46807</v>
      </c>
      <c r="L145" s="3">
        <v>47173</v>
      </c>
      <c r="M145" s="2" t="s">
        <v>38</v>
      </c>
      <c r="N145" s="2" t="s">
        <v>38</v>
      </c>
      <c r="O145" s="2" t="s">
        <v>39</v>
      </c>
      <c r="P145" s="2" t="s">
        <v>89</v>
      </c>
      <c r="Q145" s="4">
        <v>7200</v>
      </c>
      <c r="R145" s="5">
        <v>7916183.71</v>
      </c>
      <c r="S145" s="2" t="s">
        <v>41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3">
        <v>47538</v>
      </c>
      <c r="AE145" s="3">
        <v>46807</v>
      </c>
      <c r="AF145" s="2" t="s">
        <v>38</v>
      </c>
      <c r="AG145" s="2" t="s">
        <v>38</v>
      </c>
      <c r="AH145" s="4">
        <f>DataTable[[#This Row],[Unrestricted]]+DataTable[[#This Row],[Transit &amp; transfer]]+DataTable[[#This Row],[In Quality Insp.]]+DataTable[[#This Row],[Restricted Use Stock]]+DataTable[[#This Row],[Blocked]]</f>
        <v>7200</v>
      </c>
    </row>
    <row r="146" spans="1:34" x14ac:dyDescent="0.35">
      <c r="A146" s="2" t="s">
        <v>383</v>
      </c>
      <c r="B146" s="2" t="s">
        <v>384</v>
      </c>
      <c r="C146" s="2" t="s">
        <v>35</v>
      </c>
      <c r="D146" s="2" t="s">
        <v>36</v>
      </c>
      <c r="E146" s="2" t="s">
        <v>385</v>
      </c>
      <c r="F146" s="3">
        <v>46148</v>
      </c>
      <c r="G146" s="3">
        <v>46154</v>
      </c>
      <c r="H146" s="3">
        <v>46188</v>
      </c>
      <c r="I146" s="3">
        <v>46606</v>
      </c>
      <c r="J146" s="3">
        <v>46148</v>
      </c>
      <c r="K146" s="3">
        <v>46879</v>
      </c>
      <c r="L146" s="3">
        <v>46879</v>
      </c>
      <c r="M146" s="2" t="s">
        <v>38</v>
      </c>
      <c r="N146" s="2" t="s">
        <v>38</v>
      </c>
      <c r="O146" s="2" t="s">
        <v>39</v>
      </c>
      <c r="P146" s="2" t="s">
        <v>40</v>
      </c>
      <c r="Q146" s="4">
        <v>3000</v>
      </c>
      <c r="R146" s="5">
        <v>8604834.6300000008</v>
      </c>
      <c r="S146" s="2" t="s">
        <v>41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3">
        <v>47244</v>
      </c>
      <c r="AE146" s="2" t="s">
        <v>38</v>
      </c>
      <c r="AF146" s="2" t="s">
        <v>38</v>
      </c>
      <c r="AG146" s="2" t="s">
        <v>38</v>
      </c>
      <c r="AH146" s="4">
        <f>DataTable[[#This Row],[Unrestricted]]+DataTable[[#This Row],[Transit &amp; transfer]]+DataTable[[#This Row],[In Quality Insp.]]+DataTable[[#This Row],[Restricted Use Stock]]+DataTable[[#This Row],[Blocked]]</f>
        <v>3000</v>
      </c>
    </row>
    <row r="147" spans="1:34" x14ac:dyDescent="0.35">
      <c r="A147" s="2" t="s">
        <v>386</v>
      </c>
      <c r="B147" s="2" t="s">
        <v>387</v>
      </c>
      <c r="C147" s="2" t="s">
        <v>35</v>
      </c>
      <c r="D147" s="2" t="s">
        <v>36</v>
      </c>
      <c r="E147" s="2" t="s">
        <v>388</v>
      </c>
      <c r="F147" s="3">
        <v>46081</v>
      </c>
      <c r="G147" s="3">
        <v>46196</v>
      </c>
      <c r="H147" s="3">
        <v>46196</v>
      </c>
      <c r="I147" s="3">
        <v>46925</v>
      </c>
      <c r="J147" s="3">
        <v>46081</v>
      </c>
      <c r="K147" s="3">
        <v>46811</v>
      </c>
      <c r="L147" s="3">
        <v>46811</v>
      </c>
      <c r="M147" s="2" t="s">
        <v>38</v>
      </c>
      <c r="N147" s="2" t="s">
        <v>38</v>
      </c>
      <c r="O147" s="2" t="s">
        <v>39</v>
      </c>
      <c r="P147" s="2" t="s">
        <v>40</v>
      </c>
      <c r="Q147" s="4">
        <v>360</v>
      </c>
      <c r="R147" s="5">
        <v>2375397.5099999998</v>
      </c>
      <c r="S147" s="2" t="s">
        <v>41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3">
        <v>46811</v>
      </c>
      <c r="AE147" s="2" t="s">
        <v>38</v>
      </c>
      <c r="AF147" s="2" t="s">
        <v>38</v>
      </c>
      <c r="AG147" s="2" t="s">
        <v>38</v>
      </c>
      <c r="AH147" s="4">
        <f>DataTable[[#This Row],[Unrestricted]]+DataTable[[#This Row],[Transit &amp; transfer]]+DataTable[[#This Row],[In Quality Insp.]]+DataTable[[#This Row],[Restricted Use Stock]]+DataTable[[#This Row],[Blocked]]</f>
        <v>360</v>
      </c>
    </row>
    <row r="148" spans="1:34" x14ac:dyDescent="0.35">
      <c r="A148" s="2" t="s">
        <v>386</v>
      </c>
      <c r="B148" s="2" t="s">
        <v>389</v>
      </c>
      <c r="C148" s="2" t="s">
        <v>35</v>
      </c>
      <c r="D148" s="2" t="s">
        <v>36</v>
      </c>
      <c r="E148" s="2" t="s">
        <v>390</v>
      </c>
      <c r="F148" s="3">
        <v>46196</v>
      </c>
      <c r="G148" s="3">
        <v>46196</v>
      </c>
      <c r="H148" s="3">
        <v>46196</v>
      </c>
      <c r="I148" s="3">
        <v>46926</v>
      </c>
      <c r="J148" s="3">
        <v>46196</v>
      </c>
      <c r="K148" s="3">
        <v>46927</v>
      </c>
      <c r="L148" s="3">
        <v>46927</v>
      </c>
      <c r="M148" s="2" t="s">
        <v>38</v>
      </c>
      <c r="N148" s="2" t="s">
        <v>38</v>
      </c>
      <c r="O148" s="2" t="s">
        <v>39</v>
      </c>
      <c r="P148" s="2" t="s">
        <v>40</v>
      </c>
      <c r="Q148" s="4">
        <v>788</v>
      </c>
      <c r="R148" s="5">
        <v>5199481.22</v>
      </c>
      <c r="S148" s="2" t="s">
        <v>41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3">
        <v>46927</v>
      </c>
      <c r="AE148" s="2" t="s">
        <v>38</v>
      </c>
      <c r="AF148" s="2" t="s">
        <v>38</v>
      </c>
      <c r="AG148" s="2" t="s">
        <v>38</v>
      </c>
      <c r="AH148" s="4">
        <f>DataTable[[#This Row],[Unrestricted]]+DataTable[[#This Row],[Transit &amp; transfer]]+DataTable[[#This Row],[In Quality Insp.]]+DataTable[[#This Row],[Restricted Use Stock]]+DataTable[[#This Row],[Blocked]]</f>
        <v>788</v>
      </c>
    </row>
    <row r="149" spans="1:34" x14ac:dyDescent="0.35">
      <c r="A149" s="2" t="s">
        <v>386</v>
      </c>
      <c r="B149" s="2" t="s">
        <v>391</v>
      </c>
      <c r="C149" s="2" t="s">
        <v>35</v>
      </c>
      <c r="D149" s="2" t="s">
        <v>36</v>
      </c>
      <c r="E149" s="2" t="s">
        <v>392</v>
      </c>
      <c r="F149" s="3">
        <v>46196</v>
      </c>
      <c r="G149" s="3">
        <v>46196</v>
      </c>
      <c r="H149" s="3">
        <v>46196</v>
      </c>
      <c r="I149" s="3">
        <v>46926</v>
      </c>
      <c r="J149" s="3">
        <v>46196</v>
      </c>
      <c r="K149" s="3">
        <v>46927</v>
      </c>
      <c r="L149" s="3">
        <v>46927</v>
      </c>
      <c r="M149" s="2" t="s">
        <v>38</v>
      </c>
      <c r="N149" s="2" t="s">
        <v>38</v>
      </c>
      <c r="O149" s="2" t="s">
        <v>39</v>
      </c>
      <c r="P149" s="2" t="s">
        <v>40</v>
      </c>
      <c r="Q149" s="4">
        <v>456</v>
      </c>
      <c r="R149" s="5">
        <v>3008836.85</v>
      </c>
      <c r="S149" s="2" t="s">
        <v>41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3">
        <v>46927</v>
      </c>
      <c r="AE149" s="2" t="s">
        <v>38</v>
      </c>
      <c r="AF149" s="2" t="s">
        <v>38</v>
      </c>
      <c r="AG149" s="2" t="s">
        <v>38</v>
      </c>
      <c r="AH149" s="4">
        <f>DataTable[[#This Row],[Unrestricted]]+DataTable[[#This Row],[Transit &amp; transfer]]+DataTable[[#This Row],[In Quality Insp.]]+DataTable[[#This Row],[Restricted Use Stock]]+DataTable[[#This Row],[Blocked]]</f>
        <v>456</v>
      </c>
    </row>
    <row r="150" spans="1:34" x14ac:dyDescent="0.35">
      <c r="A150" s="2" t="s">
        <v>386</v>
      </c>
      <c r="B150" s="2" t="s">
        <v>393</v>
      </c>
      <c r="C150" s="2" t="s">
        <v>35</v>
      </c>
      <c r="D150" s="2" t="s">
        <v>36</v>
      </c>
      <c r="E150" s="2" t="s">
        <v>394</v>
      </c>
      <c r="F150" s="3">
        <v>46199</v>
      </c>
      <c r="G150" s="3">
        <v>46201</v>
      </c>
      <c r="H150" s="3">
        <v>46201</v>
      </c>
      <c r="I150" s="3">
        <v>46927</v>
      </c>
      <c r="J150" s="3">
        <v>46199</v>
      </c>
      <c r="K150" s="3">
        <v>46930</v>
      </c>
      <c r="L150" s="3">
        <v>46930</v>
      </c>
      <c r="M150" s="2" t="s">
        <v>38</v>
      </c>
      <c r="N150" s="2" t="s">
        <v>38</v>
      </c>
      <c r="O150" s="2" t="s">
        <v>39</v>
      </c>
      <c r="P150" s="2" t="s">
        <v>40</v>
      </c>
      <c r="Q150" s="4">
        <v>530</v>
      </c>
      <c r="R150" s="5">
        <v>3497113.01</v>
      </c>
      <c r="S150" s="2" t="s">
        <v>41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3">
        <v>46930</v>
      </c>
      <c r="AE150" s="2" t="s">
        <v>38</v>
      </c>
      <c r="AF150" s="2" t="s">
        <v>38</v>
      </c>
      <c r="AG150" s="2" t="s">
        <v>38</v>
      </c>
      <c r="AH150" s="4">
        <f>DataTable[[#This Row],[Unrestricted]]+DataTable[[#This Row],[Transit &amp; transfer]]+DataTable[[#This Row],[In Quality Insp.]]+DataTable[[#This Row],[Restricted Use Stock]]+DataTable[[#This Row],[Blocked]]</f>
        <v>530</v>
      </c>
    </row>
    <row r="151" spans="1:34" x14ac:dyDescent="0.35">
      <c r="A151" s="2" t="s">
        <v>395</v>
      </c>
      <c r="B151" s="2" t="s">
        <v>396</v>
      </c>
      <c r="C151" s="2" t="s">
        <v>35</v>
      </c>
      <c r="D151" s="2" t="s">
        <v>36</v>
      </c>
      <c r="E151" s="2" t="s">
        <v>397</v>
      </c>
      <c r="F151" s="3">
        <v>45867</v>
      </c>
      <c r="G151" s="3">
        <v>45870</v>
      </c>
      <c r="H151" s="3">
        <v>45955</v>
      </c>
      <c r="I151" s="3">
        <v>46600</v>
      </c>
      <c r="J151" s="3">
        <v>45867</v>
      </c>
      <c r="K151" s="3">
        <v>46597</v>
      </c>
      <c r="L151" s="3">
        <v>46597</v>
      </c>
      <c r="M151" s="2" t="s">
        <v>38</v>
      </c>
      <c r="N151" s="2" t="s">
        <v>38</v>
      </c>
      <c r="O151" s="2" t="s">
        <v>39</v>
      </c>
      <c r="P151" s="2" t="s">
        <v>40</v>
      </c>
      <c r="Q151" s="4">
        <v>2400</v>
      </c>
      <c r="R151" s="5">
        <v>6640732.1500000004</v>
      </c>
      <c r="S151" s="2" t="s">
        <v>41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3">
        <v>46597</v>
      </c>
      <c r="AE151" s="2" t="s">
        <v>38</v>
      </c>
      <c r="AF151" s="2" t="s">
        <v>38</v>
      </c>
      <c r="AG151" s="2" t="s">
        <v>38</v>
      </c>
      <c r="AH151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152" spans="1:34" x14ac:dyDescent="0.35">
      <c r="A152" s="2" t="s">
        <v>395</v>
      </c>
      <c r="B152" s="2" t="s">
        <v>398</v>
      </c>
      <c r="C152" s="2" t="s">
        <v>35</v>
      </c>
      <c r="D152" s="2" t="s">
        <v>36</v>
      </c>
      <c r="E152" s="2" t="s">
        <v>399</v>
      </c>
      <c r="F152" s="3">
        <v>45870</v>
      </c>
      <c r="G152" s="3">
        <v>45870</v>
      </c>
      <c r="H152" s="3">
        <v>45948</v>
      </c>
      <c r="I152" s="3">
        <v>46600</v>
      </c>
      <c r="J152" s="3">
        <v>45870</v>
      </c>
      <c r="K152" s="3">
        <v>46600</v>
      </c>
      <c r="L152" s="3">
        <v>46600</v>
      </c>
      <c r="M152" s="2" t="s">
        <v>38</v>
      </c>
      <c r="N152" s="2" t="s">
        <v>38</v>
      </c>
      <c r="O152" s="2" t="s">
        <v>39</v>
      </c>
      <c r="P152" s="2" t="s">
        <v>40</v>
      </c>
      <c r="Q152" s="4">
        <v>7200</v>
      </c>
      <c r="R152" s="5">
        <v>19922196.460000001</v>
      </c>
      <c r="S152" s="2" t="s">
        <v>41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3">
        <v>46600</v>
      </c>
      <c r="AE152" s="2" t="s">
        <v>38</v>
      </c>
      <c r="AF152" s="2" t="s">
        <v>38</v>
      </c>
      <c r="AG152" s="2" t="s">
        <v>38</v>
      </c>
      <c r="AH152" s="4">
        <f>DataTable[[#This Row],[Unrestricted]]+DataTable[[#This Row],[Transit &amp; transfer]]+DataTable[[#This Row],[In Quality Insp.]]+DataTable[[#This Row],[Restricted Use Stock]]+DataTable[[#This Row],[Blocked]]</f>
        <v>7200</v>
      </c>
    </row>
    <row r="153" spans="1:34" x14ac:dyDescent="0.35">
      <c r="A153" s="2" t="s">
        <v>395</v>
      </c>
      <c r="B153" s="2" t="s">
        <v>400</v>
      </c>
      <c r="C153" s="2" t="s">
        <v>35</v>
      </c>
      <c r="D153" s="2" t="s">
        <v>36</v>
      </c>
      <c r="E153" s="2" t="s">
        <v>401</v>
      </c>
      <c r="F153" s="3">
        <v>45870</v>
      </c>
      <c r="G153" s="3">
        <v>45873</v>
      </c>
      <c r="H153" s="3">
        <v>45948</v>
      </c>
      <c r="I153" s="3">
        <v>46603</v>
      </c>
      <c r="J153" s="3">
        <v>45870</v>
      </c>
      <c r="K153" s="3">
        <v>46600</v>
      </c>
      <c r="L153" s="3">
        <v>46600</v>
      </c>
      <c r="M153" s="2" t="s">
        <v>38</v>
      </c>
      <c r="N153" s="2" t="s">
        <v>38</v>
      </c>
      <c r="O153" s="2" t="s">
        <v>39</v>
      </c>
      <c r="P153" s="2" t="s">
        <v>40</v>
      </c>
      <c r="Q153" s="4">
        <v>13600</v>
      </c>
      <c r="R153" s="5">
        <v>37630815.530000001</v>
      </c>
      <c r="S153" s="2" t="s">
        <v>41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3">
        <v>46600</v>
      </c>
      <c r="AE153" s="2" t="s">
        <v>38</v>
      </c>
      <c r="AF153" s="2" t="s">
        <v>38</v>
      </c>
      <c r="AG153" s="2" t="s">
        <v>38</v>
      </c>
      <c r="AH153" s="4">
        <f>DataTable[[#This Row],[Unrestricted]]+DataTable[[#This Row],[Transit &amp; transfer]]+DataTable[[#This Row],[In Quality Insp.]]+DataTable[[#This Row],[Restricted Use Stock]]+DataTable[[#This Row],[Blocked]]</f>
        <v>13600</v>
      </c>
    </row>
    <row r="154" spans="1:34" x14ac:dyDescent="0.35">
      <c r="A154" s="2" t="s">
        <v>395</v>
      </c>
      <c r="B154" s="2" t="s">
        <v>402</v>
      </c>
      <c r="C154" s="2" t="s">
        <v>35</v>
      </c>
      <c r="D154" s="2" t="s">
        <v>36</v>
      </c>
      <c r="E154" s="2" t="s">
        <v>403</v>
      </c>
      <c r="F154" s="3">
        <v>45870</v>
      </c>
      <c r="G154" s="3">
        <v>45873</v>
      </c>
      <c r="H154" s="3">
        <v>45948</v>
      </c>
      <c r="I154" s="3">
        <v>46603</v>
      </c>
      <c r="J154" s="3">
        <v>45870</v>
      </c>
      <c r="K154" s="3">
        <v>46600</v>
      </c>
      <c r="L154" s="3">
        <v>46600</v>
      </c>
      <c r="M154" s="2" t="s">
        <v>38</v>
      </c>
      <c r="N154" s="2" t="s">
        <v>38</v>
      </c>
      <c r="O154" s="2" t="s">
        <v>39</v>
      </c>
      <c r="P154" s="2" t="s">
        <v>40</v>
      </c>
      <c r="Q154" s="4">
        <v>9600</v>
      </c>
      <c r="R154" s="5">
        <v>26562928.609999999</v>
      </c>
      <c r="S154" s="2" t="s">
        <v>41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3">
        <v>46600</v>
      </c>
      <c r="AE154" s="2" t="s">
        <v>38</v>
      </c>
      <c r="AF154" s="2" t="s">
        <v>38</v>
      </c>
      <c r="AG154" s="2" t="s">
        <v>38</v>
      </c>
      <c r="AH154" s="4">
        <f>DataTable[[#This Row],[Unrestricted]]+DataTable[[#This Row],[Transit &amp; transfer]]+DataTable[[#This Row],[In Quality Insp.]]+DataTable[[#This Row],[Restricted Use Stock]]+DataTable[[#This Row],[Blocked]]</f>
        <v>9600</v>
      </c>
    </row>
    <row r="155" spans="1:34" x14ac:dyDescent="0.35">
      <c r="A155" s="2" t="s">
        <v>404</v>
      </c>
      <c r="B155" s="2" t="s">
        <v>405</v>
      </c>
      <c r="C155" s="2" t="s">
        <v>35</v>
      </c>
      <c r="D155" s="2" t="s">
        <v>36</v>
      </c>
      <c r="E155" s="2" t="s">
        <v>406</v>
      </c>
      <c r="F155" s="3">
        <v>45838</v>
      </c>
      <c r="G155" s="3">
        <v>45932</v>
      </c>
      <c r="H155" s="3">
        <v>45977</v>
      </c>
      <c r="I155" s="3">
        <v>46108</v>
      </c>
      <c r="J155" s="3">
        <v>45838</v>
      </c>
      <c r="K155" s="3">
        <v>46568</v>
      </c>
      <c r="L155" s="3">
        <v>46568</v>
      </c>
      <c r="M155" s="2" t="s">
        <v>38</v>
      </c>
      <c r="N155" s="2" t="s">
        <v>38</v>
      </c>
      <c r="O155" s="2" t="s">
        <v>39</v>
      </c>
      <c r="P155" s="2" t="s">
        <v>40</v>
      </c>
      <c r="Q155" s="4">
        <v>1217</v>
      </c>
      <c r="R155" s="5">
        <v>3805968</v>
      </c>
      <c r="S155" s="2" t="s">
        <v>41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3">
        <v>46568</v>
      </c>
      <c r="AE155" s="2" t="s">
        <v>38</v>
      </c>
      <c r="AF155" s="2" t="s">
        <v>38</v>
      </c>
      <c r="AG155" s="2" t="s">
        <v>38</v>
      </c>
      <c r="AH155" s="4">
        <f>DataTable[[#This Row],[Unrestricted]]+DataTable[[#This Row],[Transit &amp; transfer]]+DataTable[[#This Row],[In Quality Insp.]]+DataTable[[#This Row],[Restricted Use Stock]]+DataTable[[#This Row],[Blocked]]</f>
        <v>1217</v>
      </c>
    </row>
    <row r="156" spans="1:34" x14ac:dyDescent="0.35">
      <c r="A156" s="2" t="s">
        <v>404</v>
      </c>
      <c r="B156" s="2" t="s">
        <v>407</v>
      </c>
      <c r="C156" s="2" t="s">
        <v>35</v>
      </c>
      <c r="D156" s="2" t="s">
        <v>36</v>
      </c>
      <c r="E156" s="2" t="s">
        <v>408</v>
      </c>
      <c r="F156" s="3">
        <v>45838</v>
      </c>
      <c r="G156" s="3">
        <v>45939</v>
      </c>
      <c r="H156" s="3">
        <v>45943</v>
      </c>
      <c r="I156" s="3">
        <v>46118</v>
      </c>
      <c r="J156" s="3">
        <v>45838</v>
      </c>
      <c r="K156" s="3">
        <v>46568</v>
      </c>
      <c r="L156" s="3">
        <v>46568</v>
      </c>
      <c r="M156" s="2" t="s">
        <v>38</v>
      </c>
      <c r="N156" s="2" t="s">
        <v>38</v>
      </c>
      <c r="O156" s="2" t="s">
        <v>39</v>
      </c>
      <c r="P156" s="2" t="s">
        <v>40</v>
      </c>
      <c r="Q156" s="4">
        <v>1972</v>
      </c>
      <c r="R156" s="5">
        <v>6167106.7400000002</v>
      </c>
      <c r="S156" s="2" t="s">
        <v>41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3">
        <v>46568</v>
      </c>
      <c r="AE156" s="2" t="s">
        <v>38</v>
      </c>
      <c r="AF156" s="2" t="s">
        <v>38</v>
      </c>
      <c r="AG156" s="2" t="s">
        <v>38</v>
      </c>
      <c r="AH156" s="4">
        <f>DataTable[[#This Row],[Unrestricted]]+DataTable[[#This Row],[Transit &amp; transfer]]+DataTable[[#This Row],[In Quality Insp.]]+DataTable[[#This Row],[Restricted Use Stock]]+DataTable[[#This Row],[Blocked]]</f>
        <v>1972</v>
      </c>
    </row>
    <row r="157" spans="1:34" x14ac:dyDescent="0.35">
      <c r="A157" s="2" t="s">
        <v>404</v>
      </c>
      <c r="B157" s="2" t="s">
        <v>409</v>
      </c>
      <c r="C157" s="2" t="s">
        <v>35</v>
      </c>
      <c r="D157" s="2" t="s">
        <v>36</v>
      </c>
      <c r="E157" s="2" t="s">
        <v>410</v>
      </c>
      <c r="F157" s="3">
        <v>45838</v>
      </c>
      <c r="G157" s="3">
        <v>45946</v>
      </c>
      <c r="H157" s="3">
        <v>45945</v>
      </c>
      <c r="I157" s="3">
        <v>46119</v>
      </c>
      <c r="J157" s="3">
        <v>45838</v>
      </c>
      <c r="K157" s="3">
        <v>46568</v>
      </c>
      <c r="L157" s="3">
        <v>46568</v>
      </c>
      <c r="M157" s="2" t="s">
        <v>38</v>
      </c>
      <c r="N157" s="2" t="s">
        <v>38</v>
      </c>
      <c r="O157" s="2" t="s">
        <v>39</v>
      </c>
      <c r="P157" s="2" t="s">
        <v>40</v>
      </c>
      <c r="Q157" s="4">
        <v>3238</v>
      </c>
      <c r="R157" s="5">
        <v>10126314.210000001</v>
      </c>
      <c r="S157" s="2" t="s">
        <v>41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3">
        <v>46568</v>
      </c>
      <c r="AE157" s="2" t="s">
        <v>38</v>
      </c>
      <c r="AF157" s="2" t="s">
        <v>38</v>
      </c>
      <c r="AG157" s="2" t="s">
        <v>38</v>
      </c>
      <c r="AH157" s="4">
        <f>DataTable[[#This Row],[Unrestricted]]+DataTable[[#This Row],[Transit &amp; transfer]]+DataTable[[#This Row],[In Quality Insp.]]+DataTable[[#This Row],[Restricted Use Stock]]+DataTable[[#This Row],[Blocked]]</f>
        <v>3238</v>
      </c>
    </row>
    <row r="158" spans="1:34" x14ac:dyDescent="0.35">
      <c r="A158" s="2" t="s">
        <v>411</v>
      </c>
      <c r="B158" s="2" t="s">
        <v>412</v>
      </c>
      <c r="C158" s="2" t="s">
        <v>35</v>
      </c>
      <c r="D158" s="2" t="s">
        <v>36</v>
      </c>
      <c r="E158" s="2" t="s">
        <v>413</v>
      </c>
      <c r="F158" s="3">
        <v>45868</v>
      </c>
      <c r="G158" s="3">
        <v>46081</v>
      </c>
      <c r="H158" s="3">
        <v>46081</v>
      </c>
      <c r="I158" s="3">
        <v>46252</v>
      </c>
      <c r="J158" s="3">
        <v>45868</v>
      </c>
      <c r="K158" s="3">
        <v>46598</v>
      </c>
      <c r="L158" s="3">
        <v>46598</v>
      </c>
      <c r="M158" s="2" t="s">
        <v>38</v>
      </c>
      <c r="N158" s="2" t="s">
        <v>38</v>
      </c>
      <c r="O158" s="2" t="s">
        <v>39</v>
      </c>
      <c r="P158" s="2" t="s">
        <v>40</v>
      </c>
      <c r="Q158" s="4">
        <v>884</v>
      </c>
      <c r="R158" s="5">
        <v>2615584.2200000002</v>
      </c>
      <c r="S158" s="2" t="s">
        <v>41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3">
        <v>46598</v>
      </c>
      <c r="AE158" s="2" t="s">
        <v>38</v>
      </c>
      <c r="AF158" s="2" t="s">
        <v>38</v>
      </c>
      <c r="AG158" s="2" t="s">
        <v>38</v>
      </c>
      <c r="AH158" s="4">
        <f>DataTable[[#This Row],[Unrestricted]]+DataTable[[#This Row],[Transit &amp; transfer]]+DataTable[[#This Row],[In Quality Insp.]]+DataTable[[#This Row],[Restricted Use Stock]]+DataTable[[#This Row],[Blocked]]</f>
        <v>884</v>
      </c>
    </row>
    <row r="159" spans="1:34" x14ac:dyDescent="0.35">
      <c r="A159" s="2" t="s">
        <v>414</v>
      </c>
      <c r="B159" s="2" t="s">
        <v>415</v>
      </c>
      <c r="C159" s="2" t="s">
        <v>35</v>
      </c>
      <c r="D159" s="2" t="s">
        <v>36</v>
      </c>
      <c r="E159" s="2" t="s">
        <v>416</v>
      </c>
      <c r="F159" s="3">
        <v>45813</v>
      </c>
      <c r="G159" s="3">
        <v>45932</v>
      </c>
      <c r="H159" s="3">
        <v>45991</v>
      </c>
      <c r="I159" s="3">
        <v>46269</v>
      </c>
      <c r="J159" s="3">
        <v>45813</v>
      </c>
      <c r="K159" s="3">
        <v>46543</v>
      </c>
      <c r="L159" s="3">
        <v>46543</v>
      </c>
      <c r="M159" s="2" t="s">
        <v>38</v>
      </c>
      <c r="N159" s="2" t="s">
        <v>38</v>
      </c>
      <c r="O159" s="2" t="s">
        <v>39</v>
      </c>
      <c r="P159" s="2" t="s">
        <v>89</v>
      </c>
      <c r="Q159" s="4">
        <v>80</v>
      </c>
      <c r="R159" s="5">
        <v>528004.14</v>
      </c>
      <c r="S159" s="2" t="s">
        <v>41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3">
        <v>46909</v>
      </c>
      <c r="AE159" s="2" t="s">
        <v>38</v>
      </c>
      <c r="AF159" s="2" t="s">
        <v>38</v>
      </c>
      <c r="AG159" s="2" t="s">
        <v>38</v>
      </c>
      <c r="AH159" s="4">
        <f>DataTable[[#This Row],[Unrestricted]]+DataTable[[#This Row],[Transit &amp; transfer]]+DataTable[[#This Row],[In Quality Insp.]]+DataTable[[#This Row],[Restricted Use Stock]]+DataTable[[#This Row],[Blocked]]</f>
        <v>80</v>
      </c>
    </row>
    <row r="160" spans="1:34" x14ac:dyDescent="0.35">
      <c r="A160" s="2" t="s">
        <v>417</v>
      </c>
      <c r="B160" s="2" t="s">
        <v>418</v>
      </c>
      <c r="C160" s="2" t="s">
        <v>35</v>
      </c>
      <c r="D160" s="2" t="s">
        <v>36</v>
      </c>
      <c r="E160" s="2" t="s">
        <v>419</v>
      </c>
      <c r="F160" s="3">
        <v>46111</v>
      </c>
      <c r="G160" s="3">
        <v>46142</v>
      </c>
      <c r="H160" s="3">
        <v>46142</v>
      </c>
      <c r="I160" s="3">
        <v>46575</v>
      </c>
      <c r="J160" s="3">
        <v>46111</v>
      </c>
      <c r="K160" s="3">
        <v>46842</v>
      </c>
      <c r="L160" s="3">
        <v>46842</v>
      </c>
      <c r="M160" s="2" t="s">
        <v>38</v>
      </c>
      <c r="N160" s="2" t="s">
        <v>38</v>
      </c>
      <c r="O160" s="2" t="s">
        <v>39</v>
      </c>
      <c r="P160" s="2" t="s">
        <v>89</v>
      </c>
      <c r="Q160" s="4">
        <v>342.375</v>
      </c>
      <c r="R160" s="5">
        <v>6097232.3300000001</v>
      </c>
      <c r="S160" s="2" t="s">
        <v>41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3">
        <v>47207</v>
      </c>
      <c r="AE160" s="3">
        <v>46842</v>
      </c>
      <c r="AF160" s="2" t="s">
        <v>38</v>
      </c>
      <c r="AG160" s="2" t="s">
        <v>38</v>
      </c>
      <c r="AH160" s="4">
        <f>DataTable[[#This Row],[Unrestricted]]+DataTable[[#This Row],[Transit &amp; transfer]]+DataTable[[#This Row],[In Quality Insp.]]+DataTable[[#This Row],[Restricted Use Stock]]+DataTable[[#This Row],[Blocked]]</f>
        <v>342.375</v>
      </c>
    </row>
    <row r="161" spans="1:34" x14ac:dyDescent="0.35">
      <c r="A161" s="2" t="s">
        <v>420</v>
      </c>
      <c r="B161" s="2" t="s">
        <v>421</v>
      </c>
      <c r="C161" s="2" t="s">
        <v>35</v>
      </c>
      <c r="D161" s="2" t="s">
        <v>36</v>
      </c>
      <c r="E161" s="2" t="s">
        <v>422</v>
      </c>
      <c r="F161" s="3">
        <v>45779</v>
      </c>
      <c r="G161" s="3">
        <v>45900</v>
      </c>
      <c r="H161" s="3">
        <v>45985</v>
      </c>
      <c r="I161" s="3">
        <v>46239</v>
      </c>
      <c r="J161" s="3">
        <v>45779</v>
      </c>
      <c r="K161" s="3">
        <v>46509</v>
      </c>
      <c r="L161" s="3">
        <v>46509</v>
      </c>
      <c r="M161" s="2" t="s">
        <v>38</v>
      </c>
      <c r="N161" s="2" t="s">
        <v>38</v>
      </c>
      <c r="O161" s="2" t="s">
        <v>39</v>
      </c>
      <c r="P161" s="2" t="s">
        <v>40</v>
      </c>
      <c r="Q161" s="4">
        <v>324</v>
      </c>
      <c r="R161" s="5">
        <v>996620.65</v>
      </c>
      <c r="S161" s="2" t="s">
        <v>41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3">
        <v>46875</v>
      </c>
      <c r="AE161" s="3">
        <v>46509</v>
      </c>
      <c r="AF161" s="2" t="s">
        <v>38</v>
      </c>
      <c r="AG161" s="2" t="s">
        <v>38</v>
      </c>
      <c r="AH161" s="4">
        <f>DataTable[[#This Row],[Unrestricted]]+DataTable[[#This Row],[Transit &amp; transfer]]+DataTable[[#This Row],[In Quality Insp.]]+DataTable[[#This Row],[Restricted Use Stock]]+DataTable[[#This Row],[Blocked]]</f>
        <v>324</v>
      </c>
    </row>
    <row r="162" spans="1:34" x14ac:dyDescent="0.35">
      <c r="A162" s="2" t="s">
        <v>423</v>
      </c>
      <c r="B162" s="2" t="s">
        <v>424</v>
      </c>
      <c r="C162" s="2" t="s">
        <v>35</v>
      </c>
      <c r="D162" s="2" t="s">
        <v>36</v>
      </c>
      <c r="E162" s="2" t="s">
        <v>425</v>
      </c>
      <c r="F162" s="3">
        <v>45663</v>
      </c>
      <c r="G162" s="3">
        <v>45665</v>
      </c>
      <c r="H162" s="3">
        <v>45735</v>
      </c>
      <c r="I162" s="3">
        <v>46484</v>
      </c>
      <c r="J162" s="3">
        <v>45663</v>
      </c>
      <c r="K162" s="3">
        <v>46758</v>
      </c>
      <c r="L162" s="3">
        <v>46758</v>
      </c>
      <c r="M162" s="2" t="s">
        <v>38</v>
      </c>
      <c r="N162" s="2" t="s">
        <v>38</v>
      </c>
      <c r="O162" s="2" t="s">
        <v>39</v>
      </c>
      <c r="P162" s="2" t="s">
        <v>89</v>
      </c>
      <c r="Q162" s="4">
        <v>3600</v>
      </c>
      <c r="R162" s="5">
        <v>11491146</v>
      </c>
      <c r="S162" s="2" t="s">
        <v>41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3">
        <v>47124</v>
      </c>
      <c r="AE162" s="2" t="s">
        <v>38</v>
      </c>
      <c r="AF162" s="2" t="s">
        <v>38</v>
      </c>
      <c r="AG162" s="2" t="s">
        <v>38</v>
      </c>
      <c r="AH162" s="4">
        <f>DataTable[[#This Row],[Unrestricted]]+DataTable[[#This Row],[Transit &amp; transfer]]+DataTable[[#This Row],[In Quality Insp.]]+DataTable[[#This Row],[Restricted Use Stock]]+DataTable[[#This Row],[Blocked]]</f>
        <v>3600</v>
      </c>
    </row>
    <row r="163" spans="1:34" x14ac:dyDescent="0.35">
      <c r="A163" s="2" t="s">
        <v>423</v>
      </c>
      <c r="B163" s="2" t="s">
        <v>426</v>
      </c>
      <c r="C163" s="2" t="s">
        <v>35</v>
      </c>
      <c r="D163" s="2" t="s">
        <v>36</v>
      </c>
      <c r="E163" s="2" t="s">
        <v>427</v>
      </c>
      <c r="F163" s="3">
        <v>45664</v>
      </c>
      <c r="G163" s="3">
        <v>45665</v>
      </c>
      <c r="H163" s="3">
        <v>45735</v>
      </c>
      <c r="I163" s="3">
        <v>46485</v>
      </c>
      <c r="J163" s="3">
        <v>45664</v>
      </c>
      <c r="K163" s="3">
        <v>46759</v>
      </c>
      <c r="L163" s="3">
        <v>46759</v>
      </c>
      <c r="M163" s="2" t="s">
        <v>38</v>
      </c>
      <c r="N163" s="2" t="s">
        <v>38</v>
      </c>
      <c r="O163" s="2" t="s">
        <v>39</v>
      </c>
      <c r="P163" s="2" t="s">
        <v>89</v>
      </c>
      <c r="Q163" s="4">
        <v>1800</v>
      </c>
      <c r="R163" s="5">
        <v>5745573</v>
      </c>
      <c r="S163" s="2" t="s">
        <v>41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3">
        <v>47125</v>
      </c>
      <c r="AE163" s="2" t="s">
        <v>38</v>
      </c>
      <c r="AF163" s="2" t="s">
        <v>38</v>
      </c>
      <c r="AG163" s="2" t="s">
        <v>38</v>
      </c>
      <c r="AH163" s="4">
        <f>DataTable[[#This Row],[Unrestricted]]+DataTable[[#This Row],[Transit &amp; transfer]]+DataTable[[#This Row],[In Quality Insp.]]+DataTable[[#This Row],[Restricted Use Stock]]+DataTable[[#This Row],[Blocked]]</f>
        <v>1800</v>
      </c>
    </row>
    <row r="164" spans="1:34" x14ac:dyDescent="0.35">
      <c r="A164" s="2" t="s">
        <v>428</v>
      </c>
      <c r="B164" s="2" t="s">
        <v>429</v>
      </c>
      <c r="C164" s="2" t="s">
        <v>35</v>
      </c>
      <c r="D164" s="2" t="s">
        <v>36</v>
      </c>
      <c r="E164" s="2" t="s">
        <v>430</v>
      </c>
      <c r="F164" s="3">
        <v>46038</v>
      </c>
      <c r="G164" s="3">
        <v>46067</v>
      </c>
      <c r="H164" s="3">
        <v>46069</v>
      </c>
      <c r="I164" s="3">
        <v>46768</v>
      </c>
      <c r="J164" s="3">
        <v>46038</v>
      </c>
      <c r="K164" s="3">
        <v>47134</v>
      </c>
      <c r="L164" s="3">
        <v>47134</v>
      </c>
      <c r="M164" s="2" t="s">
        <v>38</v>
      </c>
      <c r="N164" s="2" t="s">
        <v>38</v>
      </c>
      <c r="O164" s="2" t="s">
        <v>39</v>
      </c>
      <c r="P164" s="2" t="s">
        <v>89</v>
      </c>
      <c r="Q164" s="4">
        <v>270</v>
      </c>
      <c r="R164" s="5">
        <v>2470884.75</v>
      </c>
      <c r="S164" s="2" t="s">
        <v>41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3">
        <v>47499</v>
      </c>
      <c r="AE164" s="2" t="s">
        <v>38</v>
      </c>
      <c r="AF164" s="2" t="s">
        <v>38</v>
      </c>
      <c r="AG164" s="2" t="s">
        <v>38</v>
      </c>
      <c r="AH164" s="4">
        <f>DataTable[[#This Row],[Unrestricted]]+DataTable[[#This Row],[Transit &amp; transfer]]+DataTable[[#This Row],[In Quality Insp.]]+DataTable[[#This Row],[Restricted Use Stock]]+DataTable[[#This Row],[Blocked]]</f>
        <v>270</v>
      </c>
    </row>
    <row r="165" spans="1:34" x14ac:dyDescent="0.35">
      <c r="A165" s="2" t="s">
        <v>428</v>
      </c>
      <c r="B165" s="2" t="s">
        <v>431</v>
      </c>
      <c r="C165" s="2" t="s">
        <v>35</v>
      </c>
      <c r="D165" s="2" t="s">
        <v>36</v>
      </c>
      <c r="E165" s="2" t="s">
        <v>432</v>
      </c>
      <c r="F165" s="3">
        <v>46038</v>
      </c>
      <c r="G165" s="3">
        <v>46067</v>
      </c>
      <c r="H165" s="3">
        <v>46069</v>
      </c>
      <c r="I165" s="3">
        <v>46768</v>
      </c>
      <c r="J165" s="3">
        <v>46038</v>
      </c>
      <c r="K165" s="3">
        <v>47134</v>
      </c>
      <c r="L165" s="3">
        <v>47134</v>
      </c>
      <c r="M165" s="2" t="s">
        <v>38</v>
      </c>
      <c r="N165" s="2" t="s">
        <v>38</v>
      </c>
      <c r="O165" s="2" t="s">
        <v>39</v>
      </c>
      <c r="P165" s="2" t="s">
        <v>89</v>
      </c>
      <c r="Q165" s="4">
        <v>120</v>
      </c>
      <c r="R165" s="5">
        <v>1098171</v>
      </c>
      <c r="S165" s="2" t="s">
        <v>41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3">
        <v>47499</v>
      </c>
      <c r="AE165" s="2" t="s">
        <v>38</v>
      </c>
      <c r="AF165" s="2" t="s">
        <v>38</v>
      </c>
      <c r="AG165" s="2" t="s">
        <v>38</v>
      </c>
      <c r="AH165" s="4">
        <f>DataTable[[#This Row],[Unrestricted]]+DataTable[[#This Row],[Transit &amp; transfer]]+DataTable[[#This Row],[In Quality Insp.]]+DataTable[[#This Row],[Restricted Use Stock]]+DataTable[[#This Row],[Blocked]]</f>
        <v>120</v>
      </c>
    </row>
    <row r="166" spans="1:34" x14ac:dyDescent="0.35">
      <c r="A166" s="2" t="s">
        <v>433</v>
      </c>
      <c r="B166" s="2" t="s">
        <v>434</v>
      </c>
      <c r="C166" s="2" t="s">
        <v>35</v>
      </c>
      <c r="D166" s="2" t="s">
        <v>36</v>
      </c>
      <c r="E166" s="2" t="s">
        <v>435</v>
      </c>
      <c r="F166" s="3">
        <v>46134</v>
      </c>
      <c r="G166" s="3">
        <v>46155</v>
      </c>
      <c r="H166" s="3">
        <v>46182</v>
      </c>
      <c r="I166" s="3">
        <v>46609</v>
      </c>
      <c r="J166" s="3">
        <v>46134</v>
      </c>
      <c r="K166" s="3">
        <v>47230</v>
      </c>
      <c r="L166" s="3">
        <v>47230</v>
      </c>
      <c r="M166" s="2" t="s">
        <v>38</v>
      </c>
      <c r="N166" s="2" t="s">
        <v>38</v>
      </c>
      <c r="O166" s="2" t="s">
        <v>39</v>
      </c>
      <c r="P166" s="2" t="s">
        <v>40</v>
      </c>
      <c r="Q166" s="4">
        <v>2400</v>
      </c>
      <c r="R166" s="5">
        <v>6751261.6600000001</v>
      </c>
      <c r="S166" s="2" t="s">
        <v>41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3">
        <v>47230</v>
      </c>
      <c r="AE166" s="2" t="s">
        <v>38</v>
      </c>
      <c r="AF166" s="2" t="s">
        <v>38</v>
      </c>
      <c r="AG166" s="2" t="s">
        <v>38</v>
      </c>
      <c r="AH166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167" spans="1:34" x14ac:dyDescent="0.35">
      <c r="A167" s="2" t="s">
        <v>433</v>
      </c>
      <c r="B167" s="2" t="s">
        <v>436</v>
      </c>
      <c r="C167" s="2" t="s">
        <v>35</v>
      </c>
      <c r="D167" s="2" t="s">
        <v>36</v>
      </c>
      <c r="E167" s="2" t="s">
        <v>437</v>
      </c>
      <c r="F167" s="3">
        <v>46134</v>
      </c>
      <c r="G167" s="3">
        <v>46155</v>
      </c>
      <c r="H167" s="3">
        <v>46182</v>
      </c>
      <c r="I167" s="3">
        <v>46609</v>
      </c>
      <c r="J167" s="3">
        <v>46134</v>
      </c>
      <c r="K167" s="3">
        <v>47230</v>
      </c>
      <c r="L167" s="3">
        <v>47230</v>
      </c>
      <c r="M167" s="2" t="s">
        <v>38</v>
      </c>
      <c r="N167" s="2" t="s">
        <v>38</v>
      </c>
      <c r="O167" s="2" t="s">
        <v>39</v>
      </c>
      <c r="P167" s="2" t="s">
        <v>40</v>
      </c>
      <c r="Q167" s="4">
        <v>8000</v>
      </c>
      <c r="R167" s="5">
        <v>22504205.52</v>
      </c>
      <c r="S167" s="2" t="s">
        <v>41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3">
        <v>47230</v>
      </c>
      <c r="AE167" s="2" t="s">
        <v>38</v>
      </c>
      <c r="AF167" s="2" t="s">
        <v>38</v>
      </c>
      <c r="AG167" s="2" t="s">
        <v>38</v>
      </c>
      <c r="AH167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68" spans="1:34" x14ac:dyDescent="0.35">
      <c r="A168" s="2" t="s">
        <v>433</v>
      </c>
      <c r="B168" s="2" t="s">
        <v>438</v>
      </c>
      <c r="C168" s="2" t="s">
        <v>35</v>
      </c>
      <c r="D168" s="2" t="s">
        <v>36</v>
      </c>
      <c r="E168" s="2" t="s">
        <v>439</v>
      </c>
      <c r="F168" s="3">
        <v>46135</v>
      </c>
      <c r="G168" s="3">
        <v>46155</v>
      </c>
      <c r="H168" s="3">
        <v>46182</v>
      </c>
      <c r="I168" s="3">
        <v>46609</v>
      </c>
      <c r="J168" s="3">
        <v>46135</v>
      </c>
      <c r="K168" s="3">
        <v>47231</v>
      </c>
      <c r="L168" s="3">
        <v>47231</v>
      </c>
      <c r="M168" s="2" t="s">
        <v>38</v>
      </c>
      <c r="N168" s="2" t="s">
        <v>38</v>
      </c>
      <c r="O168" s="2" t="s">
        <v>39</v>
      </c>
      <c r="P168" s="2" t="s">
        <v>40</v>
      </c>
      <c r="Q168" s="4">
        <v>8000</v>
      </c>
      <c r="R168" s="5">
        <v>22504205.52</v>
      </c>
      <c r="S168" s="2" t="s">
        <v>41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3">
        <v>47231</v>
      </c>
      <c r="AE168" s="2" t="s">
        <v>38</v>
      </c>
      <c r="AF168" s="2" t="s">
        <v>38</v>
      </c>
      <c r="AG168" s="2" t="s">
        <v>38</v>
      </c>
      <c r="AH168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69" spans="1:34" x14ac:dyDescent="0.35">
      <c r="A169" s="2" t="s">
        <v>433</v>
      </c>
      <c r="B169" s="2" t="s">
        <v>440</v>
      </c>
      <c r="C169" s="2" t="s">
        <v>35</v>
      </c>
      <c r="D169" s="2" t="s">
        <v>36</v>
      </c>
      <c r="E169" s="2" t="s">
        <v>441</v>
      </c>
      <c r="F169" s="3">
        <v>46135</v>
      </c>
      <c r="G169" s="3">
        <v>46155</v>
      </c>
      <c r="H169" s="3">
        <v>46182</v>
      </c>
      <c r="I169" s="3">
        <v>46609</v>
      </c>
      <c r="J169" s="3">
        <v>46135</v>
      </c>
      <c r="K169" s="3">
        <v>47231</v>
      </c>
      <c r="L169" s="3">
        <v>47231</v>
      </c>
      <c r="M169" s="2" t="s">
        <v>38</v>
      </c>
      <c r="N169" s="2" t="s">
        <v>38</v>
      </c>
      <c r="O169" s="2" t="s">
        <v>39</v>
      </c>
      <c r="P169" s="2" t="s">
        <v>40</v>
      </c>
      <c r="Q169" s="4">
        <v>8000</v>
      </c>
      <c r="R169" s="5">
        <v>22504205.52</v>
      </c>
      <c r="S169" s="2" t="s">
        <v>41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3">
        <v>47231</v>
      </c>
      <c r="AE169" s="2" t="s">
        <v>38</v>
      </c>
      <c r="AF169" s="2" t="s">
        <v>38</v>
      </c>
      <c r="AG169" s="2" t="s">
        <v>38</v>
      </c>
      <c r="AH169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0" spans="1:34" x14ac:dyDescent="0.35">
      <c r="A170" s="2" t="s">
        <v>433</v>
      </c>
      <c r="B170" s="2" t="s">
        <v>442</v>
      </c>
      <c r="C170" s="2" t="s">
        <v>35</v>
      </c>
      <c r="D170" s="2" t="s">
        <v>36</v>
      </c>
      <c r="E170" s="2" t="s">
        <v>443</v>
      </c>
      <c r="F170" s="3">
        <v>46136</v>
      </c>
      <c r="G170" s="3">
        <v>46155</v>
      </c>
      <c r="H170" s="3">
        <v>46182</v>
      </c>
      <c r="I170" s="3">
        <v>46609</v>
      </c>
      <c r="J170" s="3">
        <v>46136</v>
      </c>
      <c r="K170" s="3">
        <v>47232</v>
      </c>
      <c r="L170" s="3">
        <v>47232</v>
      </c>
      <c r="M170" s="2" t="s">
        <v>38</v>
      </c>
      <c r="N170" s="2" t="s">
        <v>38</v>
      </c>
      <c r="O170" s="2" t="s">
        <v>39</v>
      </c>
      <c r="P170" s="2" t="s">
        <v>40</v>
      </c>
      <c r="Q170" s="4">
        <v>8000</v>
      </c>
      <c r="R170" s="5">
        <v>22504205.52</v>
      </c>
      <c r="S170" s="2" t="s">
        <v>41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3">
        <v>47232</v>
      </c>
      <c r="AE170" s="2" t="s">
        <v>38</v>
      </c>
      <c r="AF170" s="2" t="s">
        <v>38</v>
      </c>
      <c r="AG170" s="2" t="s">
        <v>38</v>
      </c>
      <c r="AH170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1" spans="1:34" x14ac:dyDescent="0.35">
      <c r="A171" s="2" t="s">
        <v>433</v>
      </c>
      <c r="B171" s="2" t="s">
        <v>444</v>
      </c>
      <c r="C171" s="2" t="s">
        <v>35</v>
      </c>
      <c r="D171" s="2" t="s">
        <v>36</v>
      </c>
      <c r="E171" s="2" t="s">
        <v>445</v>
      </c>
      <c r="F171" s="3">
        <v>46136</v>
      </c>
      <c r="G171" s="3">
        <v>46155</v>
      </c>
      <c r="H171" s="3">
        <v>46182</v>
      </c>
      <c r="I171" s="3">
        <v>46609</v>
      </c>
      <c r="J171" s="3">
        <v>46136</v>
      </c>
      <c r="K171" s="3">
        <v>47232</v>
      </c>
      <c r="L171" s="3">
        <v>47232</v>
      </c>
      <c r="M171" s="2" t="s">
        <v>38</v>
      </c>
      <c r="N171" s="2" t="s">
        <v>38</v>
      </c>
      <c r="O171" s="2" t="s">
        <v>39</v>
      </c>
      <c r="P171" s="2" t="s">
        <v>40</v>
      </c>
      <c r="Q171" s="4">
        <v>8000</v>
      </c>
      <c r="R171" s="5">
        <v>22504205.52</v>
      </c>
      <c r="S171" s="2" t="s">
        <v>41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3">
        <v>47232</v>
      </c>
      <c r="AE171" s="2" t="s">
        <v>38</v>
      </c>
      <c r="AF171" s="2" t="s">
        <v>38</v>
      </c>
      <c r="AG171" s="2" t="s">
        <v>38</v>
      </c>
      <c r="AH171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2" spans="1:34" x14ac:dyDescent="0.35">
      <c r="A172" s="2" t="s">
        <v>433</v>
      </c>
      <c r="B172" s="2" t="s">
        <v>446</v>
      </c>
      <c r="C172" s="2" t="s">
        <v>35</v>
      </c>
      <c r="D172" s="2" t="s">
        <v>36</v>
      </c>
      <c r="E172" s="2" t="s">
        <v>447</v>
      </c>
      <c r="F172" s="3">
        <v>46137</v>
      </c>
      <c r="G172" s="3">
        <v>46155</v>
      </c>
      <c r="H172" s="3">
        <v>46182</v>
      </c>
      <c r="I172" s="3">
        <v>46609</v>
      </c>
      <c r="J172" s="3">
        <v>46137</v>
      </c>
      <c r="K172" s="3">
        <v>47233</v>
      </c>
      <c r="L172" s="3">
        <v>47233</v>
      </c>
      <c r="M172" s="2" t="s">
        <v>38</v>
      </c>
      <c r="N172" s="2" t="s">
        <v>38</v>
      </c>
      <c r="O172" s="2" t="s">
        <v>39</v>
      </c>
      <c r="P172" s="2" t="s">
        <v>40</v>
      </c>
      <c r="Q172" s="4">
        <v>8000</v>
      </c>
      <c r="R172" s="5">
        <v>22504205.52</v>
      </c>
      <c r="S172" s="2" t="s">
        <v>41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3">
        <v>47233</v>
      </c>
      <c r="AE172" s="2" t="s">
        <v>38</v>
      </c>
      <c r="AF172" s="2" t="s">
        <v>38</v>
      </c>
      <c r="AG172" s="2" t="s">
        <v>38</v>
      </c>
      <c r="AH172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3" spans="1:34" x14ac:dyDescent="0.35">
      <c r="A173" s="2" t="s">
        <v>433</v>
      </c>
      <c r="B173" s="2" t="s">
        <v>448</v>
      </c>
      <c r="C173" s="2" t="s">
        <v>35</v>
      </c>
      <c r="D173" s="2" t="s">
        <v>36</v>
      </c>
      <c r="E173" s="2" t="s">
        <v>449</v>
      </c>
      <c r="F173" s="3">
        <v>46137</v>
      </c>
      <c r="G173" s="3">
        <v>46155</v>
      </c>
      <c r="H173" s="3">
        <v>46182</v>
      </c>
      <c r="I173" s="3">
        <v>46609</v>
      </c>
      <c r="J173" s="3">
        <v>46137</v>
      </c>
      <c r="K173" s="3">
        <v>47233</v>
      </c>
      <c r="L173" s="3">
        <v>47233</v>
      </c>
      <c r="M173" s="2" t="s">
        <v>38</v>
      </c>
      <c r="N173" s="2" t="s">
        <v>38</v>
      </c>
      <c r="O173" s="2" t="s">
        <v>39</v>
      </c>
      <c r="P173" s="2" t="s">
        <v>40</v>
      </c>
      <c r="Q173" s="4">
        <v>8000</v>
      </c>
      <c r="R173" s="5">
        <v>22504205.52</v>
      </c>
      <c r="S173" s="2" t="s">
        <v>41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3">
        <v>47233</v>
      </c>
      <c r="AE173" s="2" t="s">
        <v>38</v>
      </c>
      <c r="AF173" s="2" t="s">
        <v>38</v>
      </c>
      <c r="AG173" s="2" t="s">
        <v>38</v>
      </c>
      <c r="AH173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4" spans="1:34" x14ac:dyDescent="0.35">
      <c r="A174" s="2" t="s">
        <v>433</v>
      </c>
      <c r="B174" s="2" t="s">
        <v>450</v>
      </c>
      <c r="C174" s="2" t="s">
        <v>35</v>
      </c>
      <c r="D174" s="2" t="s">
        <v>36</v>
      </c>
      <c r="E174" s="2" t="s">
        <v>451</v>
      </c>
      <c r="F174" s="3">
        <v>46137</v>
      </c>
      <c r="G174" s="3">
        <v>46155</v>
      </c>
      <c r="H174" s="3">
        <v>46182</v>
      </c>
      <c r="I174" s="3">
        <v>46609</v>
      </c>
      <c r="J174" s="3">
        <v>46137</v>
      </c>
      <c r="K174" s="3">
        <v>47233</v>
      </c>
      <c r="L174" s="3">
        <v>47233</v>
      </c>
      <c r="M174" s="2" t="s">
        <v>38</v>
      </c>
      <c r="N174" s="2" t="s">
        <v>38</v>
      </c>
      <c r="O174" s="2" t="s">
        <v>39</v>
      </c>
      <c r="P174" s="2" t="s">
        <v>40</v>
      </c>
      <c r="Q174" s="4">
        <v>8000</v>
      </c>
      <c r="R174" s="5">
        <v>22504205.52</v>
      </c>
      <c r="S174" s="2" t="s">
        <v>41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3">
        <v>47233</v>
      </c>
      <c r="AE174" s="2" t="s">
        <v>38</v>
      </c>
      <c r="AF174" s="2" t="s">
        <v>38</v>
      </c>
      <c r="AG174" s="2" t="s">
        <v>38</v>
      </c>
      <c r="AH174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5" spans="1:34" x14ac:dyDescent="0.35">
      <c r="A175" s="2" t="s">
        <v>433</v>
      </c>
      <c r="B175" s="2" t="s">
        <v>452</v>
      </c>
      <c r="C175" s="2" t="s">
        <v>35</v>
      </c>
      <c r="D175" s="2" t="s">
        <v>36</v>
      </c>
      <c r="E175" s="2" t="s">
        <v>453</v>
      </c>
      <c r="F175" s="3">
        <v>46138</v>
      </c>
      <c r="G175" s="3">
        <v>46155</v>
      </c>
      <c r="H175" s="3">
        <v>46182</v>
      </c>
      <c r="I175" s="3">
        <v>46609</v>
      </c>
      <c r="J175" s="3">
        <v>46138</v>
      </c>
      <c r="K175" s="3">
        <v>47234</v>
      </c>
      <c r="L175" s="3">
        <v>47234</v>
      </c>
      <c r="M175" s="2" t="s">
        <v>38</v>
      </c>
      <c r="N175" s="2" t="s">
        <v>38</v>
      </c>
      <c r="O175" s="2" t="s">
        <v>39</v>
      </c>
      <c r="P175" s="2" t="s">
        <v>40</v>
      </c>
      <c r="Q175" s="4">
        <v>8000</v>
      </c>
      <c r="R175" s="5">
        <v>22504205.52</v>
      </c>
      <c r="S175" s="2" t="s">
        <v>41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3">
        <v>47234</v>
      </c>
      <c r="AE175" s="2" t="s">
        <v>38</v>
      </c>
      <c r="AF175" s="2" t="s">
        <v>38</v>
      </c>
      <c r="AG175" s="2" t="s">
        <v>38</v>
      </c>
      <c r="AH175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6" spans="1:34" x14ac:dyDescent="0.35">
      <c r="A176" s="2" t="s">
        <v>433</v>
      </c>
      <c r="B176" s="2" t="s">
        <v>454</v>
      </c>
      <c r="C176" s="2" t="s">
        <v>35</v>
      </c>
      <c r="D176" s="2" t="s">
        <v>36</v>
      </c>
      <c r="E176" s="2" t="s">
        <v>455</v>
      </c>
      <c r="F176" s="3">
        <v>46138</v>
      </c>
      <c r="G176" s="3">
        <v>46155</v>
      </c>
      <c r="H176" s="3">
        <v>46182</v>
      </c>
      <c r="I176" s="3">
        <v>46609</v>
      </c>
      <c r="J176" s="3">
        <v>46138</v>
      </c>
      <c r="K176" s="3">
        <v>47234</v>
      </c>
      <c r="L176" s="3">
        <v>47234</v>
      </c>
      <c r="M176" s="2" t="s">
        <v>38</v>
      </c>
      <c r="N176" s="2" t="s">
        <v>38</v>
      </c>
      <c r="O176" s="2" t="s">
        <v>39</v>
      </c>
      <c r="P176" s="2" t="s">
        <v>40</v>
      </c>
      <c r="Q176" s="4">
        <v>8000</v>
      </c>
      <c r="R176" s="5">
        <v>22504205.52</v>
      </c>
      <c r="S176" s="2" t="s">
        <v>41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3">
        <v>47234</v>
      </c>
      <c r="AE176" s="2" t="s">
        <v>38</v>
      </c>
      <c r="AF176" s="2" t="s">
        <v>38</v>
      </c>
      <c r="AG176" s="2" t="s">
        <v>38</v>
      </c>
      <c r="AH176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7" spans="1:34" x14ac:dyDescent="0.35">
      <c r="A177" s="2" t="s">
        <v>433</v>
      </c>
      <c r="B177" s="2" t="s">
        <v>456</v>
      </c>
      <c r="C177" s="2" t="s">
        <v>35</v>
      </c>
      <c r="D177" s="2" t="s">
        <v>36</v>
      </c>
      <c r="E177" s="2" t="s">
        <v>457</v>
      </c>
      <c r="F177" s="3">
        <v>46138</v>
      </c>
      <c r="G177" s="3">
        <v>46155</v>
      </c>
      <c r="H177" s="3">
        <v>46182</v>
      </c>
      <c r="I177" s="3">
        <v>46609</v>
      </c>
      <c r="J177" s="3">
        <v>46138</v>
      </c>
      <c r="K177" s="3">
        <v>47234</v>
      </c>
      <c r="L177" s="3">
        <v>47234</v>
      </c>
      <c r="M177" s="2" t="s">
        <v>38</v>
      </c>
      <c r="N177" s="2" t="s">
        <v>38</v>
      </c>
      <c r="O177" s="2" t="s">
        <v>39</v>
      </c>
      <c r="P177" s="2" t="s">
        <v>40</v>
      </c>
      <c r="Q177" s="4">
        <v>8000</v>
      </c>
      <c r="R177" s="5">
        <v>22504205.52</v>
      </c>
      <c r="S177" s="2" t="s">
        <v>41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3">
        <v>47234</v>
      </c>
      <c r="AE177" s="2" t="s">
        <v>38</v>
      </c>
      <c r="AF177" s="2" t="s">
        <v>38</v>
      </c>
      <c r="AG177" s="2" t="s">
        <v>38</v>
      </c>
      <c r="AH177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8" spans="1:34" x14ac:dyDescent="0.35">
      <c r="A178" s="2" t="s">
        <v>433</v>
      </c>
      <c r="B178" s="2" t="s">
        <v>458</v>
      </c>
      <c r="C178" s="2" t="s">
        <v>35</v>
      </c>
      <c r="D178" s="2" t="s">
        <v>36</v>
      </c>
      <c r="E178" s="2" t="s">
        <v>459</v>
      </c>
      <c r="F178" s="3">
        <v>46139</v>
      </c>
      <c r="G178" s="3">
        <v>46155</v>
      </c>
      <c r="H178" s="3">
        <v>46182</v>
      </c>
      <c r="I178" s="3">
        <v>46609</v>
      </c>
      <c r="J178" s="3">
        <v>46139</v>
      </c>
      <c r="K178" s="3">
        <v>47235</v>
      </c>
      <c r="L178" s="3">
        <v>47235</v>
      </c>
      <c r="M178" s="2" t="s">
        <v>38</v>
      </c>
      <c r="N178" s="2" t="s">
        <v>38</v>
      </c>
      <c r="O178" s="2" t="s">
        <v>39</v>
      </c>
      <c r="P178" s="2" t="s">
        <v>40</v>
      </c>
      <c r="Q178" s="4">
        <v>8000</v>
      </c>
      <c r="R178" s="5">
        <v>22504205.52</v>
      </c>
      <c r="S178" s="2" t="s">
        <v>41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3">
        <v>47235</v>
      </c>
      <c r="AE178" s="2" t="s">
        <v>38</v>
      </c>
      <c r="AF178" s="2" t="s">
        <v>38</v>
      </c>
      <c r="AG178" s="2" t="s">
        <v>38</v>
      </c>
      <c r="AH178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79" spans="1:34" x14ac:dyDescent="0.35">
      <c r="A179" s="2" t="s">
        <v>433</v>
      </c>
      <c r="B179" s="2" t="s">
        <v>460</v>
      </c>
      <c r="C179" s="2" t="s">
        <v>35</v>
      </c>
      <c r="D179" s="2" t="s">
        <v>36</v>
      </c>
      <c r="E179" s="2" t="s">
        <v>461</v>
      </c>
      <c r="F179" s="3">
        <v>46139</v>
      </c>
      <c r="G179" s="3">
        <v>46155</v>
      </c>
      <c r="H179" s="3">
        <v>46182</v>
      </c>
      <c r="I179" s="3">
        <v>46609</v>
      </c>
      <c r="J179" s="3">
        <v>46139</v>
      </c>
      <c r="K179" s="3">
        <v>47235</v>
      </c>
      <c r="L179" s="3">
        <v>47235</v>
      </c>
      <c r="M179" s="2" t="s">
        <v>38</v>
      </c>
      <c r="N179" s="2" t="s">
        <v>38</v>
      </c>
      <c r="O179" s="2" t="s">
        <v>39</v>
      </c>
      <c r="P179" s="2" t="s">
        <v>40</v>
      </c>
      <c r="Q179" s="4">
        <v>8000</v>
      </c>
      <c r="R179" s="5">
        <v>22504205.52</v>
      </c>
      <c r="S179" s="2" t="s">
        <v>41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3">
        <v>47235</v>
      </c>
      <c r="AE179" s="2" t="s">
        <v>38</v>
      </c>
      <c r="AF179" s="2" t="s">
        <v>38</v>
      </c>
      <c r="AG179" s="2" t="s">
        <v>38</v>
      </c>
      <c r="AH179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80" spans="1:34" x14ac:dyDescent="0.35">
      <c r="A180" s="2" t="s">
        <v>433</v>
      </c>
      <c r="B180" s="2" t="s">
        <v>462</v>
      </c>
      <c r="C180" s="2" t="s">
        <v>35</v>
      </c>
      <c r="D180" s="2" t="s">
        <v>36</v>
      </c>
      <c r="E180" s="2" t="s">
        <v>463</v>
      </c>
      <c r="F180" s="3">
        <v>46139</v>
      </c>
      <c r="G180" s="3">
        <v>46155</v>
      </c>
      <c r="H180" s="3">
        <v>46182</v>
      </c>
      <c r="I180" s="3">
        <v>46609</v>
      </c>
      <c r="J180" s="3">
        <v>46139</v>
      </c>
      <c r="K180" s="3">
        <v>47235</v>
      </c>
      <c r="L180" s="3">
        <v>47235</v>
      </c>
      <c r="M180" s="2" t="s">
        <v>38</v>
      </c>
      <c r="N180" s="2" t="s">
        <v>38</v>
      </c>
      <c r="O180" s="2" t="s">
        <v>39</v>
      </c>
      <c r="P180" s="2" t="s">
        <v>40</v>
      </c>
      <c r="Q180" s="4">
        <v>8000</v>
      </c>
      <c r="R180" s="5">
        <v>22504205.52</v>
      </c>
      <c r="S180" s="2" t="s">
        <v>41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3">
        <v>47235</v>
      </c>
      <c r="AE180" s="2" t="s">
        <v>38</v>
      </c>
      <c r="AF180" s="2" t="s">
        <v>38</v>
      </c>
      <c r="AG180" s="2" t="s">
        <v>38</v>
      </c>
      <c r="AH180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81" spans="1:34" x14ac:dyDescent="0.35">
      <c r="A181" s="2" t="s">
        <v>433</v>
      </c>
      <c r="B181" s="2" t="s">
        <v>464</v>
      </c>
      <c r="C181" s="2" t="s">
        <v>35</v>
      </c>
      <c r="D181" s="2" t="s">
        <v>36</v>
      </c>
      <c r="E181" s="2" t="s">
        <v>465</v>
      </c>
      <c r="F181" s="3">
        <v>46140</v>
      </c>
      <c r="G181" s="3">
        <v>46155</v>
      </c>
      <c r="H181" s="3">
        <v>46182</v>
      </c>
      <c r="I181" s="3">
        <v>46609</v>
      </c>
      <c r="J181" s="3">
        <v>46140</v>
      </c>
      <c r="K181" s="3">
        <v>47236</v>
      </c>
      <c r="L181" s="3">
        <v>47236</v>
      </c>
      <c r="M181" s="2" t="s">
        <v>38</v>
      </c>
      <c r="N181" s="2" t="s">
        <v>38</v>
      </c>
      <c r="O181" s="2" t="s">
        <v>39</v>
      </c>
      <c r="P181" s="2" t="s">
        <v>40</v>
      </c>
      <c r="Q181" s="4">
        <v>8000</v>
      </c>
      <c r="R181" s="5">
        <v>22504205.52</v>
      </c>
      <c r="S181" s="2" t="s">
        <v>41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3">
        <v>47236</v>
      </c>
      <c r="AE181" s="2" t="s">
        <v>38</v>
      </c>
      <c r="AF181" s="2" t="s">
        <v>38</v>
      </c>
      <c r="AG181" s="2" t="s">
        <v>38</v>
      </c>
      <c r="AH181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82" spans="1:34" x14ac:dyDescent="0.35">
      <c r="A182" s="2" t="s">
        <v>433</v>
      </c>
      <c r="B182" s="2" t="s">
        <v>466</v>
      </c>
      <c r="C182" s="2" t="s">
        <v>35</v>
      </c>
      <c r="D182" s="2" t="s">
        <v>36</v>
      </c>
      <c r="E182" s="2" t="s">
        <v>467</v>
      </c>
      <c r="F182" s="3">
        <v>46140</v>
      </c>
      <c r="G182" s="3">
        <v>46161</v>
      </c>
      <c r="H182" s="3">
        <v>46197</v>
      </c>
      <c r="I182" s="3">
        <v>46609</v>
      </c>
      <c r="J182" s="3">
        <v>46140</v>
      </c>
      <c r="K182" s="3">
        <v>47236</v>
      </c>
      <c r="L182" s="3">
        <v>47236</v>
      </c>
      <c r="M182" s="2" t="s">
        <v>38</v>
      </c>
      <c r="N182" s="2" t="s">
        <v>38</v>
      </c>
      <c r="O182" s="2" t="s">
        <v>39</v>
      </c>
      <c r="P182" s="2" t="s">
        <v>40</v>
      </c>
      <c r="Q182" s="4">
        <v>8000</v>
      </c>
      <c r="R182" s="5">
        <v>22504205.52</v>
      </c>
      <c r="S182" s="2" t="s">
        <v>41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3">
        <v>47236</v>
      </c>
      <c r="AE182" s="2" t="s">
        <v>38</v>
      </c>
      <c r="AF182" s="2" t="s">
        <v>38</v>
      </c>
      <c r="AG182" s="2" t="s">
        <v>38</v>
      </c>
      <c r="AH182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83" spans="1:34" x14ac:dyDescent="0.35">
      <c r="A183" s="2" t="s">
        <v>433</v>
      </c>
      <c r="B183" s="2" t="s">
        <v>468</v>
      </c>
      <c r="C183" s="2" t="s">
        <v>35</v>
      </c>
      <c r="D183" s="2" t="s">
        <v>36</v>
      </c>
      <c r="E183" s="2" t="s">
        <v>469</v>
      </c>
      <c r="F183" s="3">
        <v>46140</v>
      </c>
      <c r="G183" s="3">
        <v>46161</v>
      </c>
      <c r="H183" s="3">
        <v>46197</v>
      </c>
      <c r="I183" s="3">
        <v>46609</v>
      </c>
      <c r="J183" s="3">
        <v>46140</v>
      </c>
      <c r="K183" s="3">
        <v>47236</v>
      </c>
      <c r="L183" s="3">
        <v>47236</v>
      </c>
      <c r="M183" s="2" t="s">
        <v>38</v>
      </c>
      <c r="N183" s="2" t="s">
        <v>38</v>
      </c>
      <c r="O183" s="2" t="s">
        <v>39</v>
      </c>
      <c r="P183" s="2" t="s">
        <v>40</v>
      </c>
      <c r="Q183" s="4">
        <v>8000</v>
      </c>
      <c r="R183" s="5">
        <v>22504205.52</v>
      </c>
      <c r="S183" s="2" t="s">
        <v>41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3">
        <v>47236</v>
      </c>
      <c r="AE183" s="2" t="s">
        <v>38</v>
      </c>
      <c r="AF183" s="2" t="s">
        <v>38</v>
      </c>
      <c r="AG183" s="2" t="s">
        <v>38</v>
      </c>
      <c r="AH183" s="4">
        <f>DataTable[[#This Row],[Unrestricted]]+DataTable[[#This Row],[Transit &amp; transfer]]+DataTable[[#This Row],[In Quality Insp.]]+DataTable[[#This Row],[Restricted Use Stock]]+DataTable[[#This Row],[Blocked]]</f>
        <v>8000</v>
      </c>
    </row>
    <row r="184" spans="1:34" x14ac:dyDescent="0.35">
      <c r="A184" s="2" t="s">
        <v>470</v>
      </c>
      <c r="B184" s="2" t="s">
        <v>471</v>
      </c>
      <c r="C184" s="2" t="s">
        <v>35</v>
      </c>
      <c r="D184" s="2" t="s">
        <v>36</v>
      </c>
      <c r="E184" s="2" t="s">
        <v>343</v>
      </c>
      <c r="F184" s="3">
        <v>45755</v>
      </c>
      <c r="G184" s="3">
        <v>46188</v>
      </c>
      <c r="H184" s="3">
        <v>46188</v>
      </c>
      <c r="I184" s="3">
        <v>46882</v>
      </c>
      <c r="J184" s="3">
        <v>45755</v>
      </c>
      <c r="K184" s="3">
        <v>46485</v>
      </c>
      <c r="L184" s="3">
        <v>46851</v>
      </c>
      <c r="M184" s="2" t="s">
        <v>38</v>
      </c>
      <c r="N184" s="2" t="s">
        <v>38</v>
      </c>
      <c r="O184" s="2" t="s">
        <v>39</v>
      </c>
      <c r="P184" s="2" t="s">
        <v>89</v>
      </c>
      <c r="Q184" s="4">
        <v>331.68</v>
      </c>
      <c r="R184" s="5">
        <v>1811812.38</v>
      </c>
      <c r="S184" s="2" t="s">
        <v>41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3">
        <v>47216</v>
      </c>
      <c r="AE184" s="3">
        <v>46485</v>
      </c>
      <c r="AF184" s="2" t="s">
        <v>38</v>
      </c>
      <c r="AG184" s="2" t="s">
        <v>38</v>
      </c>
      <c r="AH184" s="4">
        <f>DataTable[[#This Row],[Unrestricted]]+DataTable[[#This Row],[Transit &amp; transfer]]+DataTable[[#This Row],[In Quality Insp.]]+DataTable[[#This Row],[Restricted Use Stock]]+DataTable[[#This Row],[Blocked]]</f>
        <v>331.68</v>
      </c>
    </row>
    <row r="185" spans="1:34" x14ac:dyDescent="0.35">
      <c r="A185" s="2" t="s">
        <v>472</v>
      </c>
      <c r="B185" s="2" t="s">
        <v>473</v>
      </c>
      <c r="C185" s="2" t="s">
        <v>35</v>
      </c>
      <c r="D185" s="2" t="s">
        <v>36</v>
      </c>
      <c r="E185" s="2" t="s">
        <v>474</v>
      </c>
      <c r="F185" s="3">
        <v>46119</v>
      </c>
      <c r="G185" s="3">
        <v>46203</v>
      </c>
      <c r="H185" s="3">
        <v>46203</v>
      </c>
      <c r="I185" s="3">
        <v>46575</v>
      </c>
      <c r="J185" s="3">
        <v>46119</v>
      </c>
      <c r="K185" s="3">
        <v>46850</v>
      </c>
      <c r="L185" s="3">
        <v>46850</v>
      </c>
      <c r="M185" s="2" t="s">
        <v>38</v>
      </c>
      <c r="N185" s="2" t="s">
        <v>38</v>
      </c>
      <c r="O185" s="2" t="s">
        <v>39</v>
      </c>
      <c r="P185" s="2" t="s">
        <v>89</v>
      </c>
      <c r="Q185" s="4">
        <v>895.2</v>
      </c>
      <c r="R185" s="5">
        <v>7032769.5599999996</v>
      </c>
      <c r="S185" s="2" t="s">
        <v>41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3">
        <v>47215</v>
      </c>
      <c r="AE185" s="3">
        <v>46850</v>
      </c>
      <c r="AF185" s="2" t="s">
        <v>38</v>
      </c>
      <c r="AG185" s="2" t="s">
        <v>38</v>
      </c>
      <c r="AH185" s="4">
        <f>DataTable[[#This Row],[Unrestricted]]+DataTable[[#This Row],[Transit &amp; transfer]]+DataTable[[#This Row],[In Quality Insp.]]+DataTable[[#This Row],[Restricted Use Stock]]+DataTable[[#This Row],[Blocked]]</f>
        <v>895.2</v>
      </c>
    </row>
    <row r="186" spans="1:34" x14ac:dyDescent="0.35">
      <c r="A186" s="2" t="s">
        <v>475</v>
      </c>
      <c r="B186" s="2" t="s">
        <v>476</v>
      </c>
      <c r="C186" s="2" t="s">
        <v>35</v>
      </c>
      <c r="D186" s="2" t="s">
        <v>36</v>
      </c>
      <c r="E186" s="2" t="s">
        <v>477</v>
      </c>
      <c r="F186" s="3">
        <v>45762</v>
      </c>
      <c r="G186" s="3">
        <v>46142</v>
      </c>
      <c r="H186" s="3">
        <v>46142</v>
      </c>
      <c r="I186" s="3">
        <v>46591</v>
      </c>
      <c r="J186" s="3">
        <v>45762</v>
      </c>
      <c r="K186" s="3">
        <v>46492</v>
      </c>
      <c r="L186" s="3">
        <v>46858</v>
      </c>
      <c r="M186" s="2" t="s">
        <v>38</v>
      </c>
      <c r="N186" s="2" t="s">
        <v>38</v>
      </c>
      <c r="O186" s="2" t="s">
        <v>39</v>
      </c>
      <c r="P186" s="2" t="s">
        <v>89</v>
      </c>
      <c r="Q186" s="4">
        <v>31.2</v>
      </c>
      <c r="R186" s="5">
        <v>426246.84</v>
      </c>
      <c r="S186" s="2" t="s">
        <v>41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3">
        <v>47223</v>
      </c>
      <c r="AE186" s="3">
        <v>46492</v>
      </c>
      <c r="AF186" s="2" t="s">
        <v>38</v>
      </c>
      <c r="AG186" s="2" t="s">
        <v>38</v>
      </c>
      <c r="AH186" s="4">
        <f>DataTable[[#This Row],[Unrestricted]]+DataTable[[#This Row],[Transit &amp; transfer]]+DataTable[[#This Row],[In Quality Insp.]]+DataTable[[#This Row],[Restricted Use Stock]]+DataTable[[#This Row],[Blocked]]</f>
        <v>31.2</v>
      </c>
    </row>
    <row r="187" spans="1:34" x14ac:dyDescent="0.35">
      <c r="A187" s="2" t="s">
        <v>478</v>
      </c>
      <c r="B187" s="2" t="s">
        <v>479</v>
      </c>
      <c r="C187" s="2" t="s">
        <v>35</v>
      </c>
      <c r="D187" s="2" t="s">
        <v>36</v>
      </c>
      <c r="E187" s="2" t="s">
        <v>480</v>
      </c>
      <c r="F187" s="3">
        <v>46196</v>
      </c>
      <c r="G187" s="3">
        <v>46196</v>
      </c>
      <c r="H187" s="3">
        <v>46196</v>
      </c>
      <c r="I187" s="3">
        <v>48021</v>
      </c>
      <c r="J187" s="3">
        <v>46196</v>
      </c>
      <c r="K187" s="3">
        <v>46927</v>
      </c>
      <c r="L187" s="3">
        <v>48022</v>
      </c>
      <c r="M187" s="2" t="s">
        <v>38</v>
      </c>
      <c r="N187" s="2" t="s">
        <v>38</v>
      </c>
      <c r="O187" s="2" t="s">
        <v>39</v>
      </c>
      <c r="P187" s="2" t="s">
        <v>89</v>
      </c>
      <c r="Q187" s="4">
        <v>654</v>
      </c>
      <c r="R187" s="5">
        <v>338144.8</v>
      </c>
      <c r="S187" s="2" t="s">
        <v>41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3">
        <v>48022</v>
      </c>
      <c r="AE187" s="3">
        <v>46927</v>
      </c>
      <c r="AF187" s="2" t="s">
        <v>38</v>
      </c>
      <c r="AG187" s="2" t="s">
        <v>38</v>
      </c>
      <c r="AH187" s="4">
        <f>DataTable[[#This Row],[Unrestricted]]+DataTable[[#This Row],[Transit &amp; transfer]]+DataTable[[#This Row],[In Quality Insp.]]+DataTable[[#This Row],[Restricted Use Stock]]+DataTable[[#This Row],[Blocked]]</f>
        <v>654</v>
      </c>
    </row>
    <row r="188" spans="1:34" x14ac:dyDescent="0.35">
      <c r="A188" s="2" t="s">
        <v>481</v>
      </c>
      <c r="B188" s="2" t="s">
        <v>482</v>
      </c>
      <c r="C188" s="2" t="s">
        <v>35</v>
      </c>
      <c r="D188" s="2" t="s">
        <v>36</v>
      </c>
      <c r="E188" s="2" t="s">
        <v>483</v>
      </c>
      <c r="F188" s="3">
        <v>46195</v>
      </c>
      <c r="G188" s="3">
        <v>46196</v>
      </c>
      <c r="H188" s="3">
        <v>46196</v>
      </c>
      <c r="I188" s="3">
        <v>48020</v>
      </c>
      <c r="J188" s="3">
        <v>46195</v>
      </c>
      <c r="K188" s="3">
        <v>46926</v>
      </c>
      <c r="L188" s="3">
        <v>48021</v>
      </c>
      <c r="M188" s="2" t="s">
        <v>38</v>
      </c>
      <c r="N188" s="2" t="s">
        <v>38</v>
      </c>
      <c r="O188" s="2" t="s">
        <v>39</v>
      </c>
      <c r="P188" s="2" t="s">
        <v>89</v>
      </c>
      <c r="Q188" s="4">
        <v>1900</v>
      </c>
      <c r="R188" s="5">
        <v>918353.99</v>
      </c>
      <c r="S188" s="2" t="s">
        <v>41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3">
        <v>48021</v>
      </c>
      <c r="AE188" s="3">
        <v>46926</v>
      </c>
      <c r="AF188" s="2" t="s">
        <v>38</v>
      </c>
      <c r="AG188" s="2" t="s">
        <v>38</v>
      </c>
      <c r="AH188" s="4">
        <f>DataTable[[#This Row],[Unrestricted]]+DataTable[[#This Row],[Transit &amp; transfer]]+DataTable[[#This Row],[In Quality Insp.]]+DataTable[[#This Row],[Restricted Use Stock]]+DataTable[[#This Row],[Blocked]]</f>
        <v>1900</v>
      </c>
    </row>
    <row r="189" spans="1:34" x14ac:dyDescent="0.35">
      <c r="A189" s="2" t="s">
        <v>481</v>
      </c>
      <c r="B189" s="2" t="s">
        <v>484</v>
      </c>
      <c r="C189" s="2" t="s">
        <v>35</v>
      </c>
      <c r="D189" s="2" t="s">
        <v>36</v>
      </c>
      <c r="E189" s="2" t="s">
        <v>480</v>
      </c>
      <c r="F189" s="3">
        <v>46196</v>
      </c>
      <c r="G189" s="3">
        <v>46207</v>
      </c>
      <c r="H189" s="3">
        <v>46207</v>
      </c>
      <c r="I189" s="3">
        <v>48021</v>
      </c>
      <c r="J189" s="3">
        <v>46196</v>
      </c>
      <c r="K189" s="3">
        <v>46927</v>
      </c>
      <c r="L189" s="3">
        <v>48022</v>
      </c>
      <c r="M189" s="2" t="s">
        <v>38</v>
      </c>
      <c r="N189" s="2" t="s">
        <v>38</v>
      </c>
      <c r="O189" s="2" t="s">
        <v>39</v>
      </c>
      <c r="P189" s="2" t="s">
        <v>89</v>
      </c>
      <c r="Q189" s="4">
        <v>180</v>
      </c>
      <c r="R189" s="5">
        <v>87001.96</v>
      </c>
      <c r="S189" s="2" t="s">
        <v>41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3">
        <v>48022</v>
      </c>
      <c r="AE189" s="3">
        <v>46927</v>
      </c>
      <c r="AF189" s="2" t="s">
        <v>38</v>
      </c>
      <c r="AG189" s="2" t="s">
        <v>38</v>
      </c>
      <c r="AH189" s="4">
        <f>DataTable[[#This Row],[Unrestricted]]+DataTable[[#This Row],[Transit &amp; transfer]]+DataTable[[#This Row],[In Quality Insp.]]+DataTable[[#This Row],[Restricted Use Stock]]+DataTable[[#This Row],[Blocked]]</f>
        <v>180</v>
      </c>
    </row>
    <row r="190" spans="1:34" x14ac:dyDescent="0.35">
      <c r="A190" s="2" t="s">
        <v>485</v>
      </c>
      <c r="B190" s="2" t="s">
        <v>486</v>
      </c>
      <c r="C190" s="2" t="s">
        <v>35</v>
      </c>
      <c r="D190" s="2" t="s">
        <v>36</v>
      </c>
      <c r="E190" s="2" t="s">
        <v>487</v>
      </c>
      <c r="F190" s="3">
        <v>46182</v>
      </c>
      <c r="G190" s="3">
        <v>46186</v>
      </c>
      <c r="H190" s="3">
        <v>46186</v>
      </c>
      <c r="I190" s="3">
        <v>46912</v>
      </c>
      <c r="J190" s="3">
        <v>46182</v>
      </c>
      <c r="K190" s="3">
        <v>46913</v>
      </c>
      <c r="L190" s="3">
        <v>46913</v>
      </c>
      <c r="M190" s="2" t="s">
        <v>38</v>
      </c>
      <c r="N190" s="2" t="s">
        <v>38</v>
      </c>
      <c r="O190" s="2" t="s">
        <v>39</v>
      </c>
      <c r="P190" s="2" t="s">
        <v>40</v>
      </c>
      <c r="Q190" s="4">
        <v>1049</v>
      </c>
      <c r="R190" s="5">
        <v>7113598.79</v>
      </c>
      <c r="S190" s="2" t="s">
        <v>41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3">
        <v>46913</v>
      </c>
      <c r="AE190" s="3">
        <v>46913</v>
      </c>
      <c r="AF190" s="2" t="s">
        <v>38</v>
      </c>
      <c r="AG190" s="2" t="s">
        <v>38</v>
      </c>
      <c r="AH190" s="4">
        <f>DataTable[[#This Row],[Unrestricted]]+DataTable[[#This Row],[Transit &amp; transfer]]+DataTable[[#This Row],[In Quality Insp.]]+DataTable[[#This Row],[Restricted Use Stock]]+DataTable[[#This Row],[Blocked]]</f>
        <v>1049</v>
      </c>
    </row>
    <row r="191" spans="1:34" x14ac:dyDescent="0.35">
      <c r="A191" s="2" t="s">
        <v>485</v>
      </c>
      <c r="B191" s="2" t="s">
        <v>488</v>
      </c>
      <c r="C191" s="2" t="s">
        <v>35</v>
      </c>
      <c r="D191" s="2" t="s">
        <v>36</v>
      </c>
      <c r="E191" s="2" t="s">
        <v>489</v>
      </c>
      <c r="F191" s="3">
        <v>46186</v>
      </c>
      <c r="G191" s="3">
        <v>46188</v>
      </c>
      <c r="H191" s="3">
        <v>46188</v>
      </c>
      <c r="I191" s="3">
        <v>46916</v>
      </c>
      <c r="J191" s="3">
        <v>46186</v>
      </c>
      <c r="K191" s="3">
        <v>46917</v>
      </c>
      <c r="L191" s="3">
        <v>46917</v>
      </c>
      <c r="M191" s="2" t="s">
        <v>38</v>
      </c>
      <c r="N191" s="2" t="s">
        <v>38</v>
      </c>
      <c r="O191" s="2" t="s">
        <v>39</v>
      </c>
      <c r="P191" s="2" t="s">
        <v>40</v>
      </c>
      <c r="Q191" s="4">
        <v>347</v>
      </c>
      <c r="R191" s="5">
        <v>2353116.09</v>
      </c>
      <c r="S191" s="2" t="s">
        <v>41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3">
        <v>46917</v>
      </c>
      <c r="AE191" s="3">
        <v>46917</v>
      </c>
      <c r="AF191" s="2" t="s">
        <v>38</v>
      </c>
      <c r="AG191" s="2" t="s">
        <v>38</v>
      </c>
      <c r="AH191" s="4">
        <f>DataTable[[#This Row],[Unrestricted]]+DataTable[[#This Row],[Transit &amp; transfer]]+DataTable[[#This Row],[In Quality Insp.]]+DataTable[[#This Row],[Restricted Use Stock]]+DataTable[[#This Row],[Blocked]]</f>
        <v>347</v>
      </c>
    </row>
    <row r="192" spans="1:34" x14ac:dyDescent="0.35">
      <c r="A192" s="2" t="s">
        <v>485</v>
      </c>
      <c r="B192" s="2" t="s">
        <v>490</v>
      </c>
      <c r="C192" s="2" t="s">
        <v>35</v>
      </c>
      <c r="D192" s="2" t="s">
        <v>36</v>
      </c>
      <c r="E192" s="2" t="s">
        <v>491</v>
      </c>
      <c r="F192" s="3">
        <v>46081</v>
      </c>
      <c r="G192" s="3">
        <v>46193</v>
      </c>
      <c r="H192" s="3">
        <v>46193</v>
      </c>
      <c r="I192" s="3">
        <v>46919</v>
      </c>
      <c r="J192" s="3">
        <v>46081</v>
      </c>
      <c r="K192" s="3">
        <v>46811</v>
      </c>
      <c r="L192" s="3">
        <v>46811</v>
      </c>
      <c r="M192" s="2" t="s">
        <v>38</v>
      </c>
      <c r="N192" s="2" t="s">
        <v>38</v>
      </c>
      <c r="O192" s="2" t="s">
        <v>39</v>
      </c>
      <c r="P192" s="2" t="s">
        <v>40</v>
      </c>
      <c r="Q192" s="4">
        <v>2099</v>
      </c>
      <c r="R192" s="5">
        <v>14233978.9</v>
      </c>
      <c r="S192" s="2" t="s">
        <v>41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3">
        <v>46811</v>
      </c>
      <c r="AE192" s="3">
        <v>46811</v>
      </c>
      <c r="AF192" s="2" t="s">
        <v>38</v>
      </c>
      <c r="AG192" s="2" t="s">
        <v>38</v>
      </c>
      <c r="AH192" s="4">
        <f>DataTable[[#This Row],[Unrestricted]]+DataTable[[#This Row],[Transit &amp; transfer]]+DataTable[[#This Row],[In Quality Insp.]]+DataTable[[#This Row],[Restricted Use Stock]]+DataTable[[#This Row],[Blocked]]</f>
        <v>2099</v>
      </c>
    </row>
    <row r="193" spans="1:34" x14ac:dyDescent="0.35">
      <c r="A193" s="2" t="s">
        <v>485</v>
      </c>
      <c r="B193" s="2" t="s">
        <v>492</v>
      </c>
      <c r="C193" s="2" t="s">
        <v>35</v>
      </c>
      <c r="D193" s="2" t="s">
        <v>36</v>
      </c>
      <c r="E193" s="2" t="s">
        <v>388</v>
      </c>
      <c r="F193" s="3">
        <v>46081</v>
      </c>
      <c r="G193" s="3">
        <v>46191</v>
      </c>
      <c r="H193" s="3">
        <v>46193</v>
      </c>
      <c r="I193" s="3">
        <v>46921</v>
      </c>
      <c r="J193" s="3">
        <v>46081</v>
      </c>
      <c r="K193" s="3">
        <v>46811</v>
      </c>
      <c r="L193" s="3">
        <v>46811</v>
      </c>
      <c r="M193" s="2" t="s">
        <v>38</v>
      </c>
      <c r="N193" s="2" t="s">
        <v>38</v>
      </c>
      <c r="O193" s="2" t="s">
        <v>39</v>
      </c>
      <c r="P193" s="2" t="s">
        <v>40</v>
      </c>
      <c r="Q193" s="4">
        <v>441</v>
      </c>
      <c r="R193" s="5">
        <v>2990559.65</v>
      </c>
      <c r="S193" s="2" t="s">
        <v>41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3">
        <v>46811</v>
      </c>
      <c r="AE193" s="3">
        <v>46811</v>
      </c>
      <c r="AF193" s="2" t="s">
        <v>38</v>
      </c>
      <c r="AG193" s="2" t="s">
        <v>38</v>
      </c>
      <c r="AH193" s="4">
        <f>DataTable[[#This Row],[Unrestricted]]+DataTable[[#This Row],[Transit &amp; transfer]]+DataTable[[#This Row],[In Quality Insp.]]+DataTable[[#This Row],[Restricted Use Stock]]+DataTable[[#This Row],[Blocked]]</f>
        <v>441</v>
      </c>
    </row>
    <row r="194" spans="1:34" x14ac:dyDescent="0.35">
      <c r="A194" s="2" t="s">
        <v>485</v>
      </c>
      <c r="B194" s="2" t="s">
        <v>493</v>
      </c>
      <c r="C194" s="2" t="s">
        <v>35</v>
      </c>
      <c r="D194" s="2" t="s">
        <v>36</v>
      </c>
      <c r="E194" s="2" t="s">
        <v>494</v>
      </c>
      <c r="F194" s="3">
        <v>46201</v>
      </c>
      <c r="G194" s="3">
        <v>46201</v>
      </c>
      <c r="H194" s="3">
        <v>46201</v>
      </c>
      <c r="I194" s="3">
        <v>46931</v>
      </c>
      <c r="J194" s="3">
        <v>46201</v>
      </c>
      <c r="K194" s="3">
        <v>46932</v>
      </c>
      <c r="L194" s="3">
        <v>46932</v>
      </c>
      <c r="M194" s="2" t="s">
        <v>38</v>
      </c>
      <c r="N194" s="2" t="s">
        <v>38</v>
      </c>
      <c r="O194" s="2" t="s">
        <v>39</v>
      </c>
      <c r="P194" s="2" t="s">
        <v>40</v>
      </c>
      <c r="Q194" s="4">
        <v>1069</v>
      </c>
      <c r="R194" s="5">
        <v>7249225.0800000001</v>
      </c>
      <c r="S194" s="2" t="s">
        <v>41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3">
        <v>46932</v>
      </c>
      <c r="AE194" s="3">
        <v>46932</v>
      </c>
      <c r="AF194" s="2" t="s">
        <v>38</v>
      </c>
      <c r="AG194" s="2" t="s">
        <v>38</v>
      </c>
      <c r="AH194" s="4">
        <f>DataTable[[#This Row],[Unrestricted]]+DataTable[[#This Row],[Transit &amp; transfer]]+DataTable[[#This Row],[In Quality Insp.]]+DataTable[[#This Row],[Restricted Use Stock]]+DataTable[[#This Row],[Blocked]]</f>
        <v>1069</v>
      </c>
    </row>
    <row r="195" spans="1:34" x14ac:dyDescent="0.35">
      <c r="A195" s="2" t="s">
        <v>495</v>
      </c>
      <c r="B195" s="2" t="s">
        <v>496</v>
      </c>
      <c r="C195" s="2" t="s">
        <v>35</v>
      </c>
      <c r="D195" s="2" t="s">
        <v>36</v>
      </c>
      <c r="E195" s="2" t="s">
        <v>497</v>
      </c>
      <c r="F195" s="3">
        <v>46049</v>
      </c>
      <c r="G195" s="3">
        <v>46063</v>
      </c>
      <c r="H195" s="3">
        <v>46099</v>
      </c>
      <c r="I195" s="3">
        <v>46231</v>
      </c>
      <c r="J195" s="3">
        <v>46049</v>
      </c>
      <c r="K195" s="3">
        <v>46779</v>
      </c>
      <c r="L195" s="3">
        <v>46779</v>
      </c>
      <c r="M195" s="2" t="s">
        <v>38</v>
      </c>
      <c r="N195" s="2" t="s">
        <v>38</v>
      </c>
      <c r="O195" s="2" t="s">
        <v>39</v>
      </c>
      <c r="P195" s="2" t="s">
        <v>40</v>
      </c>
      <c r="Q195" s="4">
        <v>265</v>
      </c>
      <c r="R195" s="5">
        <v>1902010.43</v>
      </c>
      <c r="S195" s="2" t="s">
        <v>41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3">
        <v>46779</v>
      </c>
      <c r="AE195" s="3">
        <v>46779</v>
      </c>
      <c r="AF195" s="2" t="s">
        <v>38</v>
      </c>
      <c r="AG195" s="2" t="s">
        <v>38</v>
      </c>
      <c r="AH195" s="4">
        <f>DataTable[[#This Row],[Unrestricted]]+DataTable[[#This Row],[Transit &amp; transfer]]+DataTable[[#This Row],[In Quality Insp.]]+DataTable[[#This Row],[Restricted Use Stock]]+DataTable[[#This Row],[Blocked]]</f>
        <v>265</v>
      </c>
    </row>
    <row r="196" spans="1:34" x14ac:dyDescent="0.35">
      <c r="A196" s="2" t="s">
        <v>498</v>
      </c>
      <c r="B196" s="2" t="s">
        <v>499</v>
      </c>
      <c r="C196" s="2" t="s">
        <v>35</v>
      </c>
      <c r="D196" s="2" t="s">
        <v>36</v>
      </c>
      <c r="E196" s="2" t="s">
        <v>500</v>
      </c>
      <c r="F196" s="3">
        <v>46135</v>
      </c>
      <c r="G196" s="3">
        <v>46148</v>
      </c>
      <c r="H196" s="3">
        <v>46198</v>
      </c>
      <c r="I196" s="3">
        <v>46865</v>
      </c>
      <c r="J196" s="3">
        <v>46135</v>
      </c>
      <c r="K196" s="3">
        <v>46866</v>
      </c>
      <c r="L196" s="3">
        <v>46866</v>
      </c>
      <c r="M196" s="2" t="s">
        <v>38</v>
      </c>
      <c r="N196" s="2" t="s">
        <v>38</v>
      </c>
      <c r="O196" s="2" t="s">
        <v>39</v>
      </c>
      <c r="P196" s="2" t="s">
        <v>40</v>
      </c>
      <c r="Q196" s="4">
        <v>800</v>
      </c>
      <c r="R196" s="5">
        <v>5134811.58</v>
      </c>
      <c r="S196" s="2" t="s">
        <v>41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3">
        <v>46866</v>
      </c>
      <c r="AE196" s="2" t="s">
        <v>38</v>
      </c>
      <c r="AF196" s="2" t="s">
        <v>38</v>
      </c>
      <c r="AG196" s="2" t="s">
        <v>38</v>
      </c>
      <c r="AH196" s="4">
        <f>DataTable[[#This Row],[Unrestricted]]+DataTable[[#This Row],[Transit &amp; transfer]]+DataTable[[#This Row],[In Quality Insp.]]+DataTable[[#This Row],[Restricted Use Stock]]+DataTable[[#This Row],[Blocked]]</f>
        <v>800</v>
      </c>
    </row>
    <row r="197" spans="1:34" x14ac:dyDescent="0.35">
      <c r="A197" s="2" t="s">
        <v>498</v>
      </c>
      <c r="B197" s="2" t="s">
        <v>501</v>
      </c>
      <c r="C197" s="2" t="s">
        <v>35</v>
      </c>
      <c r="D197" s="2" t="s">
        <v>36</v>
      </c>
      <c r="E197" s="2" t="s">
        <v>502</v>
      </c>
      <c r="F197" s="3">
        <v>46135</v>
      </c>
      <c r="G197" s="3">
        <v>46148</v>
      </c>
      <c r="H197" s="3">
        <v>46198</v>
      </c>
      <c r="I197" s="3">
        <v>46865</v>
      </c>
      <c r="J197" s="3">
        <v>46135</v>
      </c>
      <c r="K197" s="3">
        <v>46866</v>
      </c>
      <c r="L197" s="3">
        <v>46866</v>
      </c>
      <c r="M197" s="2" t="s">
        <v>38</v>
      </c>
      <c r="N197" s="2" t="s">
        <v>38</v>
      </c>
      <c r="O197" s="2" t="s">
        <v>39</v>
      </c>
      <c r="P197" s="2" t="s">
        <v>40</v>
      </c>
      <c r="Q197" s="4">
        <v>3200</v>
      </c>
      <c r="R197" s="5">
        <v>20539246.300000001</v>
      </c>
      <c r="S197" s="2" t="s">
        <v>41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3">
        <v>46866</v>
      </c>
      <c r="AE197" s="2" t="s">
        <v>38</v>
      </c>
      <c r="AF197" s="2" t="s">
        <v>38</v>
      </c>
      <c r="AG197" s="2" t="s">
        <v>38</v>
      </c>
      <c r="AH197" s="4">
        <f>DataTable[[#This Row],[Unrestricted]]+DataTable[[#This Row],[Transit &amp; transfer]]+DataTable[[#This Row],[In Quality Insp.]]+DataTable[[#This Row],[Restricted Use Stock]]+DataTable[[#This Row],[Blocked]]</f>
        <v>3200</v>
      </c>
    </row>
    <row r="198" spans="1:34" x14ac:dyDescent="0.35">
      <c r="A198" s="2" t="s">
        <v>498</v>
      </c>
      <c r="B198" s="2" t="s">
        <v>503</v>
      </c>
      <c r="C198" s="2" t="s">
        <v>35</v>
      </c>
      <c r="D198" s="2" t="s">
        <v>36</v>
      </c>
      <c r="E198" s="2" t="s">
        <v>504</v>
      </c>
      <c r="F198" s="3">
        <v>46136</v>
      </c>
      <c r="G198" s="3">
        <v>46148</v>
      </c>
      <c r="H198" s="3">
        <v>46198</v>
      </c>
      <c r="I198" s="3">
        <v>46866</v>
      </c>
      <c r="J198" s="3">
        <v>46136</v>
      </c>
      <c r="K198" s="3">
        <v>46867</v>
      </c>
      <c r="L198" s="3">
        <v>46867</v>
      </c>
      <c r="M198" s="2" t="s">
        <v>38</v>
      </c>
      <c r="N198" s="2" t="s">
        <v>38</v>
      </c>
      <c r="O198" s="2" t="s">
        <v>39</v>
      </c>
      <c r="P198" s="2" t="s">
        <v>40</v>
      </c>
      <c r="Q198" s="4">
        <v>2400</v>
      </c>
      <c r="R198" s="5">
        <v>15404434.73</v>
      </c>
      <c r="S198" s="2" t="s">
        <v>41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3">
        <v>46867</v>
      </c>
      <c r="AE198" s="2" t="s">
        <v>38</v>
      </c>
      <c r="AF198" s="2" t="s">
        <v>38</v>
      </c>
      <c r="AG198" s="2" t="s">
        <v>38</v>
      </c>
      <c r="AH198" s="4">
        <f>DataTable[[#This Row],[Unrestricted]]+DataTable[[#This Row],[Transit &amp; transfer]]+DataTable[[#This Row],[In Quality Insp.]]+DataTable[[#This Row],[Restricted Use Stock]]+DataTable[[#This Row],[Blocked]]</f>
        <v>2400</v>
      </c>
    </row>
    <row r="199" spans="1:34" x14ac:dyDescent="0.35">
      <c r="A199" s="2" t="s">
        <v>498</v>
      </c>
      <c r="B199" s="2" t="s">
        <v>505</v>
      </c>
      <c r="C199" s="2" t="s">
        <v>35</v>
      </c>
      <c r="D199" s="2" t="s">
        <v>36</v>
      </c>
      <c r="E199" s="2" t="s">
        <v>506</v>
      </c>
      <c r="F199" s="3">
        <v>46136</v>
      </c>
      <c r="G199" s="3">
        <v>46148</v>
      </c>
      <c r="H199" s="3">
        <v>46198</v>
      </c>
      <c r="I199" s="3">
        <v>46866</v>
      </c>
      <c r="J199" s="3">
        <v>46136</v>
      </c>
      <c r="K199" s="3">
        <v>46867</v>
      </c>
      <c r="L199" s="3">
        <v>46867</v>
      </c>
      <c r="M199" s="2" t="s">
        <v>38</v>
      </c>
      <c r="N199" s="2" t="s">
        <v>38</v>
      </c>
      <c r="O199" s="2" t="s">
        <v>39</v>
      </c>
      <c r="P199" s="2" t="s">
        <v>40</v>
      </c>
      <c r="Q199" s="4">
        <v>3200</v>
      </c>
      <c r="R199" s="5">
        <v>20539246.300000001</v>
      </c>
      <c r="S199" s="2" t="s">
        <v>41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3">
        <v>46867</v>
      </c>
      <c r="AE199" s="2" t="s">
        <v>38</v>
      </c>
      <c r="AF199" s="2" t="s">
        <v>38</v>
      </c>
      <c r="AG199" s="2" t="s">
        <v>38</v>
      </c>
      <c r="AH199" s="4">
        <f>DataTable[[#This Row],[Unrestricted]]+DataTable[[#This Row],[Transit &amp; transfer]]+DataTable[[#This Row],[In Quality Insp.]]+DataTable[[#This Row],[Restricted Use Stock]]+DataTable[[#This Row],[Blocked]]</f>
        <v>3200</v>
      </c>
    </row>
    <row r="200" spans="1:34" x14ac:dyDescent="0.35">
      <c r="A200" s="2" t="s">
        <v>498</v>
      </c>
      <c r="B200" s="2" t="s">
        <v>507</v>
      </c>
      <c r="C200" s="2" t="s">
        <v>35</v>
      </c>
      <c r="D200" s="2" t="s">
        <v>36</v>
      </c>
      <c r="E200" s="2" t="s">
        <v>508</v>
      </c>
      <c r="F200" s="3">
        <v>46136</v>
      </c>
      <c r="G200" s="3">
        <v>46148</v>
      </c>
      <c r="H200" s="3">
        <v>46198</v>
      </c>
      <c r="I200" s="3">
        <v>46866</v>
      </c>
      <c r="J200" s="3">
        <v>46136</v>
      </c>
      <c r="K200" s="3">
        <v>46867</v>
      </c>
      <c r="L200" s="3">
        <v>46867</v>
      </c>
      <c r="M200" s="2" t="s">
        <v>38</v>
      </c>
      <c r="N200" s="2" t="s">
        <v>38</v>
      </c>
      <c r="O200" s="2" t="s">
        <v>39</v>
      </c>
      <c r="P200" s="2" t="s">
        <v>40</v>
      </c>
      <c r="Q200" s="4">
        <v>3200</v>
      </c>
      <c r="R200" s="5">
        <v>20539246.300000001</v>
      </c>
      <c r="S200" s="2" t="s">
        <v>41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3">
        <v>46867</v>
      </c>
      <c r="AE200" s="2" t="s">
        <v>38</v>
      </c>
      <c r="AF200" s="2" t="s">
        <v>38</v>
      </c>
      <c r="AG200" s="2" t="s">
        <v>38</v>
      </c>
      <c r="AH200" s="4">
        <f>DataTable[[#This Row],[Unrestricted]]+DataTable[[#This Row],[Transit &amp; transfer]]+DataTable[[#This Row],[In Quality Insp.]]+DataTable[[#This Row],[Restricted Use Stock]]+DataTable[[#This Row],[Blocked]]</f>
        <v>3200</v>
      </c>
    </row>
    <row r="201" spans="1:34" x14ac:dyDescent="0.35">
      <c r="A201" s="2" t="s">
        <v>498</v>
      </c>
      <c r="B201" s="2" t="s">
        <v>509</v>
      </c>
      <c r="C201" s="2" t="s">
        <v>35</v>
      </c>
      <c r="D201" s="2" t="s">
        <v>36</v>
      </c>
      <c r="E201" s="2" t="s">
        <v>510</v>
      </c>
      <c r="F201" s="3">
        <v>46139</v>
      </c>
      <c r="G201" s="3">
        <v>46148</v>
      </c>
      <c r="H201" s="3">
        <v>46198</v>
      </c>
      <c r="I201" s="3">
        <v>46869</v>
      </c>
      <c r="J201" s="3">
        <v>46139</v>
      </c>
      <c r="K201" s="3">
        <v>46870</v>
      </c>
      <c r="L201" s="3">
        <v>46870</v>
      </c>
      <c r="M201" s="2" t="s">
        <v>38</v>
      </c>
      <c r="N201" s="2" t="s">
        <v>38</v>
      </c>
      <c r="O201" s="2" t="s">
        <v>39</v>
      </c>
      <c r="P201" s="2" t="s">
        <v>40</v>
      </c>
      <c r="Q201" s="4">
        <v>3600</v>
      </c>
      <c r="R201" s="5">
        <v>23106652.09</v>
      </c>
      <c r="S201" s="2" t="s">
        <v>41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3">
        <v>46870</v>
      </c>
      <c r="AE201" s="2" t="s">
        <v>38</v>
      </c>
      <c r="AF201" s="2" t="s">
        <v>38</v>
      </c>
      <c r="AG201" s="2" t="s">
        <v>38</v>
      </c>
      <c r="AH201" s="4">
        <f>DataTable[[#This Row],[Unrestricted]]+DataTable[[#This Row],[Transit &amp; transfer]]+DataTable[[#This Row],[In Quality Insp.]]+DataTable[[#This Row],[Restricted Use Stock]]+DataTable[[#This Row],[Blocked]]</f>
        <v>3600</v>
      </c>
    </row>
    <row r="202" spans="1:34" x14ac:dyDescent="0.35">
      <c r="A202" s="2" t="s">
        <v>511</v>
      </c>
      <c r="B202" s="2" t="s">
        <v>512</v>
      </c>
      <c r="C202" s="2" t="s">
        <v>35</v>
      </c>
      <c r="D202" s="2" t="s">
        <v>36</v>
      </c>
      <c r="E202" s="2" t="s">
        <v>513</v>
      </c>
      <c r="F202" s="3">
        <v>46161</v>
      </c>
      <c r="G202" s="3">
        <v>46161</v>
      </c>
      <c r="H202" s="3">
        <v>46161</v>
      </c>
      <c r="I202" s="3">
        <v>46617</v>
      </c>
      <c r="J202" s="3">
        <v>46161</v>
      </c>
      <c r="K202" s="3">
        <v>46892</v>
      </c>
      <c r="L202" s="3">
        <v>47257</v>
      </c>
      <c r="M202" s="2" t="s">
        <v>38</v>
      </c>
      <c r="N202" s="2" t="s">
        <v>38</v>
      </c>
      <c r="O202" s="2" t="s">
        <v>39</v>
      </c>
      <c r="P202" s="2" t="s">
        <v>40</v>
      </c>
      <c r="Q202" s="4">
        <v>3050</v>
      </c>
      <c r="R202" s="5">
        <v>8818869.7699999996</v>
      </c>
      <c r="S202" s="2" t="s">
        <v>41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3">
        <v>47257</v>
      </c>
      <c r="AE202" s="3">
        <v>46892</v>
      </c>
      <c r="AF202" s="2" t="s">
        <v>38</v>
      </c>
      <c r="AG202" s="2" t="s">
        <v>38</v>
      </c>
      <c r="AH202" s="4">
        <f>DataTable[[#This Row],[Unrestricted]]+DataTable[[#This Row],[Transit &amp; transfer]]+DataTable[[#This Row],[In Quality Insp.]]+DataTable[[#This Row],[Restricted Use Stock]]+DataTable[[#This Row],[Blocked]]</f>
        <v>3050</v>
      </c>
    </row>
    <row r="203" spans="1:34" x14ac:dyDescent="0.35">
      <c r="A203" s="2" t="s">
        <v>511</v>
      </c>
      <c r="B203" s="2" t="s">
        <v>514</v>
      </c>
      <c r="C203" s="2" t="s">
        <v>35</v>
      </c>
      <c r="D203" s="2" t="s">
        <v>36</v>
      </c>
      <c r="E203" s="2" t="s">
        <v>515</v>
      </c>
      <c r="F203" s="3">
        <v>46161</v>
      </c>
      <c r="G203" s="3">
        <v>46165</v>
      </c>
      <c r="H203" s="3">
        <v>46165</v>
      </c>
      <c r="I203" s="3">
        <v>46617</v>
      </c>
      <c r="J203" s="3">
        <v>46161</v>
      </c>
      <c r="K203" s="3">
        <v>46892</v>
      </c>
      <c r="L203" s="3">
        <v>47257</v>
      </c>
      <c r="M203" s="2" t="s">
        <v>38</v>
      </c>
      <c r="N203" s="2" t="s">
        <v>38</v>
      </c>
      <c r="O203" s="2" t="s">
        <v>39</v>
      </c>
      <c r="P203" s="2" t="s">
        <v>40</v>
      </c>
      <c r="Q203" s="4">
        <v>1390</v>
      </c>
      <c r="R203" s="5">
        <v>4019091.47</v>
      </c>
      <c r="S203" s="2" t="s">
        <v>41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3">
        <v>47257</v>
      </c>
      <c r="AE203" s="3">
        <v>46892</v>
      </c>
      <c r="AF203" s="2" t="s">
        <v>38</v>
      </c>
      <c r="AG203" s="2" t="s">
        <v>38</v>
      </c>
      <c r="AH203" s="4">
        <f>DataTable[[#This Row],[Unrestricted]]+DataTable[[#This Row],[Transit &amp; transfer]]+DataTable[[#This Row],[In Quality Insp.]]+DataTable[[#This Row],[Restricted Use Stock]]+DataTable[[#This Row],[Blocked]]</f>
        <v>1390</v>
      </c>
    </row>
    <row r="204" spans="1:34" x14ac:dyDescent="0.35">
      <c r="A204" s="2" t="s">
        <v>511</v>
      </c>
      <c r="B204" s="2" t="s">
        <v>516</v>
      </c>
      <c r="C204" s="2" t="s">
        <v>35</v>
      </c>
      <c r="D204" s="2" t="s">
        <v>36</v>
      </c>
      <c r="E204" s="2" t="s">
        <v>517</v>
      </c>
      <c r="F204" s="3">
        <v>46163</v>
      </c>
      <c r="G204" s="3">
        <v>46163</v>
      </c>
      <c r="H204" s="3">
        <v>46165</v>
      </c>
      <c r="I204" s="3">
        <v>46619</v>
      </c>
      <c r="J204" s="3">
        <v>46163</v>
      </c>
      <c r="K204" s="3">
        <v>46894</v>
      </c>
      <c r="L204" s="3">
        <v>47259</v>
      </c>
      <c r="M204" s="2" t="s">
        <v>38</v>
      </c>
      <c r="N204" s="2" t="s">
        <v>38</v>
      </c>
      <c r="O204" s="2" t="s">
        <v>39</v>
      </c>
      <c r="P204" s="2" t="s">
        <v>40</v>
      </c>
      <c r="Q204" s="4">
        <v>4985</v>
      </c>
      <c r="R204" s="5">
        <v>14413792.060000001</v>
      </c>
      <c r="S204" s="2" t="s">
        <v>41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3">
        <v>47259</v>
      </c>
      <c r="AE204" s="3">
        <v>46894</v>
      </c>
      <c r="AF204" s="2" t="s">
        <v>38</v>
      </c>
      <c r="AG204" s="2" t="s">
        <v>38</v>
      </c>
      <c r="AH204" s="4">
        <f>DataTable[[#This Row],[Unrestricted]]+DataTable[[#This Row],[Transit &amp; transfer]]+DataTable[[#This Row],[In Quality Insp.]]+DataTable[[#This Row],[Restricted Use Stock]]+DataTable[[#This Row],[Blocked]]</f>
        <v>4985</v>
      </c>
    </row>
    <row r="205" spans="1:34" x14ac:dyDescent="0.35">
      <c r="A205" s="2" t="s">
        <v>511</v>
      </c>
      <c r="B205" s="2" t="s">
        <v>518</v>
      </c>
      <c r="C205" s="2" t="s">
        <v>35</v>
      </c>
      <c r="D205" s="2" t="s">
        <v>36</v>
      </c>
      <c r="E205" s="2" t="s">
        <v>519</v>
      </c>
      <c r="F205" s="3">
        <v>46163</v>
      </c>
      <c r="G205" s="3">
        <v>46165</v>
      </c>
      <c r="H205" s="3">
        <v>46165</v>
      </c>
      <c r="I205" s="3">
        <v>46619</v>
      </c>
      <c r="J205" s="3">
        <v>46163</v>
      </c>
      <c r="K205" s="3">
        <v>46894</v>
      </c>
      <c r="L205" s="3">
        <v>47259</v>
      </c>
      <c r="M205" s="2" t="s">
        <v>38</v>
      </c>
      <c r="N205" s="2" t="s">
        <v>38</v>
      </c>
      <c r="O205" s="2" t="s">
        <v>39</v>
      </c>
      <c r="P205" s="2" t="s">
        <v>40</v>
      </c>
      <c r="Q205" s="4">
        <v>3535</v>
      </c>
      <c r="R205" s="5">
        <v>10221214.630000001</v>
      </c>
      <c r="S205" s="2" t="s">
        <v>41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3">
        <v>47259</v>
      </c>
      <c r="AE205" s="3">
        <v>46894</v>
      </c>
      <c r="AF205" s="2" t="s">
        <v>38</v>
      </c>
      <c r="AG205" s="2" t="s">
        <v>38</v>
      </c>
      <c r="AH205" s="4">
        <f>DataTable[[#This Row],[Unrestricted]]+DataTable[[#This Row],[Transit &amp; transfer]]+DataTable[[#This Row],[In Quality Insp.]]+DataTable[[#This Row],[Restricted Use Stock]]+DataTable[[#This Row],[Blocked]]</f>
        <v>3535</v>
      </c>
    </row>
    <row r="206" spans="1:34" x14ac:dyDescent="0.35">
      <c r="A206" s="2" t="s">
        <v>520</v>
      </c>
      <c r="B206" s="2" t="s">
        <v>521</v>
      </c>
      <c r="C206" s="2" t="s">
        <v>35</v>
      </c>
      <c r="D206" s="2" t="s">
        <v>36</v>
      </c>
      <c r="E206" s="2" t="s">
        <v>522</v>
      </c>
      <c r="F206" s="3">
        <v>46083</v>
      </c>
      <c r="G206" s="3">
        <v>46086</v>
      </c>
      <c r="H206" s="3">
        <v>46086</v>
      </c>
      <c r="I206" s="3">
        <v>46540</v>
      </c>
      <c r="J206" s="3">
        <v>46083</v>
      </c>
      <c r="K206" s="3">
        <v>46814</v>
      </c>
      <c r="L206" s="3">
        <v>47179</v>
      </c>
      <c r="M206" s="2" t="s">
        <v>38</v>
      </c>
      <c r="N206" s="2" t="s">
        <v>38</v>
      </c>
      <c r="O206" s="2" t="s">
        <v>39</v>
      </c>
      <c r="P206" s="2" t="s">
        <v>40</v>
      </c>
      <c r="Q206" s="4">
        <v>648</v>
      </c>
      <c r="R206" s="5">
        <v>1930971.21</v>
      </c>
      <c r="S206" s="2" t="s">
        <v>41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3">
        <v>47179</v>
      </c>
      <c r="AE206" s="3">
        <v>46814</v>
      </c>
      <c r="AF206" s="2" t="s">
        <v>38</v>
      </c>
      <c r="AG206" s="2" t="s">
        <v>38</v>
      </c>
      <c r="AH206" s="4">
        <f>DataTable[[#This Row],[Unrestricted]]+DataTable[[#This Row],[Transit &amp; transfer]]+DataTable[[#This Row],[In Quality Insp.]]+DataTable[[#This Row],[Restricted Use Stock]]+DataTable[[#This Row],[Blocked]]</f>
        <v>648</v>
      </c>
    </row>
    <row r="207" spans="1:34" x14ac:dyDescent="0.35">
      <c r="A207" s="2" t="s">
        <v>520</v>
      </c>
      <c r="B207" s="2" t="s">
        <v>523</v>
      </c>
      <c r="C207" s="2" t="s">
        <v>35</v>
      </c>
      <c r="D207" s="2" t="s">
        <v>36</v>
      </c>
      <c r="E207" s="2" t="s">
        <v>524</v>
      </c>
      <c r="F207" s="3">
        <v>46086</v>
      </c>
      <c r="G207" s="3">
        <v>46112</v>
      </c>
      <c r="H207" s="3">
        <v>46112</v>
      </c>
      <c r="I207" s="3">
        <v>46542</v>
      </c>
      <c r="J207" s="3">
        <v>46086</v>
      </c>
      <c r="K207" s="3">
        <v>46817</v>
      </c>
      <c r="L207" s="3">
        <v>47182</v>
      </c>
      <c r="M207" s="2" t="s">
        <v>38</v>
      </c>
      <c r="N207" s="2" t="s">
        <v>38</v>
      </c>
      <c r="O207" s="2" t="s">
        <v>39</v>
      </c>
      <c r="P207" s="2" t="s">
        <v>40</v>
      </c>
      <c r="Q207" s="4">
        <v>1150</v>
      </c>
      <c r="R207" s="5">
        <v>3426877.91</v>
      </c>
      <c r="S207" s="2" t="s">
        <v>41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3">
        <v>47182</v>
      </c>
      <c r="AE207" s="3">
        <v>46817</v>
      </c>
      <c r="AF207" s="2" t="s">
        <v>38</v>
      </c>
      <c r="AG207" s="2" t="s">
        <v>38</v>
      </c>
      <c r="AH207" s="4">
        <f>DataTable[[#This Row],[Unrestricted]]+DataTable[[#This Row],[Transit &amp; transfer]]+DataTable[[#This Row],[In Quality Insp.]]+DataTable[[#This Row],[Restricted Use Stock]]+DataTable[[#This Row],[Blocked]]</f>
        <v>1150</v>
      </c>
    </row>
    <row r="208" spans="1:34" x14ac:dyDescent="0.35">
      <c r="A208" s="2" t="s">
        <v>520</v>
      </c>
      <c r="B208" s="2" t="s">
        <v>525</v>
      </c>
      <c r="C208" s="2" t="s">
        <v>35</v>
      </c>
      <c r="D208" s="2" t="s">
        <v>36</v>
      </c>
      <c r="E208" s="2" t="s">
        <v>526</v>
      </c>
      <c r="F208" s="3">
        <v>46111</v>
      </c>
      <c r="G208" s="3">
        <v>46155</v>
      </c>
      <c r="H208" s="3">
        <v>46155</v>
      </c>
      <c r="I208" s="3">
        <v>46610</v>
      </c>
      <c r="J208" s="3">
        <v>46111</v>
      </c>
      <c r="K208" s="3">
        <v>46842</v>
      </c>
      <c r="L208" s="3">
        <v>47207</v>
      </c>
      <c r="M208" s="2" t="s">
        <v>38</v>
      </c>
      <c r="N208" s="2" t="s">
        <v>38</v>
      </c>
      <c r="O208" s="2" t="s">
        <v>39</v>
      </c>
      <c r="P208" s="2" t="s">
        <v>40</v>
      </c>
      <c r="Q208" s="4">
        <v>2240</v>
      </c>
      <c r="R208" s="5">
        <v>6674962.1900000004</v>
      </c>
      <c r="S208" s="2" t="s">
        <v>41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3">
        <v>47207</v>
      </c>
      <c r="AE208" s="3">
        <v>46842</v>
      </c>
      <c r="AF208" s="2" t="s">
        <v>38</v>
      </c>
      <c r="AG208" s="2" t="s">
        <v>38</v>
      </c>
      <c r="AH208" s="4">
        <f>DataTable[[#This Row],[Unrestricted]]+DataTable[[#This Row],[Transit &amp; transfer]]+DataTable[[#This Row],[In Quality Insp.]]+DataTable[[#This Row],[Restricted Use Stock]]+DataTable[[#This Row],[Blocked]]</f>
        <v>2240</v>
      </c>
    </row>
    <row r="209" spans="1:34" x14ac:dyDescent="0.35">
      <c r="A209" s="2" t="s">
        <v>520</v>
      </c>
      <c r="B209" s="2" t="s">
        <v>527</v>
      </c>
      <c r="C209" s="2" t="s">
        <v>35</v>
      </c>
      <c r="D209" s="2" t="s">
        <v>36</v>
      </c>
      <c r="E209" s="2" t="s">
        <v>528</v>
      </c>
      <c r="F209" s="3">
        <v>46111</v>
      </c>
      <c r="G209" s="3">
        <v>46158</v>
      </c>
      <c r="H209" s="3">
        <v>46158</v>
      </c>
      <c r="I209" s="3">
        <v>46611</v>
      </c>
      <c r="J209" s="3">
        <v>46111</v>
      </c>
      <c r="K209" s="3">
        <v>46842</v>
      </c>
      <c r="L209" s="3">
        <v>47207</v>
      </c>
      <c r="M209" s="2" t="s">
        <v>38</v>
      </c>
      <c r="N209" s="2" t="s">
        <v>38</v>
      </c>
      <c r="O209" s="2" t="s">
        <v>39</v>
      </c>
      <c r="P209" s="2" t="s">
        <v>40</v>
      </c>
      <c r="Q209" s="4">
        <v>4096</v>
      </c>
      <c r="R209" s="5">
        <v>12205645.15</v>
      </c>
      <c r="S209" s="2" t="s">
        <v>41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3">
        <v>47207</v>
      </c>
      <c r="AE209" s="3">
        <v>46842</v>
      </c>
      <c r="AF209" s="2" t="s">
        <v>38</v>
      </c>
      <c r="AG209" s="2" t="s">
        <v>38</v>
      </c>
      <c r="AH209" s="4">
        <f>DataTable[[#This Row],[Unrestricted]]+DataTable[[#This Row],[Transit &amp; transfer]]+DataTable[[#This Row],[In Quality Insp.]]+DataTable[[#This Row],[Restricted Use Stock]]+DataTable[[#This Row],[Blocked]]</f>
        <v>4096</v>
      </c>
    </row>
    <row r="210" spans="1:34" x14ac:dyDescent="0.35">
      <c r="A210" s="2" t="s">
        <v>520</v>
      </c>
      <c r="B210" s="2" t="s">
        <v>529</v>
      </c>
      <c r="C210" s="2" t="s">
        <v>35</v>
      </c>
      <c r="D210" s="2" t="s">
        <v>36</v>
      </c>
      <c r="E210" s="2" t="s">
        <v>530</v>
      </c>
      <c r="F210" s="3">
        <v>46158</v>
      </c>
      <c r="G210" s="3">
        <v>46160</v>
      </c>
      <c r="H210" s="3">
        <v>46160</v>
      </c>
      <c r="I210" s="3">
        <v>46614</v>
      </c>
      <c r="J210" s="3">
        <v>46158</v>
      </c>
      <c r="K210" s="3">
        <v>46889</v>
      </c>
      <c r="L210" s="3">
        <v>47254</v>
      </c>
      <c r="M210" s="2" t="s">
        <v>38</v>
      </c>
      <c r="N210" s="2" t="s">
        <v>38</v>
      </c>
      <c r="O210" s="2" t="s">
        <v>39</v>
      </c>
      <c r="P210" s="2" t="s">
        <v>40</v>
      </c>
      <c r="Q210" s="4">
        <v>2254</v>
      </c>
      <c r="R210" s="5">
        <v>6716680.7000000002</v>
      </c>
      <c r="S210" s="2" t="s">
        <v>41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3">
        <v>47254</v>
      </c>
      <c r="AE210" s="3">
        <v>46889</v>
      </c>
      <c r="AF210" s="2" t="s">
        <v>38</v>
      </c>
      <c r="AG210" s="2" t="s">
        <v>38</v>
      </c>
      <c r="AH210" s="4">
        <f>DataTable[[#This Row],[Unrestricted]]+DataTable[[#This Row],[Transit &amp; transfer]]+DataTable[[#This Row],[In Quality Insp.]]+DataTable[[#This Row],[Restricted Use Stock]]+DataTable[[#This Row],[Blocked]]</f>
        <v>2254</v>
      </c>
    </row>
    <row r="211" spans="1:34" x14ac:dyDescent="0.35">
      <c r="A211" s="2" t="s">
        <v>531</v>
      </c>
      <c r="B211" s="2" t="s">
        <v>532</v>
      </c>
      <c r="C211" s="2" t="s">
        <v>35</v>
      </c>
      <c r="D211" s="2" t="s">
        <v>36</v>
      </c>
      <c r="E211" s="2" t="s">
        <v>533</v>
      </c>
      <c r="F211" s="3">
        <v>46076</v>
      </c>
      <c r="G211" s="3">
        <v>46081</v>
      </c>
      <c r="H211" s="3">
        <v>46081</v>
      </c>
      <c r="I211" s="3">
        <v>46532</v>
      </c>
      <c r="J211" s="3">
        <v>46076</v>
      </c>
      <c r="K211" s="3">
        <v>46806</v>
      </c>
      <c r="L211" s="3">
        <v>47172</v>
      </c>
      <c r="M211" s="2" t="s">
        <v>38</v>
      </c>
      <c r="N211" s="2" t="s">
        <v>38</v>
      </c>
      <c r="O211" s="2" t="s">
        <v>39</v>
      </c>
      <c r="P211" s="2" t="s">
        <v>40</v>
      </c>
      <c r="Q211" s="4">
        <v>118</v>
      </c>
      <c r="R211" s="5">
        <v>364740.78</v>
      </c>
      <c r="S211" s="2" t="s">
        <v>41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3">
        <v>47172</v>
      </c>
      <c r="AE211" s="3">
        <v>46806</v>
      </c>
      <c r="AF211" s="2" t="s">
        <v>38</v>
      </c>
      <c r="AG211" s="2" t="s">
        <v>38</v>
      </c>
      <c r="AH211" s="4">
        <f>DataTable[[#This Row],[Unrestricted]]+DataTable[[#This Row],[Transit &amp; transfer]]+DataTable[[#This Row],[In Quality Insp.]]+DataTable[[#This Row],[Restricted Use Stock]]+DataTable[[#This Row],[Blocked]]</f>
        <v>118</v>
      </c>
    </row>
    <row r="212" spans="1:34" x14ac:dyDescent="0.35">
      <c r="A212" s="2" t="s">
        <v>531</v>
      </c>
      <c r="B212" s="2" t="s">
        <v>534</v>
      </c>
      <c r="C212" s="2" t="s">
        <v>35</v>
      </c>
      <c r="D212" s="2" t="s">
        <v>36</v>
      </c>
      <c r="E212" s="2" t="s">
        <v>535</v>
      </c>
      <c r="F212" s="3">
        <v>46146</v>
      </c>
      <c r="G212" s="3">
        <v>46167</v>
      </c>
      <c r="H212" s="3">
        <v>46167</v>
      </c>
      <c r="I212" s="3">
        <v>46602</v>
      </c>
      <c r="J212" s="3">
        <v>46146</v>
      </c>
      <c r="K212" s="3">
        <v>46877</v>
      </c>
      <c r="L212" s="3">
        <v>47242</v>
      </c>
      <c r="M212" s="2" t="s">
        <v>38</v>
      </c>
      <c r="N212" s="2" t="s">
        <v>38</v>
      </c>
      <c r="O212" s="2" t="s">
        <v>39</v>
      </c>
      <c r="P212" s="2" t="s">
        <v>40</v>
      </c>
      <c r="Q212" s="4">
        <v>5132</v>
      </c>
      <c r="R212" s="5">
        <v>15863132.710000001</v>
      </c>
      <c r="S212" s="2" t="s">
        <v>41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3">
        <v>47242</v>
      </c>
      <c r="AE212" s="3">
        <v>46877</v>
      </c>
      <c r="AF212" s="2" t="s">
        <v>38</v>
      </c>
      <c r="AG212" s="2" t="s">
        <v>38</v>
      </c>
      <c r="AH212" s="4">
        <f>DataTable[[#This Row],[Unrestricted]]+DataTable[[#This Row],[Transit &amp; transfer]]+DataTable[[#This Row],[In Quality Insp.]]+DataTable[[#This Row],[Restricted Use Stock]]+DataTable[[#This Row],[Blocked]]</f>
        <v>5132</v>
      </c>
    </row>
    <row r="213" spans="1:34" x14ac:dyDescent="0.35">
      <c r="A213" s="2" t="s">
        <v>531</v>
      </c>
      <c r="B213" s="2" t="s">
        <v>536</v>
      </c>
      <c r="C213" s="2" t="s">
        <v>35</v>
      </c>
      <c r="D213" s="2" t="s">
        <v>36</v>
      </c>
      <c r="E213" s="2" t="s">
        <v>537</v>
      </c>
      <c r="F213" s="3">
        <v>46052</v>
      </c>
      <c r="G213" s="3">
        <v>46149</v>
      </c>
      <c r="H213" s="3">
        <v>46151</v>
      </c>
      <c r="I213" s="3">
        <v>46605</v>
      </c>
      <c r="J213" s="3">
        <v>46052</v>
      </c>
      <c r="K213" s="3">
        <v>46782</v>
      </c>
      <c r="L213" s="3">
        <v>47148</v>
      </c>
      <c r="M213" s="2" t="s">
        <v>38</v>
      </c>
      <c r="N213" s="2" t="s">
        <v>38</v>
      </c>
      <c r="O213" s="2" t="s">
        <v>39</v>
      </c>
      <c r="P213" s="2" t="s">
        <v>40</v>
      </c>
      <c r="Q213" s="4">
        <v>333</v>
      </c>
      <c r="R213" s="5">
        <v>1029310.83</v>
      </c>
      <c r="S213" s="2" t="s">
        <v>41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3">
        <v>47148</v>
      </c>
      <c r="AE213" s="3">
        <v>46782</v>
      </c>
      <c r="AF213" s="2" t="s">
        <v>38</v>
      </c>
      <c r="AG213" s="2" t="s">
        <v>38</v>
      </c>
      <c r="AH213" s="4">
        <f>DataTable[[#This Row],[Unrestricted]]+DataTable[[#This Row],[Transit &amp; transfer]]+DataTable[[#This Row],[In Quality Insp.]]+DataTable[[#This Row],[Restricted Use Stock]]+DataTable[[#This Row],[Blocked]]</f>
        <v>333</v>
      </c>
    </row>
    <row r="214" spans="1:34" x14ac:dyDescent="0.35">
      <c r="A214" s="2" t="s">
        <v>538</v>
      </c>
      <c r="B214" s="2" t="s">
        <v>539</v>
      </c>
      <c r="C214" s="2" t="s">
        <v>35</v>
      </c>
      <c r="D214" s="2" t="s">
        <v>36</v>
      </c>
      <c r="E214" s="2" t="s">
        <v>540</v>
      </c>
      <c r="F214" s="3">
        <v>46144</v>
      </c>
      <c r="G214" s="3">
        <v>46154</v>
      </c>
      <c r="H214" s="3">
        <v>46154</v>
      </c>
      <c r="I214" s="3">
        <v>47969</v>
      </c>
      <c r="J214" s="3">
        <v>46144</v>
      </c>
      <c r="K214" s="3">
        <v>47970</v>
      </c>
      <c r="L214" s="3">
        <v>47970</v>
      </c>
      <c r="M214" s="2" t="s">
        <v>38</v>
      </c>
      <c r="N214" s="2" t="s">
        <v>38</v>
      </c>
      <c r="O214" s="2" t="s">
        <v>39</v>
      </c>
      <c r="P214" s="2" t="s">
        <v>89</v>
      </c>
      <c r="Q214" s="4">
        <v>6920</v>
      </c>
      <c r="R214" s="5">
        <v>671193.29</v>
      </c>
      <c r="S214" s="2" t="s">
        <v>41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3">
        <v>47970</v>
      </c>
      <c r="AE214" s="3">
        <v>46144</v>
      </c>
      <c r="AF214" s="2" t="s">
        <v>38</v>
      </c>
      <c r="AG214" s="2" t="s">
        <v>38</v>
      </c>
      <c r="AH214" s="4">
        <f>DataTable[[#This Row],[Unrestricted]]+DataTable[[#This Row],[Transit &amp; transfer]]+DataTable[[#This Row],[In Quality Insp.]]+DataTable[[#This Row],[Restricted Use Stock]]+DataTable[[#This Row],[Blocked]]</f>
        <v>6920</v>
      </c>
    </row>
    <row r="215" spans="1:34" x14ac:dyDescent="0.35">
      <c r="A215" s="2" t="s">
        <v>538</v>
      </c>
      <c r="B215" s="2" t="s">
        <v>541</v>
      </c>
      <c r="C215" s="2" t="s">
        <v>35</v>
      </c>
      <c r="D215" s="2" t="s">
        <v>36</v>
      </c>
      <c r="E215" s="2" t="s">
        <v>542</v>
      </c>
      <c r="F215" s="3">
        <v>46163</v>
      </c>
      <c r="G215" s="3">
        <v>46184</v>
      </c>
      <c r="H215" s="3">
        <v>46184</v>
      </c>
      <c r="I215" s="3">
        <v>47988</v>
      </c>
      <c r="J215" s="3">
        <v>46163</v>
      </c>
      <c r="K215" s="3">
        <v>47989</v>
      </c>
      <c r="L215" s="3">
        <v>47989</v>
      </c>
      <c r="M215" s="2" t="s">
        <v>38</v>
      </c>
      <c r="N215" s="2" t="s">
        <v>38</v>
      </c>
      <c r="O215" s="2" t="s">
        <v>39</v>
      </c>
      <c r="P215" s="2" t="s">
        <v>89</v>
      </c>
      <c r="Q215" s="4">
        <v>3340</v>
      </c>
      <c r="R215" s="5">
        <v>323957.46000000002</v>
      </c>
      <c r="S215" s="2" t="s">
        <v>41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3">
        <v>47989</v>
      </c>
      <c r="AE215" s="3">
        <v>46163</v>
      </c>
      <c r="AF215" s="2" t="s">
        <v>38</v>
      </c>
      <c r="AG215" s="2" t="s">
        <v>38</v>
      </c>
      <c r="AH215" s="4">
        <f>DataTable[[#This Row],[Unrestricted]]+DataTable[[#This Row],[Transit &amp; transfer]]+DataTable[[#This Row],[In Quality Insp.]]+DataTable[[#This Row],[Restricted Use Stock]]+DataTable[[#This Row],[Blocked]]</f>
        <v>3340</v>
      </c>
    </row>
    <row r="216" spans="1:34" x14ac:dyDescent="0.35">
      <c r="A216" s="2" t="s">
        <v>538</v>
      </c>
      <c r="B216" s="2" t="s">
        <v>543</v>
      </c>
      <c r="C216" s="2" t="s">
        <v>35</v>
      </c>
      <c r="D216" s="2" t="s">
        <v>36</v>
      </c>
      <c r="E216" s="2" t="s">
        <v>544</v>
      </c>
      <c r="F216" s="3">
        <v>46184</v>
      </c>
      <c r="G216" s="3">
        <v>46184</v>
      </c>
      <c r="H216" s="3">
        <v>46184</v>
      </c>
      <c r="I216" s="3">
        <v>48009</v>
      </c>
      <c r="J216" s="3">
        <v>46184</v>
      </c>
      <c r="K216" s="3">
        <v>48010</v>
      </c>
      <c r="L216" s="3">
        <v>48010</v>
      </c>
      <c r="M216" s="2" t="s">
        <v>38</v>
      </c>
      <c r="N216" s="2" t="s">
        <v>38</v>
      </c>
      <c r="O216" s="2" t="s">
        <v>39</v>
      </c>
      <c r="P216" s="2" t="s">
        <v>89</v>
      </c>
      <c r="Q216" s="4">
        <v>34570</v>
      </c>
      <c r="R216" s="5">
        <v>3353056.65</v>
      </c>
      <c r="S216" s="2" t="s">
        <v>41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3">
        <v>48010</v>
      </c>
      <c r="AE216" s="3">
        <v>46184</v>
      </c>
      <c r="AF216" s="2" t="s">
        <v>38</v>
      </c>
      <c r="AG216" s="2" t="s">
        <v>38</v>
      </c>
      <c r="AH216" s="4">
        <f>DataTable[[#This Row],[Unrestricted]]+DataTable[[#This Row],[Transit &amp; transfer]]+DataTable[[#This Row],[In Quality Insp.]]+DataTable[[#This Row],[Restricted Use Stock]]+DataTable[[#This Row],[Blocked]]</f>
        <v>34570</v>
      </c>
    </row>
    <row r="217" spans="1:34" x14ac:dyDescent="0.35">
      <c r="A217" s="2" t="s">
        <v>545</v>
      </c>
      <c r="B217" s="2" t="s">
        <v>546</v>
      </c>
      <c r="C217" s="2" t="s">
        <v>35</v>
      </c>
      <c r="D217" s="2" t="s">
        <v>36</v>
      </c>
      <c r="E217" s="2" t="s">
        <v>542</v>
      </c>
      <c r="F217" s="3">
        <v>46160</v>
      </c>
      <c r="G217" s="3">
        <v>46163</v>
      </c>
      <c r="H217" s="3">
        <v>46163</v>
      </c>
      <c r="I217" s="3">
        <v>47985</v>
      </c>
      <c r="J217" s="3">
        <v>46160</v>
      </c>
      <c r="K217" s="3">
        <v>47986</v>
      </c>
      <c r="L217" s="3">
        <v>47986</v>
      </c>
      <c r="M217" s="2" t="s">
        <v>38</v>
      </c>
      <c r="N217" s="2" t="s">
        <v>38</v>
      </c>
      <c r="O217" s="2" t="s">
        <v>39</v>
      </c>
      <c r="P217" s="2" t="s">
        <v>89</v>
      </c>
      <c r="Q217" s="4">
        <v>4480</v>
      </c>
      <c r="R217" s="5">
        <v>418504.45</v>
      </c>
      <c r="S217" s="2" t="s">
        <v>41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3">
        <v>47986</v>
      </c>
      <c r="AE217" s="3">
        <v>46160</v>
      </c>
      <c r="AF217" s="2" t="s">
        <v>38</v>
      </c>
      <c r="AG217" s="2" t="s">
        <v>38</v>
      </c>
      <c r="AH217" s="4">
        <f>DataTable[[#This Row],[Unrestricted]]+DataTable[[#This Row],[Transit &amp; transfer]]+DataTable[[#This Row],[In Quality Insp.]]+DataTable[[#This Row],[Restricted Use Stock]]+DataTable[[#This Row],[Blocked]]</f>
        <v>4480</v>
      </c>
    </row>
    <row r="218" spans="1:34" x14ac:dyDescent="0.35">
      <c r="A218" s="2" t="s">
        <v>547</v>
      </c>
      <c r="B218" s="2" t="s">
        <v>548</v>
      </c>
      <c r="C218" s="2" t="s">
        <v>35</v>
      </c>
      <c r="D218" s="2" t="s">
        <v>36</v>
      </c>
      <c r="E218" s="2" t="s">
        <v>549</v>
      </c>
      <c r="F218" s="3">
        <v>46188</v>
      </c>
      <c r="G218" s="3">
        <v>46188</v>
      </c>
      <c r="H218" s="3">
        <v>46188</v>
      </c>
      <c r="I218" s="3">
        <v>47374</v>
      </c>
      <c r="J218" s="3">
        <v>46188</v>
      </c>
      <c r="K218" s="3">
        <v>47284</v>
      </c>
      <c r="L218" s="3">
        <v>47284</v>
      </c>
      <c r="M218" s="2" t="s">
        <v>38</v>
      </c>
      <c r="N218" s="2" t="s">
        <v>38</v>
      </c>
      <c r="O218" s="2" t="s">
        <v>39</v>
      </c>
      <c r="P218" s="2" t="s">
        <v>89</v>
      </c>
      <c r="Q218" s="4">
        <v>840</v>
      </c>
      <c r="R218" s="5">
        <v>181990.32</v>
      </c>
      <c r="S218" s="2" t="s">
        <v>41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3">
        <v>48014</v>
      </c>
      <c r="AE218" s="2" t="s">
        <v>38</v>
      </c>
      <c r="AF218" s="2" t="s">
        <v>38</v>
      </c>
      <c r="AG218" s="2" t="s">
        <v>38</v>
      </c>
      <c r="AH218" s="4">
        <f>DataTable[[#This Row],[Unrestricted]]+DataTable[[#This Row],[Transit &amp; transfer]]+DataTable[[#This Row],[In Quality Insp.]]+DataTable[[#This Row],[Restricted Use Stock]]+DataTable[[#This Row],[Blocked]]</f>
        <v>840</v>
      </c>
    </row>
    <row r="219" spans="1:34" x14ac:dyDescent="0.35">
      <c r="A219" s="2" t="s">
        <v>550</v>
      </c>
      <c r="B219" s="2" t="s">
        <v>551</v>
      </c>
      <c r="C219" s="2" t="s">
        <v>35</v>
      </c>
      <c r="D219" s="2" t="s">
        <v>36</v>
      </c>
      <c r="E219" s="2" t="s">
        <v>549</v>
      </c>
      <c r="F219" s="3">
        <v>46187</v>
      </c>
      <c r="G219" s="3">
        <v>46188</v>
      </c>
      <c r="H219" s="3">
        <v>46188</v>
      </c>
      <c r="I219" s="3">
        <v>47373</v>
      </c>
      <c r="J219" s="3">
        <v>46187</v>
      </c>
      <c r="K219" s="3">
        <v>47283</v>
      </c>
      <c r="L219" s="3">
        <v>47283</v>
      </c>
      <c r="M219" s="2" t="s">
        <v>38</v>
      </c>
      <c r="N219" s="2" t="s">
        <v>38</v>
      </c>
      <c r="O219" s="2" t="s">
        <v>39</v>
      </c>
      <c r="P219" s="2" t="s">
        <v>89</v>
      </c>
      <c r="Q219" s="4">
        <v>144</v>
      </c>
      <c r="R219" s="5">
        <v>31973.64</v>
      </c>
      <c r="S219" s="2" t="s">
        <v>41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3">
        <v>48013</v>
      </c>
      <c r="AE219" s="2" t="s">
        <v>38</v>
      </c>
      <c r="AF219" s="2" t="s">
        <v>38</v>
      </c>
      <c r="AG219" s="2" t="s">
        <v>38</v>
      </c>
      <c r="AH219" s="4">
        <f>DataTable[[#This Row],[Unrestricted]]+DataTable[[#This Row],[Transit &amp; transfer]]+DataTable[[#This Row],[In Quality Insp.]]+DataTable[[#This Row],[Restricted Use Stock]]+DataTable[[#This Row],[Blocked]]</f>
        <v>144</v>
      </c>
    </row>
    <row r="220" spans="1:34" x14ac:dyDescent="0.35">
      <c r="A220" s="2" t="s">
        <v>552</v>
      </c>
      <c r="B220" s="2" t="s">
        <v>553</v>
      </c>
      <c r="C220" s="2" t="s">
        <v>35</v>
      </c>
      <c r="D220" s="2" t="s">
        <v>36</v>
      </c>
      <c r="E220" s="2" t="s">
        <v>554</v>
      </c>
      <c r="F220" s="3">
        <v>46188</v>
      </c>
      <c r="G220" s="3">
        <v>46198</v>
      </c>
      <c r="H220" s="3">
        <v>46198</v>
      </c>
      <c r="I220" s="3">
        <v>48013</v>
      </c>
      <c r="J220" s="3">
        <v>46188</v>
      </c>
      <c r="K220" s="3">
        <v>48014</v>
      </c>
      <c r="L220" s="3">
        <v>48014</v>
      </c>
      <c r="M220" s="2" t="s">
        <v>38</v>
      </c>
      <c r="N220" s="2" t="s">
        <v>38</v>
      </c>
      <c r="O220" s="2" t="s">
        <v>39</v>
      </c>
      <c r="P220" s="2" t="s">
        <v>89</v>
      </c>
      <c r="Q220" s="4">
        <v>21670</v>
      </c>
      <c r="R220" s="5">
        <v>4385542.75</v>
      </c>
      <c r="S220" s="2" t="s">
        <v>41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3">
        <v>48014</v>
      </c>
      <c r="AE220" s="3">
        <v>46188</v>
      </c>
      <c r="AF220" s="2" t="s">
        <v>38</v>
      </c>
      <c r="AG220" s="2" t="s">
        <v>38</v>
      </c>
      <c r="AH220" s="4">
        <f>DataTable[[#This Row],[Unrestricted]]+DataTable[[#This Row],[Transit &amp; transfer]]+DataTable[[#This Row],[In Quality Insp.]]+DataTable[[#This Row],[Restricted Use Stock]]+DataTable[[#This Row],[Blocked]]</f>
        <v>21670</v>
      </c>
    </row>
    <row r="221" spans="1:34" x14ac:dyDescent="0.35">
      <c r="A221" s="2" t="s">
        <v>552</v>
      </c>
      <c r="B221" s="2" t="s">
        <v>555</v>
      </c>
      <c r="C221" s="2" t="s">
        <v>35</v>
      </c>
      <c r="D221" s="2" t="s">
        <v>36</v>
      </c>
      <c r="E221" s="2" t="s">
        <v>556</v>
      </c>
      <c r="F221" s="3">
        <v>46198</v>
      </c>
      <c r="G221" s="3">
        <v>46203</v>
      </c>
      <c r="H221" s="3">
        <v>46203</v>
      </c>
      <c r="I221" s="3">
        <v>48023</v>
      </c>
      <c r="J221" s="3">
        <v>46198</v>
      </c>
      <c r="K221" s="3">
        <v>48024</v>
      </c>
      <c r="L221" s="3">
        <v>48024</v>
      </c>
      <c r="M221" s="2" t="s">
        <v>38</v>
      </c>
      <c r="N221" s="2" t="s">
        <v>38</v>
      </c>
      <c r="O221" s="2" t="s">
        <v>39</v>
      </c>
      <c r="P221" s="2" t="s">
        <v>89</v>
      </c>
      <c r="Q221" s="4">
        <v>81820</v>
      </c>
      <c r="R221" s="5">
        <v>16558611.32</v>
      </c>
      <c r="S221" s="2" t="s">
        <v>41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3">
        <v>48024</v>
      </c>
      <c r="AE221" s="3">
        <v>46198</v>
      </c>
      <c r="AF221" s="2" t="s">
        <v>38</v>
      </c>
      <c r="AG221" s="2" t="s">
        <v>38</v>
      </c>
      <c r="AH221" s="4">
        <f>DataTable[[#This Row],[Unrestricted]]+DataTable[[#This Row],[Transit &amp; transfer]]+DataTable[[#This Row],[In Quality Insp.]]+DataTable[[#This Row],[Restricted Use Stock]]+DataTable[[#This Row],[Blocked]]</f>
        <v>81820</v>
      </c>
    </row>
    <row r="222" spans="1:34" x14ac:dyDescent="0.35">
      <c r="A222" s="2" t="s">
        <v>557</v>
      </c>
      <c r="B222" s="2" t="s">
        <v>558</v>
      </c>
      <c r="C222" s="2" t="s">
        <v>35</v>
      </c>
      <c r="D222" s="2" t="s">
        <v>36</v>
      </c>
      <c r="E222" s="2" t="s">
        <v>559</v>
      </c>
      <c r="F222" s="3">
        <v>46186</v>
      </c>
      <c r="G222" s="3">
        <v>46201</v>
      </c>
      <c r="H222" s="3">
        <v>46201</v>
      </c>
      <c r="I222" s="3">
        <v>48011</v>
      </c>
      <c r="J222" s="3">
        <v>46186</v>
      </c>
      <c r="K222" s="3">
        <v>48012</v>
      </c>
      <c r="L222" s="3">
        <v>48012</v>
      </c>
      <c r="M222" s="2" t="s">
        <v>38</v>
      </c>
      <c r="N222" s="2" t="s">
        <v>38</v>
      </c>
      <c r="O222" s="2" t="s">
        <v>39</v>
      </c>
      <c r="P222" s="2" t="s">
        <v>89</v>
      </c>
      <c r="Q222" s="4">
        <v>33620</v>
      </c>
      <c r="R222" s="5">
        <v>7218786.2300000004</v>
      </c>
      <c r="S222" s="2" t="s">
        <v>41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3">
        <v>48012</v>
      </c>
      <c r="AE222" s="3">
        <v>46186</v>
      </c>
      <c r="AF222" s="2" t="s">
        <v>38</v>
      </c>
      <c r="AG222" s="2" t="s">
        <v>38</v>
      </c>
      <c r="AH222" s="4">
        <f>DataTable[[#This Row],[Unrestricted]]+DataTable[[#This Row],[Transit &amp; transfer]]+DataTable[[#This Row],[In Quality Insp.]]+DataTable[[#This Row],[Restricted Use Stock]]+DataTable[[#This Row],[Blocked]]</f>
        <v>33620</v>
      </c>
    </row>
    <row r="223" spans="1:34" x14ac:dyDescent="0.35">
      <c r="A223" s="2" t="s">
        <v>557</v>
      </c>
      <c r="B223" s="2" t="s">
        <v>560</v>
      </c>
      <c r="C223" s="2" t="s">
        <v>35</v>
      </c>
      <c r="D223" s="2" t="s">
        <v>36</v>
      </c>
      <c r="E223" s="2" t="s">
        <v>561</v>
      </c>
      <c r="F223" s="3">
        <v>46201</v>
      </c>
      <c r="G223" s="3">
        <v>46209</v>
      </c>
      <c r="H223" s="3">
        <v>46209</v>
      </c>
      <c r="I223" s="3">
        <v>48026</v>
      </c>
      <c r="J223" s="3">
        <v>46201</v>
      </c>
      <c r="K223" s="3">
        <v>48027</v>
      </c>
      <c r="L223" s="3">
        <v>48027</v>
      </c>
      <c r="M223" s="2" t="s">
        <v>38</v>
      </c>
      <c r="N223" s="2" t="s">
        <v>38</v>
      </c>
      <c r="O223" s="2" t="s">
        <v>39</v>
      </c>
      <c r="P223" s="2" t="s">
        <v>89</v>
      </c>
      <c r="Q223" s="4">
        <v>31010</v>
      </c>
      <c r="R223" s="5">
        <v>6658374.8099999996</v>
      </c>
      <c r="S223" s="2" t="s">
        <v>41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3">
        <v>48027</v>
      </c>
      <c r="AE223" s="3">
        <v>46201</v>
      </c>
      <c r="AF223" s="2" t="s">
        <v>38</v>
      </c>
      <c r="AG223" s="2" t="s">
        <v>38</v>
      </c>
      <c r="AH223" s="4">
        <f>DataTable[[#This Row],[Unrestricted]]+DataTable[[#This Row],[Transit &amp; transfer]]+DataTable[[#This Row],[In Quality Insp.]]+DataTable[[#This Row],[Restricted Use Stock]]+DataTable[[#This Row],[Blocked]]</f>
        <v>31010</v>
      </c>
    </row>
    <row r="224" spans="1:34" x14ac:dyDescent="0.35">
      <c r="A224" s="2" t="s">
        <v>562</v>
      </c>
      <c r="B224" s="2" t="s">
        <v>563</v>
      </c>
      <c r="C224" s="2" t="s">
        <v>35</v>
      </c>
      <c r="D224" s="2" t="s">
        <v>36</v>
      </c>
      <c r="E224" s="2" t="s">
        <v>564</v>
      </c>
      <c r="F224" s="3">
        <v>46070</v>
      </c>
      <c r="G224" s="3">
        <v>46095</v>
      </c>
      <c r="H224" s="3">
        <v>46096</v>
      </c>
      <c r="I224" s="3">
        <v>46250</v>
      </c>
      <c r="J224" s="3">
        <v>46070</v>
      </c>
      <c r="K224" s="3">
        <v>46800</v>
      </c>
      <c r="L224" s="3">
        <v>46800</v>
      </c>
      <c r="M224" s="2" t="s">
        <v>38</v>
      </c>
      <c r="N224" s="2" t="s">
        <v>38</v>
      </c>
      <c r="O224" s="2" t="s">
        <v>208</v>
      </c>
      <c r="P224" s="2" t="s">
        <v>89</v>
      </c>
      <c r="Q224" s="4">
        <v>2</v>
      </c>
      <c r="R224" s="5">
        <v>1960.54</v>
      </c>
      <c r="S224" s="2" t="s">
        <v>41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3">
        <v>46800</v>
      </c>
      <c r="AE224" s="2" t="s">
        <v>38</v>
      </c>
      <c r="AF224" s="2" t="s">
        <v>38</v>
      </c>
      <c r="AG224" s="2" t="s">
        <v>38</v>
      </c>
      <c r="AH224" s="4">
        <f>DataTable[[#This Row],[Unrestricted]]+DataTable[[#This Row],[Transit &amp; transfer]]+DataTable[[#This Row],[In Quality Insp.]]+DataTable[[#This Row],[Restricted Use Stock]]+DataTable[[#This Row],[Blocked]]</f>
        <v>2</v>
      </c>
    </row>
    <row r="225" spans="1:34" x14ac:dyDescent="0.35">
      <c r="A225" s="2" t="s">
        <v>562</v>
      </c>
      <c r="B225" s="2" t="s">
        <v>565</v>
      </c>
      <c r="C225" s="2" t="s">
        <v>35</v>
      </c>
      <c r="D225" s="2" t="s">
        <v>36</v>
      </c>
      <c r="E225" s="2" t="s">
        <v>566</v>
      </c>
      <c r="F225" s="3">
        <v>46070</v>
      </c>
      <c r="G225" s="3">
        <v>46095</v>
      </c>
      <c r="H225" s="3">
        <v>46096</v>
      </c>
      <c r="I225" s="3">
        <v>46250</v>
      </c>
      <c r="J225" s="3">
        <v>46070</v>
      </c>
      <c r="K225" s="3">
        <v>46800</v>
      </c>
      <c r="L225" s="3">
        <v>46800</v>
      </c>
      <c r="M225" s="2" t="s">
        <v>38</v>
      </c>
      <c r="N225" s="2" t="s">
        <v>38</v>
      </c>
      <c r="O225" s="2" t="s">
        <v>208</v>
      </c>
      <c r="P225" s="2" t="s">
        <v>89</v>
      </c>
      <c r="Q225" s="4">
        <v>4490</v>
      </c>
      <c r="R225" s="5">
        <v>4401414.45</v>
      </c>
      <c r="S225" s="2" t="s">
        <v>41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3">
        <v>46800</v>
      </c>
      <c r="AE225" s="2" t="s">
        <v>38</v>
      </c>
      <c r="AF225" s="2" t="s">
        <v>38</v>
      </c>
      <c r="AG225" s="2" t="s">
        <v>38</v>
      </c>
      <c r="AH225" s="4">
        <f>DataTable[[#This Row],[Unrestricted]]+DataTable[[#This Row],[Transit &amp; transfer]]+DataTable[[#This Row],[In Quality Insp.]]+DataTable[[#This Row],[Restricted Use Stock]]+DataTable[[#This Row],[Blocked]]</f>
        <v>4490</v>
      </c>
    </row>
    <row r="226" spans="1:34" x14ac:dyDescent="0.35">
      <c r="A226" s="2" t="s">
        <v>562</v>
      </c>
      <c r="B226" s="2" t="s">
        <v>567</v>
      </c>
      <c r="C226" s="2" t="s">
        <v>35</v>
      </c>
      <c r="D226" s="2" t="s">
        <v>36</v>
      </c>
      <c r="E226" s="2" t="s">
        <v>568</v>
      </c>
      <c r="F226" s="3">
        <v>46070</v>
      </c>
      <c r="G226" s="3">
        <v>46095</v>
      </c>
      <c r="H226" s="3">
        <v>46096</v>
      </c>
      <c r="I226" s="3">
        <v>46250</v>
      </c>
      <c r="J226" s="3">
        <v>46070</v>
      </c>
      <c r="K226" s="3">
        <v>46800</v>
      </c>
      <c r="L226" s="3">
        <v>46800</v>
      </c>
      <c r="M226" s="2" t="s">
        <v>38</v>
      </c>
      <c r="N226" s="2" t="s">
        <v>38</v>
      </c>
      <c r="O226" s="2" t="s">
        <v>208</v>
      </c>
      <c r="P226" s="2" t="s">
        <v>89</v>
      </c>
      <c r="Q226" s="4">
        <v>4968</v>
      </c>
      <c r="R226" s="5">
        <v>4869983.74</v>
      </c>
      <c r="S226" s="2" t="s">
        <v>41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3">
        <v>46800</v>
      </c>
      <c r="AE226" s="2" t="s">
        <v>38</v>
      </c>
      <c r="AF226" s="2" t="s">
        <v>38</v>
      </c>
      <c r="AG226" s="2" t="s">
        <v>38</v>
      </c>
      <c r="AH226" s="4">
        <f>DataTable[[#This Row],[Unrestricted]]+DataTable[[#This Row],[Transit &amp; transfer]]+DataTable[[#This Row],[In Quality Insp.]]+DataTable[[#This Row],[Restricted Use Stock]]+DataTable[[#This Row],[Blocked]]</f>
        <v>4968</v>
      </c>
    </row>
    <row r="227" spans="1:34" x14ac:dyDescent="0.35">
      <c r="A227" s="2" t="s">
        <v>569</v>
      </c>
      <c r="B227" s="2" t="s">
        <v>570</v>
      </c>
      <c r="C227" s="2" t="s">
        <v>35</v>
      </c>
      <c r="D227" s="2" t="s">
        <v>36</v>
      </c>
      <c r="E227" s="2" t="s">
        <v>571</v>
      </c>
      <c r="F227" s="3">
        <v>46085</v>
      </c>
      <c r="G227" s="3">
        <v>46156</v>
      </c>
      <c r="H227" s="3">
        <v>46160</v>
      </c>
      <c r="I227" s="3">
        <v>46272</v>
      </c>
      <c r="J227" s="3">
        <v>46085</v>
      </c>
      <c r="K227" s="3">
        <v>46450</v>
      </c>
      <c r="L227" s="3">
        <v>46450</v>
      </c>
      <c r="M227" s="2" t="s">
        <v>38</v>
      </c>
      <c r="N227" s="2" t="s">
        <v>38</v>
      </c>
      <c r="O227" s="2" t="s">
        <v>208</v>
      </c>
      <c r="P227" s="2" t="s">
        <v>89</v>
      </c>
      <c r="Q227" s="4">
        <v>16928</v>
      </c>
      <c r="R227" s="5">
        <v>10788343.9</v>
      </c>
      <c r="S227" s="2" t="s">
        <v>41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3">
        <v>46450</v>
      </c>
      <c r="AE227" s="2" t="s">
        <v>38</v>
      </c>
      <c r="AF227" s="2" t="s">
        <v>38</v>
      </c>
      <c r="AG227" s="2" t="s">
        <v>38</v>
      </c>
      <c r="AH227" s="4">
        <f>DataTable[[#This Row],[Unrestricted]]+DataTable[[#This Row],[Transit &amp; transfer]]+DataTable[[#This Row],[In Quality Insp.]]+DataTable[[#This Row],[Restricted Use Stock]]+DataTable[[#This Row],[Blocked]]</f>
        <v>16928</v>
      </c>
    </row>
    <row r="228" spans="1:34" x14ac:dyDescent="0.35">
      <c r="A228" s="2" t="s">
        <v>572</v>
      </c>
      <c r="B228" s="2" t="s">
        <v>573</v>
      </c>
      <c r="C228" s="2" t="s">
        <v>35</v>
      </c>
      <c r="D228" s="2" t="s">
        <v>36</v>
      </c>
      <c r="E228" s="2" t="s">
        <v>574</v>
      </c>
      <c r="F228" s="3">
        <v>45952</v>
      </c>
      <c r="G228" s="3">
        <v>45966</v>
      </c>
      <c r="H228" s="3">
        <v>45979</v>
      </c>
      <c r="I228" s="3">
        <v>46317</v>
      </c>
      <c r="J228" s="3">
        <v>45952</v>
      </c>
      <c r="K228" s="3">
        <v>47048</v>
      </c>
      <c r="L228" s="3">
        <v>46682</v>
      </c>
      <c r="M228" s="2" t="s">
        <v>38</v>
      </c>
      <c r="N228" s="2" t="s">
        <v>38</v>
      </c>
      <c r="O228" s="2" t="s">
        <v>208</v>
      </c>
      <c r="P228" s="2" t="s">
        <v>89</v>
      </c>
      <c r="Q228" s="4">
        <v>4000</v>
      </c>
      <c r="R228" s="5">
        <v>3774039.67</v>
      </c>
      <c r="S228" s="2" t="s">
        <v>41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3">
        <v>47048</v>
      </c>
      <c r="AE228" s="2" t="s">
        <v>38</v>
      </c>
      <c r="AF228" s="2" t="s">
        <v>38</v>
      </c>
      <c r="AG228" s="2" t="s">
        <v>38</v>
      </c>
      <c r="AH228" s="4">
        <f>DataTable[[#This Row],[Unrestricted]]+DataTable[[#This Row],[Transit &amp; transfer]]+DataTable[[#This Row],[In Quality Insp.]]+DataTable[[#This Row],[Restricted Use Stock]]+DataTable[[#This Row],[Blocked]]</f>
        <v>4000</v>
      </c>
    </row>
    <row r="229" spans="1:34" x14ac:dyDescent="0.35">
      <c r="A229" s="2" t="s">
        <v>575</v>
      </c>
      <c r="B229" s="2" t="s">
        <v>576</v>
      </c>
      <c r="C229" s="2" t="s">
        <v>35</v>
      </c>
      <c r="D229" s="2" t="s">
        <v>36</v>
      </c>
      <c r="E229" s="2" t="s">
        <v>577</v>
      </c>
      <c r="F229" s="3">
        <v>46174</v>
      </c>
      <c r="G229" s="3">
        <v>46118</v>
      </c>
      <c r="H229" s="3">
        <v>46177</v>
      </c>
      <c r="I229" s="3">
        <v>46200</v>
      </c>
      <c r="J229" s="3">
        <v>46174</v>
      </c>
      <c r="K229" s="3">
        <v>46905</v>
      </c>
      <c r="L229" s="3">
        <v>46905</v>
      </c>
      <c r="M229" s="2" t="s">
        <v>38</v>
      </c>
      <c r="N229" s="2" t="s">
        <v>38</v>
      </c>
      <c r="O229" s="2" t="s">
        <v>578</v>
      </c>
      <c r="P229" s="2" t="s">
        <v>89</v>
      </c>
      <c r="Q229" s="4">
        <v>7480</v>
      </c>
      <c r="R229" s="5">
        <v>6675906.7400000002</v>
      </c>
      <c r="S229" s="2" t="s">
        <v>41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3">
        <v>46905</v>
      </c>
      <c r="AE229" s="2" t="s">
        <v>38</v>
      </c>
      <c r="AF229" s="2" t="s">
        <v>38</v>
      </c>
      <c r="AG229" s="2" t="s">
        <v>38</v>
      </c>
      <c r="AH229" s="4">
        <f>DataTable[[#This Row],[Unrestricted]]+DataTable[[#This Row],[Transit &amp; transfer]]+DataTable[[#This Row],[In Quality Insp.]]+DataTable[[#This Row],[Restricted Use Stock]]+DataTable[[#This Row],[Blocked]]</f>
        <v>7480</v>
      </c>
    </row>
    <row r="230" spans="1:34" x14ac:dyDescent="0.35">
      <c r="A230" s="2" t="s">
        <v>579</v>
      </c>
      <c r="B230" s="2" t="s">
        <v>580</v>
      </c>
      <c r="C230" s="2" t="s">
        <v>35</v>
      </c>
      <c r="D230" s="2" t="s">
        <v>36</v>
      </c>
      <c r="E230" s="2" t="s">
        <v>581</v>
      </c>
      <c r="F230" s="3">
        <v>46010</v>
      </c>
      <c r="G230" s="3">
        <v>46047</v>
      </c>
      <c r="H230" s="3">
        <v>46050</v>
      </c>
      <c r="I230" s="2" t="s">
        <v>38</v>
      </c>
      <c r="J230" s="3">
        <v>46010</v>
      </c>
      <c r="K230" s="2" t="s">
        <v>38</v>
      </c>
      <c r="L230" s="3">
        <v>46010</v>
      </c>
      <c r="M230" s="2" t="s">
        <v>38</v>
      </c>
      <c r="N230" s="2" t="s">
        <v>38</v>
      </c>
      <c r="O230" s="2" t="s">
        <v>208</v>
      </c>
      <c r="P230" s="2" t="s">
        <v>89</v>
      </c>
      <c r="Q230" s="4">
        <v>5376</v>
      </c>
      <c r="R230" s="5">
        <v>2791119.73</v>
      </c>
      <c r="S230" s="2" t="s">
        <v>41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3">
        <v>46010</v>
      </c>
      <c r="AE230" s="2" t="s">
        <v>38</v>
      </c>
      <c r="AF230" s="2" t="s">
        <v>38</v>
      </c>
      <c r="AG230" s="2" t="s">
        <v>38</v>
      </c>
      <c r="AH230" s="4">
        <f>DataTable[[#This Row],[Unrestricted]]+DataTable[[#This Row],[Transit &amp; transfer]]+DataTable[[#This Row],[In Quality Insp.]]+DataTable[[#This Row],[Restricted Use Stock]]+DataTable[[#This Row],[Blocked]]</f>
        <v>5376</v>
      </c>
    </row>
  </sheetData>
  <mergeCells count="1">
    <mergeCell ref="B1:AH1"/>
  </mergeCells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5843-6FBF-41B8-8236-8C1AA57CEDF3}">
  <dimension ref="A1:E229"/>
  <sheetViews>
    <sheetView workbookViewId="0">
      <selection activeCell="J6" sqref="J6"/>
    </sheetView>
  </sheetViews>
  <sheetFormatPr defaultRowHeight="14.5" x14ac:dyDescent="0.35"/>
  <cols>
    <col min="1" max="1" width="9" style="8" bestFit="1" customWidth="1"/>
    <col min="2" max="2" width="41" style="8" bestFit="1" customWidth="1"/>
    <col min="3" max="3" width="12.26953125" style="8" bestFit="1" customWidth="1"/>
    <col min="4" max="4" width="16.26953125" style="8" bestFit="1" customWidth="1"/>
    <col min="5" max="5" width="17.6328125" style="8" bestFit="1" customWidth="1"/>
    <col min="6" max="16384" width="8.7265625" style="8"/>
  </cols>
  <sheetData>
    <row r="1" spans="1:5" ht="29" x14ac:dyDescent="0.35">
      <c r="A1" s="7" t="s">
        <v>0</v>
      </c>
      <c r="B1" s="7" t="s">
        <v>1</v>
      </c>
      <c r="C1" s="7" t="s">
        <v>4</v>
      </c>
      <c r="D1" s="7" t="s">
        <v>5</v>
      </c>
      <c r="E1" s="11" t="s">
        <v>582</v>
      </c>
    </row>
    <row r="2" spans="1:5" x14ac:dyDescent="0.35">
      <c r="A2" s="9" t="s">
        <v>33</v>
      </c>
      <c r="B2" s="9" t="s">
        <v>34</v>
      </c>
      <c r="C2" s="9" t="s">
        <v>37</v>
      </c>
      <c r="D2" s="10">
        <v>46098</v>
      </c>
      <c r="E2" s="8" t="str">
        <f>TEXT(D2,"mmmm")</f>
        <v>March</v>
      </c>
    </row>
    <row r="3" spans="1:5" x14ac:dyDescent="0.35">
      <c r="A3" s="9" t="s">
        <v>33</v>
      </c>
      <c r="B3" s="9" t="s">
        <v>34</v>
      </c>
      <c r="C3" s="9" t="s">
        <v>43</v>
      </c>
      <c r="D3" s="10">
        <v>46099</v>
      </c>
      <c r="E3" s="8" t="str">
        <f t="shared" ref="E3:E66" si="0">TEXT(D3,"mmmm")</f>
        <v>March</v>
      </c>
    </row>
    <row r="4" spans="1:5" x14ac:dyDescent="0.35">
      <c r="A4" s="9" t="s">
        <v>33</v>
      </c>
      <c r="B4" s="9" t="s">
        <v>34</v>
      </c>
      <c r="C4" s="9" t="s">
        <v>45</v>
      </c>
      <c r="D4" s="10">
        <v>46100</v>
      </c>
      <c r="E4" s="8" t="str">
        <f t="shared" si="0"/>
        <v>March</v>
      </c>
    </row>
    <row r="5" spans="1:5" x14ac:dyDescent="0.35">
      <c r="A5" s="9" t="s">
        <v>33</v>
      </c>
      <c r="B5" s="9" t="s">
        <v>34</v>
      </c>
      <c r="C5" s="9" t="s">
        <v>47</v>
      </c>
      <c r="D5" s="10">
        <v>46104</v>
      </c>
      <c r="E5" s="8" t="str">
        <f t="shared" si="0"/>
        <v>March</v>
      </c>
    </row>
    <row r="6" spans="1:5" x14ac:dyDescent="0.35">
      <c r="A6" s="9" t="s">
        <v>33</v>
      </c>
      <c r="B6" s="9" t="s">
        <v>34</v>
      </c>
      <c r="C6" s="9" t="s">
        <v>49</v>
      </c>
      <c r="D6" s="10">
        <v>46156</v>
      </c>
      <c r="E6" s="8" t="str">
        <f t="shared" si="0"/>
        <v>May</v>
      </c>
    </row>
    <row r="7" spans="1:5" x14ac:dyDescent="0.35">
      <c r="A7" s="9" t="s">
        <v>33</v>
      </c>
      <c r="B7" s="9" t="s">
        <v>34</v>
      </c>
      <c r="C7" s="9" t="s">
        <v>51</v>
      </c>
      <c r="D7" s="10">
        <v>46157</v>
      </c>
      <c r="E7" s="8" t="str">
        <f t="shared" si="0"/>
        <v>May</v>
      </c>
    </row>
    <row r="8" spans="1:5" x14ac:dyDescent="0.35">
      <c r="A8" s="9" t="s">
        <v>33</v>
      </c>
      <c r="B8" s="9" t="s">
        <v>34</v>
      </c>
      <c r="C8" s="9" t="s">
        <v>53</v>
      </c>
      <c r="D8" s="10">
        <v>46163</v>
      </c>
      <c r="E8" s="8" t="str">
        <f t="shared" si="0"/>
        <v>May</v>
      </c>
    </row>
    <row r="9" spans="1:5" x14ac:dyDescent="0.35">
      <c r="A9" s="9" t="s">
        <v>33</v>
      </c>
      <c r="B9" s="9" t="s">
        <v>34</v>
      </c>
      <c r="C9" s="9" t="s">
        <v>55</v>
      </c>
      <c r="D9" s="10">
        <v>46164</v>
      </c>
      <c r="E9" s="8" t="str">
        <f t="shared" si="0"/>
        <v>May</v>
      </c>
    </row>
    <row r="10" spans="1:5" x14ac:dyDescent="0.35">
      <c r="A10" s="9" t="s">
        <v>56</v>
      </c>
      <c r="B10" s="9" t="s">
        <v>57</v>
      </c>
      <c r="C10" s="9" t="s">
        <v>58</v>
      </c>
      <c r="D10" s="10">
        <v>46062</v>
      </c>
      <c r="E10" s="8" t="str">
        <f t="shared" si="0"/>
        <v>February</v>
      </c>
    </row>
    <row r="11" spans="1:5" x14ac:dyDescent="0.35">
      <c r="A11" s="9" t="s">
        <v>56</v>
      </c>
      <c r="B11" s="9" t="s">
        <v>57</v>
      </c>
      <c r="C11" s="9" t="s">
        <v>60</v>
      </c>
      <c r="D11" s="10">
        <v>46052</v>
      </c>
      <c r="E11" s="8" t="str">
        <f t="shared" si="0"/>
        <v>January</v>
      </c>
    </row>
    <row r="12" spans="1:5" x14ac:dyDescent="0.35">
      <c r="A12" s="9" t="s">
        <v>56</v>
      </c>
      <c r="B12" s="9" t="s">
        <v>57</v>
      </c>
      <c r="C12" s="9" t="s">
        <v>62</v>
      </c>
      <c r="D12" s="10">
        <v>46152</v>
      </c>
      <c r="E12" s="8" t="str">
        <f t="shared" si="0"/>
        <v>May</v>
      </c>
    </row>
    <row r="13" spans="1:5" x14ac:dyDescent="0.35">
      <c r="A13" s="9" t="s">
        <v>56</v>
      </c>
      <c r="B13" s="9" t="s">
        <v>57</v>
      </c>
      <c r="C13" s="9" t="s">
        <v>64</v>
      </c>
      <c r="D13" s="10">
        <v>46204</v>
      </c>
      <c r="E13" s="8" t="str">
        <f t="shared" si="0"/>
        <v>July</v>
      </c>
    </row>
    <row r="14" spans="1:5" x14ac:dyDescent="0.35">
      <c r="A14" s="9" t="s">
        <v>65</v>
      </c>
      <c r="B14" s="9" t="s">
        <v>66</v>
      </c>
      <c r="C14" s="9" t="s">
        <v>60</v>
      </c>
      <c r="D14" s="10">
        <v>46089</v>
      </c>
      <c r="E14" s="8" t="str">
        <f t="shared" si="0"/>
        <v>March</v>
      </c>
    </row>
    <row r="15" spans="1:5" x14ac:dyDescent="0.35">
      <c r="A15" s="9" t="s">
        <v>67</v>
      </c>
      <c r="B15" s="9" t="s">
        <v>68</v>
      </c>
      <c r="C15" s="9" t="s">
        <v>69</v>
      </c>
      <c r="D15" s="10">
        <v>46190</v>
      </c>
      <c r="E15" s="8" t="str">
        <f t="shared" si="0"/>
        <v>June</v>
      </c>
    </row>
    <row r="16" spans="1:5" x14ac:dyDescent="0.35">
      <c r="A16" s="9" t="s">
        <v>70</v>
      </c>
      <c r="B16" s="9" t="s">
        <v>71</v>
      </c>
      <c r="C16" s="9" t="s">
        <v>72</v>
      </c>
      <c r="D16" s="10">
        <v>46198</v>
      </c>
      <c r="E16" s="8" t="str">
        <f t="shared" si="0"/>
        <v>June</v>
      </c>
    </row>
    <row r="17" spans="1:5" x14ac:dyDescent="0.35">
      <c r="A17" s="9" t="s">
        <v>70</v>
      </c>
      <c r="B17" s="9" t="s">
        <v>71</v>
      </c>
      <c r="C17" s="9" t="s">
        <v>74</v>
      </c>
      <c r="D17" s="10">
        <v>46200</v>
      </c>
      <c r="E17" s="8" t="str">
        <f t="shared" si="0"/>
        <v>June</v>
      </c>
    </row>
    <row r="18" spans="1:5" x14ac:dyDescent="0.35">
      <c r="A18" s="9" t="s">
        <v>75</v>
      </c>
      <c r="B18" s="9" t="s">
        <v>76</v>
      </c>
      <c r="C18" s="9" t="s">
        <v>77</v>
      </c>
      <c r="D18" s="10">
        <v>46191</v>
      </c>
      <c r="E18" s="8" t="str">
        <f t="shared" si="0"/>
        <v>June</v>
      </c>
    </row>
    <row r="19" spans="1:5" x14ac:dyDescent="0.35">
      <c r="A19" s="9" t="s">
        <v>78</v>
      </c>
      <c r="B19" s="9" t="s">
        <v>79</v>
      </c>
      <c r="C19" s="9" t="s">
        <v>80</v>
      </c>
      <c r="D19" s="10">
        <v>46172</v>
      </c>
      <c r="E19" s="8" t="str">
        <f t="shared" si="0"/>
        <v>May</v>
      </c>
    </row>
    <row r="20" spans="1:5" x14ac:dyDescent="0.35">
      <c r="A20" s="9" t="s">
        <v>81</v>
      </c>
      <c r="B20" s="9" t="s">
        <v>82</v>
      </c>
      <c r="C20" s="9" t="s">
        <v>83</v>
      </c>
      <c r="D20" s="10">
        <v>46202</v>
      </c>
      <c r="E20" s="8" t="str">
        <f t="shared" si="0"/>
        <v>June</v>
      </c>
    </row>
    <row r="21" spans="1:5" x14ac:dyDescent="0.35">
      <c r="A21" s="9" t="s">
        <v>81</v>
      </c>
      <c r="B21" s="9" t="s">
        <v>82</v>
      </c>
      <c r="C21" s="9" t="s">
        <v>85</v>
      </c>
      <c r="D21" s="10">
        <v>46205</v>
      </c>
      <c r="E21" s="8" t="str">
        <f t="shared" si="0"/>
        <v>July</v>
      </c>
    </row>
    <row r="22" spans="1:5" x14ac:dyDescent="0.35">
      <c r="A22" s="9" t="s">
        <v>86</v>
      </c>
      <c r="B22" s="9" t="s">
        <v>87</v>
      </c>
      <c r="C22" s="9" t="s">
        <v>88</v>
      </c>
      <c r="D22" s="10">
        <v>46141</v>
      </c>
      <c r="E22" s="8" t="str">
        <f t="shared" si="0"/>
        <v>April</v>
      </c>
    </row>
    <row r="23" spans="1:5" x14ac:dyDescent="0.35">
      <c r="A23" s="9" t="s">
        <v>86</v>
      </c>
      <c r="B23" s="9" t="s">
        <v>87</v>
      </c>
      <c r="C23" s="9" t="s">
        <v>91</v>
      </c>
      <c r="D23" s="10">
        <v>46154</v>
      </c>
      <c r="E23" s="8" t="str">
        <f t="shared" si="0"/>
        <v>May</v>
      </c>
    </row>
    <row r="24" spans="1:5" x14ac:dyDescent="0.35">
      <c r="A24" s="9" t="s">
        <v>86</v>
      </c>
      <c r="B24" s="9" t="s">
        <v>87</v>
      </c>
      <c r="C24" s="9" t="s">
        <v>93</v>
      </c>
      <c r="D24" s="10">
        <v>46168</v>
      </c>
      <c r="E24" s="8" t="str">
        <f t="shared" si="0"/>
        <v>May</v>
      </c>
    </row>
    <row r="25" spans="1:5" x14ac:dyDescent="0.35">
      <c r="A25" s="9" t="s">
        <v>86</v>
      </c>
      <c r="B25" s="9" t="s">
        <v>87</v>
      </c>
      <c r="C25" s="9" t="s">
        <v>95</v>
      </c>
      <c r="D25" s="10">
        <v>46118</v>
      </c>
      <c r="E25" s="8" t="str">
        <f t="shared" si="0"/>
        <v>April</v>
      </c>
    </row>
    <row r="26" spans="1:5" x14ac:dyDescent="0.35">
      <c r="A26" s="9" t="s">
        <v>86</v>
      </c>
      <c r="B26" s="9" t="s">
        <v>87</v>
      </c>
      <c r="C26" s="9" t="s">
        <v>97</v>
      </c>
      <c r="D26" s="10">
        <v>46118</v>
      </c>
      <c r="E26" s="8" t="str">
        <f t="shared" si="0"/>
        <v>April</v>
      </c>
    </row>
    <row r="27" spans="1:5" x14ac:dyDescent="0.35">
      <c r="A27" s="9" t="s">
        <v>86</v>
      </c>
      <c r="B27" s="9" t="s">
        <v>87</v>
      </c>
      <c r="C27" s="9" t="s">
        <v>99</v>
      </c>
      <c r="D27" s="10">
        <v>46156</v>
      </c>
      <c r="E27" s="8" t="str">
        <f t="shared" si="0"/>
        <v>May</v>
      </c>
    </row>
    <row r="28" spans="1:5" x14ac:dyDescent="0.35">
      <c r="A28" s="9" t="s">
        <v>86</v>
      </c>
      <c r="B28" s="9" t="s">
        <v>87</v>
      </c>
      <c r="C28" s="9" t="s">
        <v>101</v>
      </c>
      <c r="D28" s="10">
        <v>46154</v>
      </c>
      <c r="E28" s="8" t="str">
        <f t="shared" si="0"/>
        <v>May</v>
      </c>
    </row>
    <row r="29" spans="1:5" x14ac:dyDescent="0.35">
      <c r="A29" s="9" t="s">
        <v>86</v>
      </c>
      <c r="B29" s="9" t="s">
        <v>87</v>
      </c>
      <c r="C29" s="9" t="s">
        <v>103</v>
      </c>
      <c r="D29" s="10">
        <v>46161</v>
      </c>
      <c r="E29" s="8" t="str">
        <f t="shared" si="0"/>
        <v>May</v>
      </c>
    </row>
    <row r="30" spans="1:5" x14ac:dyDescent="0.35">
      <c r="A30" s="9" t="s">
        <v>86</v>
      </c>
      <c r="B30" s="9" t="s">
        <v>87</v>
      </c>
      <c r="C30" s="9" t="s">
        <v>106</v>
      </c>
      <c r="D30" s="10">
        <v>45895</v>
      </c>
      <c r="E30" s="8" t="str">
        <f t="shared" si="0"/>
        <v>August</v>
      </c>
    </row>
    <row r="31" spans="1:5" x14ac:dyDescent="0.35">
      <c r="A31" s="9" t="s">
        <v>86</v>
      </c>
      <c r="B31" s="9" t="s">
        <v>87</v>
      </c>
      <c r="C31" s="9" t="s">
        <v>108</v>
      </c>
      <c r="D31" s="10">
        <v>45911</v>
      </c>
      <c r="E31" s="8" t="str">
        <f t="shared" si="0"/>
        <v>September</v>
      </c>
    </row>
    <row r="32" spans="1:5" x14ac:dyDescent="0.35">
      <c r="A32" s="9" t="s">
        <v>109</v>
      </c>
      <c r="B32" s="9" t="s">
        <v>110</v>
      </c>
      <c r="C32" s="9" t="s">
        <v>111</v>
      </c>
      <c r="D32" s="10">
        <v>46114</v>
      </c>
      <c r="E32" s="8" t="str">
        <f t="shared" si="0"/>
        <v>April</v>
      </c>
    </row>
    <row r="33" spans="1:5" x14ac:dyDescent="0.35">
      <c r="A33" s="9" t="s">
        <v>109</v>
      </c>
      <c r="B33" s="9" t="s">
        <v>110</v>
      </c>
      <c r="C33" s="9" t="s">
        <v>113</v>
      </c>
      <c r="D33" s="10">
        <v>46116</v>
      </c>
      <c r="E33" s="8" t="str">
        <f t="shared" si="0"/>
        <v>April</v>
      </c>
    </row>
    <row r="34" spans="1:5" x14ac:dyDescent="0.35">
      <c r="A34" s="9" t="s">
        <v>109</v>
      </c>
      <c r="B34" s="9" t="s">
        <v>110</v>
      </c>
      <c r="C34" s="9" t="s">
        <v>115</v>
      </c>
      <c r="D34" s="10">
        <v>46186</v>
      </c>
      <c r="E34" s="8" t="str">
        <f t="shared" si="0"/>
        <v>June</v>
      </c>
    </row>
    <row r="35" spans="1:5" x14ac:dyDescent="0.35">
      <c r="A35" s="9" t="s">
        <v>109</v>
      </c>
      <c r="B35" s="9" t="s">
        <v>110</v>
      </c>
      <c r="C35" s="9" t="s">
        <v>117</v>
      </c>
      <c r="D35" s="10">
        <v>46187</v>
      </c>
      <c r="E35" s="8" t="str">
        <f t="shared" si="0"/>
        <v>June</v>
      </c>
    </row>
    <row r="36" spans="1:5" x14ac:dyDescent="0.35">
      <c r="A36" s="9" t="s">
        <v>118</v>
      </c>
      <c r="B36" s="9" t="s">
        <v>119</v>
      </c>
      <c r="C36" s="9" t="s">
        <v>120</v>
      </c>
      <c r="D36" s="10">
        <v>46037</v>
      </c>
      <c r="E36" s="8" t="str">
        <f t="shared" si="0"/>
        <v>January</v>
      </c>
    </row>
    <row r="37" spans="1:5" x14ac:dyDescent="0.35">
      <c r="A37" s="9" t="s">
        <v>121</v>
      </c>
      <c r="B37" s="9" t="s">
        <v>122</v>
      </c>
      <c r="C37" s="9" t="s">
        <v>123</v>
      </c>
      <c r="D37" s="10">
        <v>45838</v>
      </c>
      <c r="E37" s="8" t="str">
        <f t="shared" si="0"/>
        <v>June</v>
      </c>
    </row>
    <row r="38" spans="1:5" x14ac:dyDescent="0.35">
      <c r="A38" s="9" t="s">
        <v>121</v>
      </c>
      <c r="B38" s="9" t="s">
        <v>122</v>
      </c>
      <c r="C38" s="9" t="s">
        <v>125</v>
      </c>
      <c r="D38" s="10">
        <v>45807</v>
      </c>
      <c r="E38" s="8" t="str">
        <f t="shared" si="0"/>
        <v>May</v>
      </c>
    </row>
    <row r="39" spans="1:5" x14ac:dyDescent="0.35">
      <c r="A39" s="9" t="s">
        <v>121</v>
      </c>
      <c r="B39" s="9" t="s">
        <v>122</v>
      </c>
      <c r="C39" s="9" t="s">
        <v>127</v>
      </c>
      <c r="D39" s="10">
        <v>45970</v>
      </c>
      <c r="E39" s="8" t="str">
        <f t="shared" si="0"/>
        <v>November</v>
      </c>
    </row>
    <row r="40" spans="1:5" x14ac:dyDescent="0.35">
      <c r="A40" s="9" t="s">
        <v>121</v>
      </c>
      <c r="B40" s="9" t="s">
        <v>122</v>
      </c>
      <c r="C40" s="9" t="s">
        <v>129</v>
      </c>
      <c r="D40" s="10">
        <v>45970</v>
      </c>
      <c r="E40" s="8" t="str">
        <f t="shared" si="0"/>
        <v>November</v>
      </c>
    </row>
    <row r="41" spans="1:5" x14ac:dyDescent="0.35">
      <c r="A41" s="9" t="s">
        <v>130</v>
      </c>
      <c r="B41" s="9" t="s">
        <v>131</v>
      </c>
      <c r="C41" s="9" t="s">
        <v>132</v>
      </c>
      <c r="D41" s="10">
        <v>45914</v>
      </c>
      <c r="E41" s="8" t="str">
        <f t="shared" si="0"/>
        <v>September</v>
      </c>
    </row>
    <row r="42" spans="1:5" x14ac:dyDescent="0.35">
      <c r="A42" s="9" t="s">
        <v>130</v>
      </c>
      <c r="B42" s="9" t="s">
        <v>131</v>
      </c>
      <c r="C42" s="9" t="s">
        <v>134</v>
      </c>
      <c r="D42" s="10">
        <v>45957</v>
      </c>
      <c r="E42" s="8" t="str">
        <f t="shared" si="0"/>
        <v>October</v>
      </c>
    </row>
    <row r="43" spans="1:5" x14ac:dyDescent="0.35">
      <c r="A43" s="9" t="s">
        <v>135</v>
      </c>
      <c r="B43" s="9" t="s">
        <v>136</v>
      </c>
      <c r="C43" s="9" t="s">
        <v>137</v>
      </c>
      <c r="D43" s="10">
        <v>46141</v>
      </c>
      <c r="E43" s="8" t="str">
        <f t="shared" si="0"/>
        <v>April</v>
      </c>
    </row>
    <row r="44" spans="1:5" x14ac:dyDescent="0.35">
      <c r="A44" s="9" t="s">
        <v>135</v>
      </c>
      <c r="B44" s="9" t="s">
        <v>136</v>
      </c>
      <c r="C44" s="9" t="s">
        <v>139</v>
      </c>
      <c r="D44" s="10">
        <v>46154</v>
      </c>
      <c r="E44" s="8" t="str">
        <f t="shared" si="0"/>
        <v>May</v>
      </c>
    </row>
    <row r="45" spans="1:5" x14ac:dyDescent="0.35">
      <c r="A45" s="9" t="s">
        <v>135</v>
      </c>
      <c r="B45" s="9" t="s">
        <v>136</v>
      </c>
      <c r="C45" s="9" t="s">
        <v>141</v>
      </c>
      <c r="D45" s="10">
        <v>46170</v>
      </c>
      <c r="E45" s="8" t="str">
        <f t="shared" si="0"/>
        <v>May</v>
      </c>
    </row>
    <row r="46" spans="1:5" x14ac:dyDescent="0.35">
      <c r="A46" s="9" t="s">
        <v>142</v>
      </c>
      <c r="B46" s="9" t="s">
        <v>143</v>
      </c>
      <c r="C46" s="9" t="s">
        <v>144</v>
      </c>
      <c r="D46" s="10">
        <v>46153</v>
      </c>
      <c r="E46" s="8" t="str">
        <f t="shared" si="0"/>
        <v>May</v>
      </c>
    </row>
    <row r="47" spans="1:5" x14ac:dyDescent="0.35">
      <c r="A47" s="9" t="s">
        <v>142</v>
      </c>
      <c r="B47" s="9" t="s">
        <v>143</v>
      </c>
      <c r="C47" s="9" t="s">
        <v>146</v>
      </c>
      <c r="D47" s="10">
        <v>46153</v>
      </c>
      <c r="E47" s="8" t="str">
        <f t="shared" si="0"/>
        <v>May</v>
      </c>
    </row>
    <row r="48" spans="1:5" x14ac:dyDescent="0.35">
      <c r="A48" s="9" t="s">
        <v>142</v>
      </c>
      <c r="B48" s="9" t="s">
        <v>143</v>
      </c>
      <c r="C48" s="9" t="s">
        <v>148</v>
      </c>
      <c r="D48" s="10">
        <v>46162</v>
      </c>
      <c r="E48" s="8" t="str">
        <f t="shared" si="0"/>
        <v>May</v>
      </c>
    </row>
    <row r="49" spans="1:5" x14ac:dyDescent="0.35">
      <c r="A49" s="9" t="s">
        <v>149</v>
      </c>
      <c r="B49" s="9" t="s">
        <v>150</v>
      </c>
      <c r="C49" s="9" t="s">
        <v>62</v>
      </c>
      <c r="D49" s="10">
        <v>46151</v>
      </c>
      <c r="E49" s="8" t="str">
        <f t="shared" si="0"/>
        <v>May</v>
      </c>
    </row>
    <row r="50" spans="1:5" x14ac:dyDescent="0.35">
      <c r="A50" s="9" t="s">
        <v>149</v>
      </c>
      <c r="B50" s="9" t="s">
        <v>150</v>
      </c>
      <c r="C50" s="9" t="s">
        <v>64</v>
      </c>
      <c r="D50" s="10">
        <v>46052</v>
      </c>
      <c r="E50" s="8" t="str">
        <f t="shared" si="0"/>
        <v>January</v>
      </c>
    </row>
    <row r="51" spans="1:5" x14ac:dyDescent="0.35">
      <c r="A51" s="9" t="s">
        <v>152</v>
      </c>
      <c r="B51" s="9" t="s">
        <v>153</v>
      </c>
      <c r="C51" s="9" t="s">
        <v>154</v>
      </c>
      <c r="D51" s="10">
        <v>46093</v>
      </c>
      <c r="E51" s="8" t="str">
        <f t="shared" si="0"/>
        <v>March</v>
      </c>
    </row>
    <row r="52" spans="1:5" x14ac:dyDescent="0.35">
      <c r="A52" s="9" t="s">
        <v>152</v>
      </c>
      <c r="B52" s="9" t="s">
        <v>153</v>
      </c>
      <c r="C52" s="9" t="s">
        <v>156</v>
      </c>
      <c r="D52" s="10">
        <v>46093</v>
      </c>
      <c r="E52" s="8" t="str">
        <f t="shared" si="0"/>
        <v>March</v>
      </c>
    </row>
    <row r="53" spans="1:5" x14ac:dyDescent="0.35">
      <c r="A53" s="9" t="s">
        <v>157</v>
      </c>
      <c r="B53" s="9" t="s">
        <v>158</v>
      </c>
      <c r="C53" s="9" t="s">
        <v>159</v>
      </c>
      <c r="D53" s="10">
        <v>46154</v>
      </c>
      <c r="E53" s="8" t="str">
        <f t="shared" si="0"/>
        <v>May</v>
      </c>
    </row>
    <row r="54" spans="1:5" x14ac:dyDescent="0.35">
      <c r="A54" s="9" t="s">
        <v>157</v>
      </c>
      <c r="B54" s="9" t="s">
        <v>158</v>
      </c>
      <c r="C54" s="9" t="s">
        <v>161</v>
      </c>
      <c r="D54" s="10">
        <v>46052</v>
      </c>
      <c r="E54" s="8" t="str">
        <f t="shared" si="0"/>
        <v>January</v>
      </c>
    </row>
    <row r="55" spans="1:5" x14ac:dyDescent="0.35">
      <c r="A55" s="9" t="s">
        <v>157</v>
      </c>
      <c r="B55" s="9" t="s">
        <v>158</v>
      </c>
      <c r="C55" s="9" t="s">
        <v>163</v>
      </c>
      <c r="D55" s="10">
        <v>46195</v>
      </c>
      <c r="E55" s="8" t="str">
        <f t="shared" si="0"/>
        <v>June</v>
      </c>
    </row>
    <row r="56" spans="1:5" x14ac:dyDescent="0.35">
      <c r="A56" s="9" t="s">
        <v>164</v>
      </c>
      <c r="B56" s="9" t="s">
        <v>165</v>
      </c>
      <c r="C56" s="9" t="s">
        <v>166</v>
      </c>
      <c r="D56" s="10">
        <v>46134</v>
      </c>
      <c r="E56" s="8" t="str">
        <f t="shared" si="0"/>
        <v>April</v>
      </c>
    </row>
    <row r="57" spans="1:5" x14ac:dyDescent="0.35">
      <c r="A57" s="9" t="s">
        <v>164</v>
      </c>
      <c r="B57" s="9" t="s">
        <v>165</v>
      </c>
      <c r="C57" s="9" t="s">
        <v>168</v>
      </c>
      <c r="D57" s="10">
        <v>46137</v>
      </c>
      <c r="E57" s="8" t="str">
        <f t="shared" si="0"/>
        <v>April</v>
      </c>
    </row>
    <row r="58" spans="1:5" x14ac:dyDescent="0.35">
      <c r="A58" s="9" t="s">
        <v>164</v>
      </c>
      <c r="B58" s="9" t="s">
        <v>165</v>
      </c>
      <c r="C58" s="9" t="s">
        <v>170</v>
      </c>
      <c r="D58" s="10">
        <v>46140</v>
      </c>
      <c r="E58" s="8" t="str">
        <f t="shared" si="0"/>
        <v>April</v>
      </c>
    </row>
    <row r="59" spans="1:5" x14ac:dyDescent="0.35">
      <c r="A59" s="9" t="s">
        <v>171</v>
      </c>
      <c r="B59" s="9" t="s">
        <v>172</v>
      </c>
      <c r="C59" s="9" t="s">
        <v>173</v>
      </c>
      <c r="D59" s="10">
        <v>46111</v>
      </c>
      <c r="E59" s="8" t="str">
        <f t="shared" si="0"/>
        <v>March</v>
      </c>
    </row>
    <row r="60" spans="1:5" x14ac:dyDescent="0.35">
      <c r="A60" s="9" t="s">
        <v>174</v>
      </c>
      <c r="B60" s="9" t="s">
        <v>175</v>
      </c>
      <c r="C60" s="9" t="s">
        <v>176</v>
      </c>
      <c r="D60" s="10">
        <v>46119</v>
      </c>
      <c r="E60" s="8" t="str">
        <f t="shared" si="0"/>
        <v>April</v>
      </c>
    </row>
    <row r="61" spans="1:5" x14ac:dyDescent="0.35">
      <c r="A61" s="9" t="s">
        <v>174</v>
      </c>
      <c r="B61" s="9" t="s">
        <v>175</v>
      </c>
      <c r="C61" s="9" t="s">
        <v>178</v>
      </c>
      <c r="D61" s="10">
        <v>46120</v>
      </c>
      <c r="E61" s="8" t="str">
        <f t="shared" si="0"/>
        <v>April</v>
      </c>
    </row>
    <row r="62" spans="1:5" x14ac:dyDescent="0.35">
      <c r="A62" s="9" t="s">
        <v>174</v>
      </c>
      <c r="B62" s="9" t="s">
        <v>175</v>
      </c>
      <c r="C62" s="9" t="s">
        <v>180</v>
      </c>
      <c r="D62" s="10">
        <v>46182</v>
      </c>
      <c r="E62" s="8" t="str">
        <f t="shared" si="0"/>
        <v>June</v>
      </c>
    </row>
    <row r="63" spans="1:5" x14ac:dyDescent="0.35">
      <c r="A63" s="9" t="s">
        <v>181</v>
      </c>
      <c r="B63" s="9" t="s">
        <v>182</v>
      </c>
      <c r="C63" s="9" t="s">
        <v>183</v>
      </c>
      <c r="D63" s="10">
        <v>45991</v>
      </c>
      <c r="E63" s="8" t="str">
        <f t="shared" si="0"/>
        <v>November</v>
      </c>
    </row>
    <row r="64" spans="1:5" x14ac:dyDescent="0.35">
      <c r="A64" s="9" t="s">
        <v>181</v>
      </c>
      <c r="B64" s="9" t="s">
        <v>182</v>
      </c>
      <c r="C64" s="9" t="s">
        <v>185</v>
      </c>
      <c r="D64" s="10">
        <v>45991</v>
      </c>
      <c r="E64" s="8" t="str">
        <f t="shared" si="0"/>
        <v>November</v>
      </c>
    </row>
    <row r="65" spans="1:5" x14ac:dyDescent="0.35">
      <c r="A65" s="9" t="s">
        <v>186</v>
      </c>
      <c r="B65" s="9" t="s">
        <v>187</v>
      </c>
      <c r="C65" s="9" t="s">
        <v>188</v>
      </c>
      <c r="D65" s="10">
        <v>46084</v>
      </c>
      <c r="E65" s="8" t="str">
        <f t="shared" si="0"/>
        <v>March</v>
      </c>
    </row>
    <row r="66" spans="1:5" x14ac:dyDescent="0.35">
      <c r="A66" s="9" t="s">
        <v>189</v>
      </c>
      <c r="B66" s="9" t="s">
        <v>190</v>
      </c>
      <c r="C66" s="9" t="s">
        <v>191</v>
      </c>
      <c r="D66" s="10">
        <v>46141</v>
      </c>
      <c r="E66" s="8" t="str">
        <f t="shared" si="0"/>
        <v>April</v>
      </c>
    </row>
    <row r="67" spans="1:5" x14ac:dyDescent="0.35">
      <c r="A67" s="9" t="s">
        <v>189</v>
      </c>
      <c r="B67" s="9" t="s">
        <v>190</v>
      </c>
      <c r="C67" s="9" t="s">
        <v>193</v>
      </c>
      <c r="D67" s="10">
        <v>46141</v>
      </c>
      <c r="E67" s="8" t="str">
        <f t="shared" ref="E67:E130" si="1">TEXT(D67,"mmmm")</f>
        <v>April</v>
      </c>
    </row>
    <row r="68" spans="1:5" x14ac:dyDescent="0.35">
      <c r="A68" s="9" t="s">
        <v>189</v>
      </c>
      <c r="B68" s="9" t="s">
        <v>190</v>
      </c>
      <c r="C68" s="9" t="s">
        <v>195</v>
      </c>
      <c r="D68" s="10">
        <v>46141</v>
      </c>
      <c r="E68" s="8" t="str">
        <f t="shared" si="1"/>
        <v>April</v>
      </c>
    </row>
    <row r="69" spans="1:5" x14ac:dyDescent="0.35">
      <c r="A69" s="9" t="s">
        <v>189</v>
      </c>
      <c r="B69" s="9" t="s">
        <v>190</v>
      </c>
      <c r="C69" s="9" t="s">
        <v>197</v>
      </c>
      <c r="D69" s="10">
        <v>46141</v>
      </c>
      <c r="E69" s="8" t="str">
        <f t="shared" si="1"/>
        <v>April</v>
      </c>
    </row>
    <row r="70" spans="1:5" x14ac:dyDescent="0.35">
      <c r="A70" s="9" t="s">
        <v>189</v>
      </c>
      <c r="B70" s="9" t="s">
        <v>190</v>
      </c>
      <c r="C70" s="9" t="s">
        <v>199</v>
      </c>
      <c r="D70" s="10">
        <v>46141</v>
      </c>
      <c r="E70" s="8" t="str">
        <f t="shared" si="1"/>
        <v>April</v>
      </c>
    </row>
    <row r="71" spans="1:5" x14ac:dyDescent="0.35">
      <c r="A71" s="9" t="s">
        <v>189</v>
      </c>
      <c r="B71" s="9" t="s">
        <v>190</v>
      </c>
      <c r="C71" s="9" t="s">
        <v>201</v>
      </c>
      <c r="D71" s="10">
        <v>46141</v>
      </c>
      <c r="E71" s="8" t="str">
        <f t="shared" si="1"/>
        <v>April</v>
      </c>
    </row>
    <row r="72" spans="1:5" x14ac:dyDescent="0.35">
      <c r="A72" s="9" t="s">
        <v>202</v>
      </c>
      <c r="B72" s="9" t="s">
        <v>203</v>
      </c>
      <c r="C72" s="9" t="s">
        <v>204</v>
      </c>
      <c r="D72" s="10">
        <v>45775</v>
      </c>
      <c r="E72" s="8" t="str">
        <f t="shared" si="1"/>
        <v>April</v>
      </c>
    </row>
    <row r="73" spans="1:5" x14ac:dyDescent="0.35">
      <c r="A73" s="9" t="s">
        <v>205</v>
      </c>
      <c r="B73" s="9" t="s">
        <v>206</v>
      </c>
      <c r="C73" s="9" t="s">
        <v>207</v>
      </c>
      <c r="D73" s="10">
        <v>45887</v>
      </c>
      <c r="E73" s="8" t="str">
        <f t="shared" si="1"/>
        <v>August</v>
      </c>
    </row>
    <row r="74" spans="1:5" x14ac:dyDescent="0.35">
      <c r="A74" s="9" t="s">
        <v>209</v>
      </c>
      <c r="B74" s="9" t="s">
        <v>210</v>
      </c>
      <c r="C74" s="9" t="s">
        <v>211</v>
      </c>
      <c r="D74" s="10">
        <v>46137</v>
      </c>
      <c r="E74" s="8" t="str">
        <f t="shared" si="1"/>
        <v>April</v>
      </c>
    </row>
    <row r="75" spans="1:5" x14ac:dyDescent="0.35">
      <c r="A75" s="9" t="s">
        <v>209</v>
      </c>
      <c r="B75" s="9" t="s">
        <v>210</v>
      </c>
      <c r="C75" s="9" t="s">
        <v>213</v>
      </c>
      <c r="D75" s="10">
        <v>46121</v>
      </c>
      <c r="E75" s="8" t="str">
        <f t="shared" si="1"/>
        <v>April</v>
      </c>
    </row>
    <row r="76" spans="1:5" x14ac:dyDescent="0.35">
      <c r="A76" s="9" t="s">
        <v>214</v>
      </c>
      <c r="B76" s="9" t="s">
        <v>215</v>
      </c>
      <c r="C76" s="9" t="s">
        <v>216</v>
      </c>
      <c r="D76" s="10">
        <v>46091</v>
      </c>
      <c r="E76" s="8" t="str">
        <f t="shared" si="1"/>
        <v>March</v>
      </c>
    </row>
    <row r="77" spans="1:5" x14ac:dyDescent="0.35">
      <c r="A77" s="9" t="s">
        <v>214</v>
      </c>
      <c r="B77" s="9" t="s">
        <v>215</v>
      </c>
      <c r="C77" s="9" t="s">
        <v>218</v>
      </c>
      <c r="D77" s="10">
        <v>46091</v>
      </c>
      <c r="E77" s="8" t="str">
        <f t="shared" si="1"/>
        <v>March</v>
      </c>
    </row>
    <row r="78" spans="1:5" x14ac:dyDescent="0.35">
      <c r="A78" s="9" t="s">
        <v>219</v>
      </c>
      <c r="B78" s="9" t="s">
        <v>220</v>
      </c>
      <c r="C78" s="9" t="s">
        <v>221</v>
      </c>
      <c r="D78" s="10">
        <v>46117</v>
      </c>
      <c r="E78" s="8" t="str">
        <f t="shared" si="1"/>
        <v>April</v>
      </c>
    </row>
    <row r="79" spans="1:5" x14ac:dyDescent="0.35">
      <c r="A79" s="9" t="s">
        <v>219</v>
      </c>
      <c r="B79" s="9" t="s">
        <v>220</v>
      </c>
      <c r="C79" s="9" t="s">
        <v>223</v>
      </c>
      <c r="D79" s="10">
        <v>46187</v>
      </c>
      <c r="E79" s="8" t="str">
        <f t="shared" si="1"/>
        <v>June</v>
      </c>
    </row>
    <row r="80" spans="1:5" x14ac:dyDescent="0.35">
      <c r="A80" s="9" t="s">
        <v>219</v>
      </c>
      <c r="B80" s="9" t="s">
        <v>220</v>
      </c>
      <c r="C80" s="9" t="s">
        <v>225</v>
      </c>
      <c r="D80" s="10">
        <v>46188</v>
      </c>
      <c r="E80" s="8" t="str">
        <f t="shared" si="1"/>
        <v>June</v>
      </c>
    </row>
    <row r="81" spans="1:5" x14ac:dyDescent="0.35">
      <c r="A81" s="9" t="s">
        <v>226</v>
      </c>
      <c r="B81" s="9" t="s">
        <v>227</v>
      </c>
      <c r="C81" s="9" t="s">
        <v>228</v>
      </c>
      <c r="D81" s="10">
        <v>45890</v>
      </c>
      <c r="E81" s="8" t="str">
        <f t="shared" si="1"/>
        <v>August</v>
      </c>
    </row>
    <row r="82" spans="1:5" x14ac:dyDescent="0.35">
      <c r="A82" s="9" t="s">
        <v>229</v>
      </c>
      <c r="B82" s="9" t="s">
        <v>230</v>
      </c>
      <c r="C82" s="9" t="s">
        <v>231</v>
      </c>
      <c r="D82" s="10">
        <v>46202</v>
      </c>
      <c r="E82" s="8" t="str">
        <f t="shared" si="1"/>
        <v>June</v>
      </c>
    </row>
    <row r="83" spans="1:5" x14ac:dyDescent="0.35">
      <c r="A83" s="9" t="s">
        <v>232</v>
      </c>
      <c r="B83" s="9" t="s">
        <v>233</v>
      </c>
      <c r="C83" s="9" t="s">
        <v>234</v>
      </c>
      <c r="D83" s="10">
        <v>45773</v>
      </c>
      <c r="E83" s="8" t="str">
        <f t="shared" si="1"/>
        <v>April</v>
      </c>
    </row>
    <row r="84" spans="1:5" x14ac:dyDescent="0.35">
      <c r="A84" s="9" t="s">
        <v>235</v>
      </c>
      <c r="B84" s="9" t="s">
        <v>236</v>
      </c>
      <c r="C84" s="9" t="s">
        <v>237</v>
      </c>
      <c r="D84" s="10">
        <v>46083</v>
      </c>
      <c r="E84" s="8" t="str">
        <f t="shared" si="1"/>
        <v>March</v>
      </c>
    </row>
    <row r="85" spans="1:5" x14ac:dyDescent="0.35">
      <c r="A85" s="9" t="s">
        <v>235</v>
      </c>
      <c r="B85" s="9" t="s">
        <v>236</v>
      </c>
      <c r="C85" s="9" t="s">
        <v>239</v>
      </c>
      <c r="D85" s="10">
        <v>46083</v>
      </c>
      <c r="E85" s="8" t="str">
        <f t="shared" si="1"/>
        <v>March</v>
      </c>
    </row>
    <row r="86" spans="1:5" x14ac:dyDescent="0.35">
      <c r="A86" s="9" t="s">
        <v>235</v>
      </c>
      <c r="B86" s="9" t="s">
        <v>236</v>
      </c>
      <c r="C86" s="9" t="s">
        <v>241</v>
      </c>
      <c r="D86" s="10">
        <v>46180</v>
      </c>
      <c r="E86" s="8" t="str">
        <f t="shared" si="1"/>
        <v>June</v>
      </c>
    </row>
    <row r="87" spans="1:5" x14ac:dyDescent="0.35">
      <c r="A87" s="9" t="s">
        <v>235</v>
      </c>
      <c r="B87" s="9" t="s">
        <v>236</v>
      </c>
      <c r="C87" s="9" t="s">
        <v>243</v>
      </c>
      <c r="D87" s="10">
        <v>46180</v>
      </c>
      <c r="E87" s="8" t="str">
        <f t="shared" si="1"/>
        <v>June</v>
      </c>
    </row>
    <row r="88" spans="1:5" x14ac:dyDescent="0.35">
      <c r="A88" s="9" t="s">
        <v>244</v>
      </c>
      <c r="B88" s="9" t="s">
        <v>245</v>
      </c>
      <c r="C88" s="9" t="s">
        <v>246</v>
      </c>
      <c r="D88" s="10">
        <v>46172</v>
      </c>
      <c r="E88" s="8" t="str">
        <f t="shared" si="1"/>
        <v>May</v>
      </c>
    </row>
    <row r="89" spans="1:5" x14ac:dyDescent="0.35">
      <c r="A89" s="9" t="s">
        <v>247</v>
      </c>
      <c r="B89" s="9" t="s">
        <v>248</v>
      </c>
      <c r="C89" s="9" t="s">
        <v>249</v>
      </c>
      <c r="D89" s="10">
        <v>46127</v>
      </c>
      <c r="E89" s="8" t="str">
        <f t="shared" si="1"/>
        <v>April</v>
      </c>
    </row>
    <row r="90" spans="1:5" x14ac:dyDescent="0.35">
      <c r="A90" s="9" t="s">
        <v>250</v>
      </c>
      <c r="B90" s="9" t="s">
        <v>251</v>
      </c>
      <c r="C90" s="9" t="s">
        <v>252</v>
      </c>
      <c r="D90" s="10">
        <v>46182</v>
      </c>
      <c r="E90" s="8" t="str">
        <f t="shared" si="1"/>
        <v>June</v>
      </c>
    </row>
    <row r="91" spans="1:5" x14ac:dyDescent="0.35">
      <c r="A91" s="9" t="s">
        <v>250</v>
      </c>
      <c r="B91" s="9" t="s">
        <v>251</v>
      </c>
      <c r="C91" s="9" t="s">
        <v>254</v>
      </c>
      <c r="D91" s="10">
        <v>46182</v>
      </c>
      <c r="E91" s="8" t="str">
        <f t="shared" si="1"/>
        <v>June</v>
      </c>
    </row>
    <row r="92" spans="1:5" x14ac:dyDescent="0.35">
      <c r="A92" s="9" t="s">
        <v>255</v>
      </c>
      <c r="B92" s="9" t="s">
        <v>256</v>
      </c>
      <c r="C92" s="9" t="s">
        <v>257</v>
      </c>
      <c r="D92" s="10">
        <v>46079</v>
      </c>
      <c r="E92" s="8" t="str">
        <f t="shared" si="1"/>
        <v>February</v>
      </c>
    </row>
    <row r="93" spans="1:5" x14ac:dyDescent="0.35">
      <c r="A93" s="9" t="s">
        <v>255</v>
      </c>
      <c r="B93" s="9" t="s">
        <v>256</v>
      </c>
      <c r="C93" s="9" t="s">
        <v>259</v>
      </c>
      <c r="D93" s="10">
        <v>46172</v>
      </c>
      <c r="E93" s="8" t="str">
        <f t="shared" si="1"/>
        <v>May</v>
      </c>
    </row>
    <row r="94" spans="1:5" x14ac:dyDescent="0.35">
      <c r="A94" s="9" t="s">
        <v>255</v>
      </c>
      <c r="B94" s="9" t="s">
        <v>256</v>
      </c>
      <c r="C94" s="9" t="s">
        <v>261</v>
      </c>
      <c r="D94" s="10">
        <v>46175</v>
      </c>
      <c r="E94" s="8" t="str">
        <f t="shared" si="1"/>
        <v>June</v>
      </c>
    </row>
    <row r="95" spans="1:5" x14ac:dyDescent="0.35">
      <c r="A95" s="9" t="s">
        <v>255</v>
      </c>
      <c r="B95" s="9" t="s">
        <v>256</v>
      </c>
      <c r="C95" s="9" t="s">
        <v>263</v>
      </c>
      <c r="D95" s="10">
        <v>46175</v>
      </c>
      <c r="E95" s="8" t="str">
        <f t="shared" si="1"/>
        <v>June</v>
      </c>
    </row>
    <row r="96" spans="1:5" x14ac:dyDescent="0.35">
      <c r="A96" s="9" t="s">
        <v>264</v>
      </c>
      <c r="B96" s="9" t="s">
        <v>265</v>
      </c>
      <c r="C96" s="9" t="s">
        <v>266</v>
      </c>
      <c r="D96" s="10">
        <v>46111</v>
      </c>
      <c r="E96" s="8" t="str">
        <f t="shared" si="1"/>
        <v>March</v>
      </c>
    </row>
    <row r="97" spans="1:5" x14ac:dyDescent="0.35">
      <c r="A97" s="9" t="s">
        <v>264</v>
      </c>
      <c r="B97" s="9" t="s">
        <v>265</v>
      </c>
      <c r="C97" s="9" t="s">
        <v>268</v>
      </c>
      <c r="D97" s="10">
        <v>46149</v>
      </c>
      <c r="E97" s="8" t="str">
        <f t="shared" si="1"/>
        <v>May</v>
      </c>
    </row>
    <row r="98" spans="1:5" x14ac:dyDescent="0.35">
      <c r="A98" s="9" t="s">
        <v>269</v>
      </c>
      <c r="B98" s="9" t="s">
        <v>270</v>
      </c>
      <c r="C98" s="9" t="s">
        <v>271</v>
      </c>
      <c r="D98" s="10">
        <v>45902</v>
      </c>
      <c r="E98" s="8" t="str">
        <f t="shared" si="1"/>
        <v>September</v>
      </c>
    </row>
    <row r="99" spans="1:5" x14ac:dyDescent="0.35">
      <c r="A99" s="9" t="s">
        <v>272</v>
      </c>
      <c r="B99" s="9" t="s">
        <v>273</v>
      </c>
      <c r="C99" s="9" t="s">
        <v>274</v>
      </c>
      <c r="D99" s="10">
        <v>46051</v>
      </c>
      <c r="E99" s="8" t="str">
        <f t="shared" si="1"/>
        <v>January</v>
      </c>
    </row>
    <row r="100" spans="1:5" x14ac:dyDescent="0.35">
      <c r="A100" s="9" t="s">
        <v>272</v>
      </c>
      <c r="B100" s="9" t="s">
        <v>273</v>
      </c>
      <c r="C100" s="9" t="s">
        <v>276</v>
      </c>
      <c r="D100" s="10">
        <v>46051</v>
      </c>
      <c r="E100" s="8" t="str">
        <f t="shared" si="1"/>
        <v>January</v>
      </c>
    </row>
    <row r="101" spans="1:5" x14ac:dyDescent="0.35">
      <c r="A101" s="9" t="s">
        <v>277</v>
      </c>
      <c r="B101" s="9" t="s">
        <v>278</v>
      </c>
      <c r="C101" s="9" t="s">
        <v>279</v>
      </c>
      <c r="D101" s="10">
        <v>46043</v>
      </c>
      <c r="E101" s="8" t="str">
        <f t="shared" si="1"/>
        <v>January</v>
      </c>
    </row>
    <row r="102" spans="1:5" x14ac:dyDescent="0.35">
      <c r="A102" s="9" t="s">
        <v>277</v>
      </c>
      <c r="B102" s="9" t="s">
        <v>278</v>
      </c>
      <c r="C102" s="9" t="s">
        <v>281</v>
      </c>
      <c r="D102" s="10">
        <v>46043</v>
      </c>
      <c r="E102" s="8" t="str">
        <f t="shared" si="1"/>
        <v>January</v>
      </c>
    </row>
    <row r="103" spans="1:5" x14ac:dyDescent="0.35">
      <c r="A103" s="9" t="s">
        <v>282</v>
      </c>
      <c r="B103" s="9" t="s">
        <v>283</v>
      </c>
      <c r="C103" s="9" t="s">
        <v>284</v>
      </c>
      <c r="D103" s="10">
        <v>46132</v>
      </c>
      <c r="E103" s="8" t="str">
        <f t="shared" si="1"/>
        <v>April</v>
      </c>
    </row>
    <row r="104" spans="1:5" x14ac:dyDescent="0.35">
      <c r="A104" s="9" t="s">
        <v>285</v>
      </c>
      <c r="B104" s="9" t="s">
        <v>286</v>
      </c>
      <c r="C104" s="9" t="s">
        <v>287</v>
      </c>
      <c r="D104" s="10">
        <v>46008</v>
      </c>
      <c r="E104" s="8" t="str">
        <f t="shared" si="1"/>
        <v>December</v>
      </c>
    </row>
    <row r="105" spans="1:5" x14ac:dyDescent="0.35">
      <c r="A105" s="9" t="s">
        <v>288</v>
      </c>
      <c r="B105" s="9" t="s">
        <v>289</v>
      </c>
      <c r="C105" s="9" t="s">
        <v>290</v>
      </c>
      <c r="D105" s="10">
        <v>46057</v>
      </c>
      <c r="E105" s="8" t="str">
        <f t="shared" si="1"/>
        <v>February</v>
      </c>
    </row>
    <row r="106" spans="1:5" x14ac:dyDescent="0.35">
      <c r="A106" s="9" t="s">
        <v>291</v>
      </c>
      <c r="B106" s="9" t="s">
        <v>292</v>
      </c>
      <c r="C106" s="9" t="s">
        <v>293</v>
      </c>
      <c r="D106" s="10">
        <v>46134</v>
      </c>
      <c r="E106" s="8" t="str">
        <f t="shared" si="1"/>
        <v>April</v>
      </c>
    </row>
    <row r="107" spans="1:5" x14ac:dyDescent="0.35">
      <c r="A107" s="9" t="s">
        <v>294</v>
      </c>
      <c r="B107" s="9" t="s">
        <v>295</v>
      </c>
      <c r="C107" s="9" t="s">
        <v>296</v>
      </c>
      <c r="D107" s="10">
        <v>46186</v>
      </c>
      <c r="E107" s="8" t="str">
        <f t="shared" si="1"/>
        <v>June</v>
      </c>
    </row>
    <row r="108" spans="1:5" x14ac:dyDescent="0.35">
      <c r="A108" s="9" t="s">
        <v>297</v>
      </c>
      <c r="B108" s="9" t="s">
        <v>298</v>
      </c>
      <c r="C108" s="9" t="s">
        <v>299</v>
      </c>
      <c r="D108" s="10">
        <v>46187</v>
      </c>
      <c r="E108" s="8" t="str">
        <f t="shared" si="1"/>
        <v>June</v>
      </c>
    </row>
    <row r="109" spans="1:5" x14ac:dyDescent="0.35">
      <c r="A109" s="9" t="s">
        <v>297</v>
      </c>
      <c r="B109" s="9" t="s">
        <v>298</v>
      </c>
      <c r="C109" s="9" t="s">
        <v>301</v>
      </c>
      <c r="D109" s="10">
        <v>46187</v>
      </c>
      <c r="E109" s="8" t="str">
        <f t="shared" si="1"/>
        <v>June</v>
      </c>
    </row>
    <row r="110" spans="1:5" x14ac:dyDescent="0.35">
      <c r="A110" s="9" t="s">
        <v>297</v>
      </c>
      <c r="B110" s="9" t="s">
        <v>298</v>
      </c>
      <c r="C110" s="9" t="s">
        <v>303</v>
      </c>
      <c r="D110" s="10">
        <v>46188</v>
      </c>
      <c r="E110" s="8" t="str">
        <f t="shared" si="1"/>
        <v>June</v>
      </c>
    </row>
    <row r="111" spans="1:5" x14ac:dyDescent="0.35">
      <c r="A111" s="9" t="s">
        <v>304</v>
      </c>
      <c r="B111" s="9" t="s">
        <v>305</v>
      </c>
      <c r="C111" s="9" t="s">
        <v>306</v>
      </c>
      <c r="D111" s="10">
        <v>46117</v>
      </c>
      <c r="E111" s="8" t="str">
        <f t="shared" si="1"/>
        <v>April</v>
      </c>
    </row>
    <row r="112" spans="1:5" x14ac:dyDescent="0.35">
      <c r="A112" s="9" t="s">
        <v>307</v>
      </c>
      <c r="B112" s="9" t="s">
        <v>308</v>
      </c>
      <c r="C112" s="9" t="s">
        <v>309</v>
      </c>
      <c r="D112" s="10">
        <v>46073</v>
      </c>
      <c r="E112" s="8" t="str">
        <f t="shared" si="1"/>
        <v>February</v>
      </c>
    </row>
    <row r="113" spans="1:5" x14ac:dyDescent="0.35">
      <c r="A113" s="9" t="s">
        <v>307</v>
      </c>
      <c r="B113" s="9" t="s">
        <v>308</v>
      </c>
      <c r="C113" s="9" t="s">
        <v>311</v>
      </c>
      <c r="D113" s="10">
        <v>46104</v>
      </c>
      <c r="E113" s="8" t="str">
        <f t="shared" si="1"/>
        <v>March</v>
      </c>
    </row>
    <row r="114" spans="1:5" x14ac:dyDescent="0.35">
      <c r="A114" s="9" t="s">
        <v>307</v>
      </c>
      <c r="B114" s="9" t="s">
        <v>308</v>
      </c>
      <c r="C114" s="9" t="s">
        <v>313</v>
      </c>
      <c r="D114" s="10">
        <v>46104</v>
      </c>
      <c r="E114" s="8" t="str">
        <f t="shared" si="1"/>
        <v>March</v>
      </c>
    </row>
    <row r="115" spans="1:5" x14ac:dyDescent="0.35">
      <c r="A115" s="9" t="s">
        <v>307</v>
      </c>
      <c r="B115" s="9" t="s">
        <v>308</v>
      </c>
      <c r="C115" s="9" t="s">
        <v>315</v>
      </c>
      <c r="D115" s="10">
        <v>46107</v>
      </c>
      <c r="E115" s="8" t="str">
        <f t="shared" si="1"/>
        <v>March</v>
      </c>
    </row>
    <row r="116" spans="1:5" x14ac:dyDescent="0.35">
      <c r="A116" s="9" t="s">
        <v>307</v>
      </c>
      <c r="B116" s="9" t="s">
        <v>308</v>
      </c>
      <c r="C116" s="9" t="s">
        <v>317</v>
      </c>
      <c r="D116" s="10">
        <v>46108</v>
      </c>
      <c r="E116" s="8" t="str">
        <f t="shared" si="1"/>
        <v>March</v>
      </c>
    </row>
    <row r="117" spans="1:5" x14ac:dyDescent="0.35">
      <c r="A117" s="9" t="s">
        <v>307</v>
      </c>
      <c r="B117" s="9" t="s">
        <v>308</v>
      </c>
      <c r="C117" s="9" t="s">
        <v>319</v>
      </c>
      <c r="D117" s="10">
        <v>46116</v>
      </c>
      <c r="E117" s="8" t="str">
        <f t="shared" si="1"/>
        <v>April</v>
      </c>
    </row>
    <row r="118" spans="1:5" x14ac:dyDescent="0.35">
      <c r="A118" s="9" t="s">
        <v>320</v>
      </c>
      <c r="B118" s="9" t="s">
        <v>321</v>
      </c>
      <c r="C118" s="9" t="s">
        <v>322</v>
      </c>
      <c r="D118" s="10">
        <v>46142</v>
      </c>
      <c r="E118" s="8" t="str">
        <f t="shared" si="1"/>
        <v>April</v>
      </c>
    </row>
    <row r="119" spans="1:5" x14ac:dyDescent="0.35">
      <c r="A119" s="9" t="s">
        <v>320</v>
      </c>
      <c r="B119" s="9" t="s">
        <v>321</v>
      </c>
      <c r="C119" s="9" t="s">
        <v>324</v>
      </c>
      <c r="D119" s="10">
        <v>46204</v>
      </c>
      <c r="E119" s="8" t="str">
        <f t="shared" si="1"/>
        <v>July</v>
      </c>
    </row>
    <row r="120" spans="1:5" x14ac:dyDescent="0.35">
      <c r="A120" s="9" t="s">
        <v>325</v>
      </c>
      <c r="B120" s="9" t="s">
        <v>326</v>
      </c>
      <c r="C120" s="9" t="s">
        <v>324</v>
      </c>
      <c r="D120" s="10">
        <v>46172</v>
      </c>
      <c r="E120" s="8" t="str">
        <f t="shared" si="1"/>
        <v>May</v>
      </c>
    </row>
    <row r="121" spans="1:5" x14ac:dyDescent="0.35">
      <c r="A121" s="9" t="s">
        <v>327</v>
      </c>
      <c r="B121" s="9" t="s">
        <v>328</v>
      </c>
      <c r="C121" s="9" t="s">
        <v>329</v>
      </c>
      <c r="D121" s="10">
        <v>46160</v>
      </c>
      <c r="E121" s="8" t="str">
        <f t="shared" si="1"/>
        <v>May</v>
      </c>
    </row>
    <row r="122" spans="1:5" x14ac:dyDescent="0.35">
      <c r="A122" s="9" t="s">
        <v>330</v>
      </c>
      <c r="B122" s="9" t="s">
        <v>331</v>
      </c>
      <c r="C122" s="9" t="s">
        <v>332</v>
      </c>
      <c r="D122" s="10">
        <v>46021</v>
      </c>
      <c r="E122" s="8" t="str">
        <f t="shared" si="1"/>
        <v>December</v>
      </c>
    </row>
    <row r="123" spans="1:5" x14ac:dyDescent="0.35">
      <c r="A123" s="9" t="s">
        <v>333</v>
      </c>
      <c r="B123" s="9" t="s">
        <v>334</v>
      </c>
      <c r="C123" s="9" t="s">
        <v>335</v>
      </c>
      <c r="D123" s="10">
        <v>46113</v>
      </c>
      <c r="E123" s="8" t="str">
        <f t="shared" si="1"/>
        <v>April</v>
      </c>
    </row>
    <row r="124" spans="1:5" x14ac:dyDescent="0.35">
      <c r="A124" s="9" t="s">
        <v>336</v>
      </c>
      <c r="B124" s="9" t="s">
        <v>337</v>
      </c>
      <c r="C124" s="9" t="s">
        <v>329</v>
      </c>
      <c r="D124" s="10">
        <v>46160</v>
      </c>
      <c r="E124" s="8" t="str">
        <f t="shared" si="1"/>
        <v>May</v>
      </c>
    </row>
    <row r="125" spans="1:5" x14ac:dyDescent="0.35">
      <c r="A125" s="9" t="s">
        <v>338</v>
      </c>
      <c r="B125" s="9" t="s">
        <v>339</v>
      </c>
      <c r="C125" s="9" t="s">
        <v>340</v>
      </c>
      <c r="D125" s="10">
        <v>46134</v>
      </c>
      <c r="E125" s="8" t="str">
        <f t="shared" si="1"/>
        <v>April</v>
      </c>
    </row>
    <row r="126" spans="1:5" x14ac:dyDescent="0.35">
      <c r="A126" s="9" t="s">
        <v>341</v>
      </c>
      <c r="B126" s="9" t="s">
        <v>342</v>
      </c>
      <c r="C126" s="9" t="s">
        <v>343</v>
      </c>
      <c r="D126" s="10">
        <v>45807</v>
      </c>
      <c r="E126" s="8" t="str">
        <f t="shared" si="1"/>
        <v>May</v>
      </c>
    </row>
    <row r="127" spans="1:5" x14ac:dyDescent="0.35">
      <c r="A127" s="9" t="s">
        <v>344</v>
      </c>
      <c r="B127" s="9" t="s">
        <v>345</v>
      </c>
      <c r="C127" s="9" t="s">
        <v>346</v>
      </c>
      <c r="D127" s="10">
        <v>46142</v>
      </c>
      <c r="E127" s="8" t="str">
        <f t="shared" si="1"/>
        <v>April</v>
      </c>
    </row>
    <row r="128" spans="1:5" x14ac:dyDescent="0.35">
      <c r="A128" s="9" t="s">
        <v>347</v>
      </c>
      <c r="B128" s="9" t="s">
        <v>348</v>
      </c>
      <c r="C128" s="9" t="s">
        <v>349</v>
      </c>
      <c r="D128" s="10">
        <v>46113</v>
      </c>
      <c r="E128" s="8" t="str">
        <f t="shared" si="1"/>
        <v>April</v>
      </c>
    </row>
    <row r="129" spans="1:5" x14ac:dyDescent="0.35">
      <c r="A129" s="9" t="s">
        <v>347</v>
      </c>
      <c r="B129" s="9" t="s">
        <v>348</v>
      </c>
      <c r="C129" s="9" t="s">
        <v>351</v>
      </c>
      <c r="D129" s="10">
        <v>46111</v>
      </c>
      <c r="E129" s="8" t="str">
        <f t="shared" si="1"/>
        <v>March</v>
      </c>
    </row>
    <row r="130" spans="1:5" x14ac:dyDescent="0.35">
      <c r="A130" s="9" t="s">
        <v>347</v>
      </c>
      <c r="B130" s="9" t="s">
        <v>348</v>
      </c>
      <c r="C130" s="9" t="s">
        <v>353</v>
      </c>
      <c r="D130" s="10">
        <v>46145</v>
      </c>
      <c r="E130" s="8" t="str">
        <f t="shared" si="1"/>
        <v>May</v>
      </c>
    </row>
    <row r="131" spans="1:5" x14ac:dyDescent="0.35">
      <c r="A131" s="9" t="s">
        <v>347</v>
      </c>
      <c r="B131" s="9" t="s">
        <v>348</v>
      </c>
      <c r="C131" s="9" t="s">
        <v>355</v>
      </c>
      <c r="D131" s="10">
        <v>46111</v>
      </c>
      <c r="E131" s="8" t="str">
        <f t="shared" ref="E131:E194" si="2">TEXT(D131,"mmmm")</f>
        <v>March</v>
      </c>
    </row>
    <row r="132" spans="1:5" x14ac:dyDescent="0.35">
      <c r="A132" s="9" t="s">
        <v>347</v>
      </c>
      <c r="B132" s="9" t="s">
        <v>348</v>
      </c>
      <c r="C132" s="9" t="s">
        <v>357</v>
      </c>
      <c r="D132" s="10">
        <v>46160</v>
      </c>
      <c r="E132" s="8" t="str">
        <f t="shared" si="2"/>
        <v>May</v>
      </c>
    </row>
    <row r="133" spans="1:5" x14ac:dyDescent="0.35">
      <c r="A133" s="9" t="s">
        <v>347</v>
      </c>
      <c r="B133" s="9" t="s">
        <v>348</v>
      </c>
      <c r="C133" s="9" t="s">
        <v>359</v>
      </c>
      <c r="D133" s="10">
        <v>46167</v>
      </c>
      <c r="E133" s="8" t="str">
        <f t="shared" si="2"/>
        <v>May</v>
      </c>
    </row>
    <row r="134" spans="1:5" x14ac:dyDescent="0.35">
      <c r="A134" s="9" t="s">
        <v>347</v>
      </c>
      <c r="B134" s="9" t="s">
        <v>348</v>
      </c>
      <c r="C134" s="9" t="s">
        <v>361</v>
      </c>
      <c r="D134" s="10">
        <v>46202</v>
      </c>
      <c r="E134" s="8" t="str">
        <f t="shared" si="2"/>
        <v>June</v>
      </c>
    </row>
    <row r="135" spans="1:5" x14ac:dyDescent="0.35">
      <c r="A135" s="9" t="s">
        <v>362</v>
      </c>
      <c r="B135" s="9" t="s">
        <v>363</v>
      </c>
      <c r="C135" s="9" t="s">
        <v>364</v>
      </c>
      <c r="D135" s="10">
        <v>45837</v>
      </c>
      <c r="E135" s="8" t="str">
        <f t="shared" si="2"/>
        <v>June</v>
      </c>
    </row>
    <row r="136" spans="1:5" x14ac:dyDescent="0.35">
      <c r="A136" s="9" t="s">
        <v>362</v>
      </c>
      <c r="B136" s="9" t="s">
        <v>363</v>
      </c>
      <c r="C136" s="9" t="s">
        <v>366</v>
      </c>
      <c r="D136" s="10">
        <v>45837</v>
      </c>
      <c r="E136" s="8" t="str">
        <f t="shared" si="2"/>
        <v>June</v>
      </c>
    </row>
    <row r="137" spans="1:5" x14ac:dyDescent="0.35">
      <c r="A137" s="9" t="s">
        <v>362</v>
      </c>
      <c r="B137" s="9" t="s">
        <v>363</v>
      </c>
      <c r="C137" s="9" t="s">
        <v>368</v>
      </c>
      <c r="D137" s="10">
        <v>45838</v>
      </c>
      <c r="E137" s="8" t="str">
        <f t="shared" si="2"/>
        <v>June</v>
      </c>
    </row>
    <row r="138" spans="1:5" x14ac:dyDescent="0.35">
      <c r="A138" s="9" t="s">
        <v>362</v>
      </c>
      <c r="B138" s="9" t="s">
        <v>363</v>
      </c>
      <c r="C138" s="9" t="s">
        <v>370</v>
      </c>
      <c r="D138" s="10">
        <v>46048</v>
      </c>
      <c r="E138" s="8" t="str">
        <f t="shared" si="2"/>
        <v>January</v>
      </c>
    </row>
    <row r="139" spans="1:5" x14ac:dyDescent="0.35">
      <c r="A139" s="9" t="s">
        <v>362</v>
      </c>
      <c r="B139" s="9" t="s">
        <v>363</v>
      </c>
      <c r="C139" s="9" t="s">
        <v>372</v>
      </c>
      <c r="D139" s="10">
        <v>46048</v>
      </c>
      <c r="E139" s="8" t="str">
        <f t="shared" si="2"/>
        <v>January</v>
      </c>
    </row>
    <row r="140" spans="1:5" x14ac:dyDescent="0.35">
      <c r="A140" s="9" t="s">
        <v>362</v>
      </c>
      <c r="B140" s="9" t="s">
        <v>363</v>
      </c>
      <c r="C140" s="9" t="s">
        <v>374</v>
      </c>
      <c r="D140" s="10">
        <v>46049</v>
      </c>
      <c r="E140" s="8" t="str">
        <f t="shared" si="2"/>
        <v>January</v>
      </c>
    </row>
    <row r="141" spans="1:5" x14ac:dyDescent="0.35">
      <c r="A141" s="9" t="s">
        <v>362</v>
      </c>
      <c r="B141" s="9" t="s">
        <v>363</v>
      </c>
      <c r="C141" s="9" t="s">
        <v>376</v>
      </c>
      <c r="D141" s="10">
        <v>46050</v>
      </c>
      <c r="E141" s="8" t="str">
        <f t="shared" si="2"/>
        <v>January</v>
      </c>
    </row>
    <row r="142" spans="1:5" x14ac:dyDescent="0.35">
      <c r="A142" s="9" t="s">
        <v>362</v>
      </c>
      <c r="B142" s="9" t="s">
        <v>363</v>
      </c>
      <c r="C142" s="9" t="s">
        <v>378</v>
      </c>
      <c r="D142" s="10">
        <v>46076</v>
      </c>
      <c r="E142" s="8" t="str">
        <f t="shared" si="2"/>
        <v>February</v>
      </c>
    </row>
    <row r="143" spans="1:5" x14ac:dyDescent="0.35">
      <c r="A143" s="9" t="s">
        <v>362</v>
      </c>
      <c r="B143" s="9" t="s">
        <v>363</v>
      </c>
      <c r="C143" s="9" t="s">
        <v>380</v>
      </c>
      <c r="D143" s="10">
        <v>46077</v>
      </c>
      <c r="E143" s="8" t="str">
        <f t="shared" si="2"/>
        <v>February</v>
      </c>
    </row>
    <row r="144" spans="1:5" x14ac:dyDescent="0.35">
      <c r="A144" s="9" t="s">
        <v>362</v>
      </c>
      <c r="B144" s="9" t="s">
        <v>363</v>
      </c>
      <c r="C144" s="9" t="s">
        <v>382</v>
      </c>
      <c r="D144" s="10">
        <v>46077</v>
      </c>
      <c r="E144" s="8" t="str">
        <f t="shared" si="2"/>
        <v>February</v>
      </c>
    </row>
    <row r="145" spans="1:5" x14ac:dyDescent="0.35">
      <c r="A145" s="9" t="s">
        <v>383</v>
      </c>
      <c r="B145" s="9" t="s">
        <v>384</v>
      </c>
      <c r="C145" s="9" t="s">
        <v>385</v>
      </c>
      <c r="D145" s="10">
        <v>46148</v>
      </c>
      <c r="E145" s="8" t="str">
        <f t="shared" si="2"/>
        <v>May</v>
      </c>
    </row>
    <row r="146" spans="1:5" x14ac:dyDescent="0.35">
      <c r="A146" s="9" t="s">
        <v>386</v>
      </c>
      <c r="B146" s="9" t="s">
        <v>387</v>
      </c>
      <c r="C146" s="9" t="s">
        <v>388</v>
      </c>
      <c r="D146" s="10">
        <v>46081</v>
      </c>
      <c r="E146" s="8" t="str">
        <f t="shared" si="2"/>
        <v>February</v>
      </c>
    </row>
    <row r="147" spans="1:5" x14ac:dyDescent="0.35">
      <c r="A147" s="9" t="s">
        <v>386</v>
      </c>
      <c r="B147" s="9" t="s">
        <v>387</v>
      </c>
      <c r="C147" s="9" t="s">
        <v>390</v>
      </c>
      <c r="D147" s="10">
        <v>46196</v>
      </c>
      <c r="E147" s="8" t="str">
        <f t="shared" si="2"/>
        <v>June</v>
      </c>
    </row>
    <row r="148" spans="1:5" x14ac:dyDescent="0.35">
      <c r="A148" s="9" t="s">
        <v>386</v>
      </c>
      <c r="B148" s="9" t="s">
        <v>387</v>
      </c>
      <c r="C148" s="9" t="s">
        <v>392</v>
      </c>
      <c r="D148" s="10">
        <v>46196</v>
      </c>
      <c r="E148" s="8" t="str">
        <f t="shared" si="2"/>
        <v>June</v>
      </c>
    </row>
    <row r="149" spans="1:5" x14ac:dyDescent="0.35">
      <c r="A149" s="9" t="s">
        <v>386</v>
      </c>
      <c r="B149" s="9" t="s">
        <v>387</v>
      </c>
      <c r="C149" s="9" t="s">
        <v>394</v>
      </c>
      <c r="D149" s="10">
        <v>46199</v>
      </c>
      <c r="E149" s="8" t="str">
        <f t="shared" si="2"/>
        <v>June</v>
      </c>
    </row>
    <row r="150" spans="1:5" x14ac:dyDescent="0.35">
      <c r="A150" s="9" t="s">
        <v>395</v>
      </c>
      <c r="B150" s="9" t="s">
        <v>396</v>
      </c>
      <c r="C150" s="9" t="s">
        <v>397</v>
      </c>
      <c r="D150" s="10">
        <v>45867</v>
      </c>
      <c r="E150" s="8" t="str">
        <f t="shared" si="2"/>
        <v>July</v>
      </c>
    </row>
    <row r="151" spans="1:5" x14ac:dyDescent="0.35">
      <c r="A151" s="9" t="s">
        <v>395</v>
      </c>
      <c r="B151" s="9" t="s">
        <v>396</v>
      </c>
      <c r="C151" s="9" t="s">
        <v>399</v>
      </c>
      <c r="D151" s="10">
        <v>45870</v>
      </c>
      <c r="E151" s="8" t="str">
        <f t="shared" si="2"/>
        <v>August</v>
      </c>
    </row>
    <row r="152" spans="1:5" x14ac:dyDescent="0.35">
      <c r="A152" s="9" t="s">
        <v>395</v>
      </c>
      <c r="B152" s="9" t="s">
        <v>396</v>
      </c>
      <c r="C152" s="9" t="s">
        <v>401</v>
      </c>
      <c r="D152" s="10">
        <v>45870</v>
      </c>
      <c r="E152" s="8" t="str">
        <f t="shared" si="2"/>
        <v>August</v>
      </c>
    </row>
    <row r="153" spans="1:5" x14ac:dyDescent="0.35">
      <c r="A153" s="9" t="s">
        <v>395</v>
      </c>
      <c r="B153" s="9" t="s">
        <v>396</v>
      </c>
      <c r="C153" s="9" t="s">
        <v>403</v>
      </c>
      <c r="D153" s="10">
        <v>45870</v>
      </c>
      <c r="E153" s="8" t="str">
        <f t="shared" si="2"/>
        <v>August</v>
      </c>
    </row>
    <row r="154" spans="1:5" x14ac:dyDescent="0.35">
      <c r="A154" s="9" t="s">
        <v>404</v>
      </c>
      <c r="B154" s="9" t="s">
        <v>405</v>
      </c>
      <c r="C154" s="9" t="s">
        <v>406</v>
      </c>
      <c r="D154" s="10">
        <v>45838</v>
      </c>
      <c r="E154" s="8" t="str">
        <f t="shared" si="2"/>
        <v>June</v>
      </c>
    </row>
    <row r="155" spans="1:5" x14ac:dyDescent="0.35">
      <c r="A155" s="9" t="s">
        <v>404</v>
      </c>
      <c r="B155" s="9" t="s">
        <v>405</v>
      </c>
      <c r="C155" s="9" t="s">
        <v>408</v>
      </c>
      <c r="D155" s="10">
        <v>45838</v>
      </c>
      <c r="E155" s="8" t="str">
        <f t="shared" si="2"/>
        <v>June</v>
      </c>
    </row>
    <row r="156" spans="1:5" x14ac:dyDescent="0.35">
      <c r="A156" s="9" t="s">
        <v>404</v>
      </c>
      <c r="B156" s="9" t="s">
        <v>405</v>
      </c>
      <c r="C156" s="9" t="s">
        <v>410</v>
      </c>
      <c r="D156" s="10">
        <v>45838</v>
      </c>
      <c r="E156" s="8" t="str">
        <f t="shared" si="2"/>
        <v>June</v>
      </c>
    </row>
    <row r="157" spans="1:5" x14ac:dyDescent="0.35">
      <c r="A157" s="9" t="s">
        <v>411</v>
      </c>
      <c r="B157" s="9" t="s">
        <v>412</v>
      </c>
      <c r="C157" s="9" t="s">
        <v>413</v>
      </c>
      <c r="D157" s="10">
        <v>45868</v>
      </c>
      <c r="E157" s="8" t="str">
        <f t="shared" si="2"/>
        <v>July</v>
      </c>
    </row>
    <row r="158" spans="1:5" x14ac:dyDescent="0.35">
      <c r="A158" s="9" t="s">
        <v>414</v>
      </c>
      <c r="B158" s="9" t="s">
        <v>415</v>
      </c>
      <c r="C158" s="9" t="s">
        <v>416</v>
      </c>
      <c r="D158" s="10">
        <v>45813</v>
      </c>
      <c r="E158" s="8" t="str">
        <f t="shared" si="2"/>
        <v>June</v>
      </c>
    </row>
    <row r="159" spans="1:5" x14ac:dyDescent="0.35">
      <c r="A159" s="9" t="s">
        <v>417</v>
      </c>
      <c r="B159" s="9" t="s">
        <v>418</v>
      </c>
      <c r="C159" s="9" t="s">
        <v>419</v>
      </c>
      <c r="D159" s="10">
        <v>46111</v>
      </c>
      <c r="E159" s="8" t="str">
        <f t="shared" si="2"/>
        <v>March</v>
      </c>
    </row>
    <row r="160" spans="1:5" x14ac:dyDescent="0.35">
      <c r="A160" s="9" t="s">
        <v>420</v>
      </c>
      <c r="B160" s="9" t="s">
        <v>421</v>
      </c>
      <c r="C160" s="9" t="s">
        <v>422</v>
      </c>
      <c r="D160" s="10">
        <v>45779</v>
      </c>
      <c r="E160" s="8" t="str">
        <f t="shared" si="2"/>
        <v>May</v>
      </c>
    </row>
    <row r="161" spans="1:5" x14ac:dyDescent="0.35">
      <c r="A161" s="9" t="s">
        <v>423</v>
      </c>
      <c r="B161" s="9" t="s">
        <v>424</v>
      </c>
      <c r="C161" s="9" t="s">
        <v>425</v>
      </c>
      <c r="D161" s="10">
        <v>45663</v>
      </c>
      <c r="E161" s="8" t="str">
        <f t="shared" si="2"/>
        <v>January</v>
      </c>
    </row>
    <row r="162" spans="1:5" x14ac:dyDescent="0.35">
      <c r="A162" s="9" t="s">
        <v>423</v>
      </c>
      <c r="B162" s="9" t="s">
        <v>424</v>
      </c>
      <c r="C162" s="9" t="s">
        <v>427</v>
      </c>
      <c r="D162" s="10">
        <v>45664</v>
      </c>
      <c r="E162" s="8" t="str">
        <f t="shared" si="2"/>
        <v>January</v>
      </c>
    </row>
    <row r="163" spans="1:5" x14ac:dyDescent="0.35">
      <c r="A163" s="9" t="s">
        <v>428</v>
      </c>
      <c r="B163" s="9" t="s">
        <v>429</v>
      </c>
      <c r="C163" s="9" t="s">
        <v>430</v>
      </c>
      <c r="D163" s="10">
        <v>46038</v>
      </c>
      <c r="E163" s="8" t="str">
        <f t="shared" si="2"/>
        <v>January</v>
      </c>
    </row>
    <row r="164" spans="1:5" x14ac:dyDescent="0.35">
      <c r="A164" s="9" t="s">
        <v>428</v>
      </c>
      <c r="B164" s="9" t="s">
        <v>429</v>
      </c>
      <c r="C164" s="9" t="s">
        <v>432</v>
      </c>
      <c r="D164" s="10">
        <v>46038</v>
      </c>
      <c r="E164" s="8" t="str">
        <f t="shared" si="2"/>
        <v>January</v>
      </c>
    </row>
    <row r="165" spans="1:5" x14ac:dyDescent="0.35">
      <c r="A165" s="9" t="s">
        <v>433</v>
      </c>
      <c r="B165" s="9" t="s">
        <v>434</v>
      </c>
      <c r="C165" s="9" t="s">
        <v>435</v>
      </c>
      <c r="D165" s="10">
        <v>46134</v>
      </c>
      <c r="E165" s="8" t="str">
        <f t="shared" si="2"/>
        <v>April</v>
      </c>
    </row>
    <row r="166" spans="1:5" x14ac:dyDescent="0.35">
      <c r="A166" s="9" t="s">
        <v>433</v>
      </c>
      <c r="B166" s="9" t="s">
        <v>434</v>
      </c>
      <c r="C166" s="9" t="s">
        <v>437</v>
      </c>
      <c r="D166" s="10">
        <v>46134</v>
      </c>
      <c r="E166" s="8" t="str">
        <f t="shared" si="2"/>
        <v>April</v>
      </c>
    </row>
    <row r="167" spans="1:5" x14ac:dyDescent="0.35">
      <c r="A167" s="9" t="s">
        <v>433</v>
      </c>
      <c r="B167" s="9" t="s">
        <v>434</v>
      </c>
      <c r="C167" s="9" t="s">
        <v>439</v>
      </c>
      <c r="D167" s="10">
        <v>46135</v>
      </c>
      <c r="E167" s="8" t="str">
        <f t="shared" si="2"/>
        <v>April</v>
      </c>
    </row>
    <row r="168" spans="1:5" x14ac:dyDescent="0.35">
      <c r="A168" s="9" t="s">
        <v>433</v>
      </c>
      <c r="B168" s="9" t="s">
        <v>434</v>
      </c>
      <c r="C168" s="9" t="s">
        <v>441</v>
      </c>
      <c r="D168" s="10">
        <v>46135</v>
      </c>
      <c r="E168" s="8" t="str">
        <f t="shared" si="2"/>
        <v>April</v>
      </c>
    </row>
    <row r="169" spans="1:5" x14ac:dyDescent="0.35">
      <c r="A169" s="9" t="s">
        <v>433</v>
      </c>
      <c r="B169" s="9" t="s">
        <v>434</v>
      </c>
      <c r="C169" s="9" t="s">
        <v>443</v>
      </c>
      <c r="D169" s="10">
        <v>46136</v>
      </c>
      <c r="E169" s="8" t="str">
        <f t="shared" si="2"/>
        <v>April</v>
      </c>
    </row>
    <row r="170" spans="1:5" x14ac:dyDescent="0.35">
      <c r="A170" s="9" t="s">
        <v>433</v>
      </c>
      <c r="B170" s="9" t="s">
        <v>434</v>
      </c>
      <c r="C170" s="9" t="s">
        <v>445</v>
      </c>
      <c r="D170" s="10">
        <v>46136</v>
      </c>
      <c r="E170" s="8" t="str">
        <f t="shared" si="2"/>
        <v>April</v>
      </c>
    </row>
    <row r="171" spans="1:5" x14ac:dyDescent="0.35">
      <c r="A171" s="9" t="s">
        <v>433</v>
      </c>
      <c r="B171" s="9" t="s">
        <v>434</v>
      </c>
      <c r="C171" s="9" t="s">
        <v>447</v>
      </c>
      <c r="D171" s="10">
        <v>46137</v>
      </c>
      <c r="E171" s="8" t="str">
        <f t="shared" si="2"/>
        <v>April</v>
      </c>
    </row>
    <row r="172" spans="1:5" x14ac:dyDescent="0.35">
      <c r="A172" s="9" t="s">
        <v>433</v>
      </c>
      <c r="B172" s="9" t="s">
        <v>434</v>
      </c>
      <c r="C172" s="9" t="s">
        <v>449</v>
      </c>
      <c r="D172" s="10">
        <v>46137</v>
      </c>
      <c r="E172" s="8" t="str">
        <f t="shared" si="2"/>
        <v>April</v>
      </c>
    </row>
    <row r="173" spans="1:5" x14ac:dyDescent="0.35">
      <c r="A173" s="9" t="s">
        <v>433</v>
      </c>
      <c r="B173" s="9" t="s">
        <v>434</v>
      </c>
      <c r="C173" s="9" t="s">
        <v>451</v>
      </c>
      <c r="D173" s="10">
        <v>46137</v>
      </c>
      <c r="E173" s="8" t="str">
        <f t="shared" si="2"/>
        <v>April</v>
      </c>
    </row>
    <row r="174" spans="1:5" x14ac:dyDescent="0.35">
      <c r="A174" s="9" t="s">
        <v>433</v>
      </c>
      <c r="B174" s="9" t="s">
        <v>434</v>
      </c>
      <c r="C174" s="9" t="s">
        <v>453</v>
      </c>
      <c r="D174" s="10">
        <v>46138</v>
      </c>
      <c r="E174" s="8" t="str">
        <f t="shared" si="2"/>
        <v>April</v>
      </c>
    </row>
    <row r="175" spans="1:5" x14ac:dyDescent="0.35">
      <c r="A175" s="9" t="s">
        <v>433</v>
      </c>
      <c r="B175" s="9" t="s">
        <v>434</v>
      </c>
      <c r="C175" s="9" t="s">
        <v>455</v>
      </c>
      <c r="D175" s="10">
        <v>46138</v>
      </c>
      <c r="E175" s="8" t="str">
        <f t="shared" si="2"/>
        <v>April</v>
      </c>
    </row>
    <row r="176" spans="1:5" x14ac:dyDescent="0.35">
      <c r="A176" s="9" t="s">
        <v>433</v>
      </c>
      <c r="B176" s="9" t="s">
        <v>434</v>
      </c>
      <c r="C176" s="9" t="s">
        <v>457</v>
      </c>
      <c r="D176" s="10">
        <v>46138</v>
      </c>
      <c r="E176" s="8" t="str">
        <f t="shared" si="2"/>
        <v>April</v>
      </c>
    </row>
    <row r="177" spans="1:5" x14ac:dyDescent="0.35">
      <c r="A177" s="9" t="s">
        <v>433</v>
      </c>
      <c r="B177" s="9" t="s">
        <v>434</v>
      </c>
      <c r="C177" s="9" t="s">
        <v>459</v>
      </c>
      <c r="D177" s="10">
        <v>46139</v>
      </c>
      <c r="E177" s="8" t="str">
        <f t="shared" si="2"/>
        <v>April</v>
      </c>
    </row>
    <row r="178" spans="1:5" x14ac:dyDescent="0.35">
      <c r="A178" s="9" t="s">
        <v>433</v>
      </c>
      <c r="B178" s="9" t="s">
        <v>434</v>
      </c>
      <c r="C178" s="9" t="s">
        <v>461</v>
      </c>
      <c r="D178" s="10">
        <v>46139</v>
      </c>
      <c r="E178" s="8" t="str">
        <f t="shared" si="2"/>
        <v>April</v>
      </c>
    </row>
    <row r="179" spans="1:5" x14ac:dyDescent="0.35">
      <c r="A179" s="9" t="s">
        <v>433</v>
      </c>
      <c r="B179" s="9" t="s">
        <v>434</v>
      </c>
      <c r="C179" s="9" t="s">
        <v>463</v>
      </c>
      <c r="D179" s="10">
        <v>46139</v>
      </c>
      <c r="E179" s="8" t="str">
        <f t="shared" si="2"/>
        <v>April</v>
      </c>
    </row>
    <row r="180" spans="1:5" x14ac:dyDescent="0.35">
      <c r="A180" s="9" t="s">
        <v>433</v>
      </c>
      <c r="B180" s="9" t="s">
        <v>434</v>
      </c>
      <c r="C180" s="9" t="s">
        <v>465</v>
      </c>
      <c r="D180" s="10">
        <v>46140</v>
      </c>
      <c r="E180" s="8" t="str">
        <f t="shared" si="2"/>
        <v>April</v>
      </c>
    </row>
    <row r="181" spans="1:5" x14ac:dyDescent="0.35">
      <c r="A181" s="9" t="s">
        <v>433</v>
      </c>
      <c r="B181" s="9" t="s">
        <v>434</v>
      </c>
      <c r="C181" s="9" t="s">
        <v>467</v>
      </c>
      <c r="D181" s="10">
        <v>46140</v>
      </c>
      <c r="E181" s="8" t="str">
        <f t="shared" si="2"/>
        <v>April</v>
      </c>
    </row>
    <row r="182" spans="1:5" x14ac:dyDescent="0.35">
      <c r="A182" s="9" t="s">
        <v>433</v>
      </c>
      <c r="B182" s="9" t="s">
        <v>434</v>
      </c>
      <c r="C182" s="9" t="s">
        <v>469</v>
      </c>
      <c r="D182" s="10">
        <v>46140</v>
      </c>
      <c r="E182" s="8" t="str">
        <f t="shared" si="2"/>
        <v>April</v>
      </c>
    </row>
    <row r="183" spans="1:5" x14ac:dyDescent="0.35">
      <c r="A183" s="9" t="s">
        <v>470</v>
      </c>
      <c r="B183" s="9" t="s">
        <v>471</v>
      </c>
      <c r="C183" s="9" t="s">
        <v>343</v>
      </c>
      <c r="D183" s="10">
        <v>45755</v>
      </c>
      <c r="E183" s="8" t="str">
        <f t="shared" si="2"/>
        <v>April</v>
      </c>
    </row>
    <row r="184" spans="1:5" x14ac:dyDescent="0.35">
      <c r="A184" s="9" t="s">
        <v>472</v>
      </c>
      <c r="B184" s="9" t="s">
        <v>473</v>
      </c>
      <c r="C184" s="9" t="s">
        <v>474</v>
      </c>
      <c r="D184" s="10">
        <v>46119</v>
      </c>
      <c r="E184" s="8" t="str">
        <f t="shared" si="2"/>
        <v>April</v>
      </c>
    </row>
    <row r="185" spans="1:5" x14ac:dyDescent="0.35">
      <c r="A185" s="9" t="s">
        <v>475</v>
      </c>
      <c r="B185" s="9" t="s">
        <v>476</v>
      </c>
      <c r="C185" s="9" t="s">
        <v>477</v>
      </c>
      <c r="D185" s="10">
        <v>45762</v>
      </c>
      <c r="E185" s="8" t="str">
        <f t="shared" si="2"/>
        <v>April</v>
      </c>
    </row>
    <row r="186" spans="1:5" x14ac:dyDescent="0.35">
      <c r="A186" s="9" t="s">
        <v>478</v>
      </c>
      <c r="B186" s="9" t="s">
        <v>479</v>
      </c>
      <c r="C186" s="9" t="s">
        <v>480</v>
      </c>
      <c r="D186" s="10">
        <v>46196</v>
      </c>
      <c r="E186" s="8" t="str">
        <f t="shared" si="2"/>
        <v>June</v>
      </c>
    </row>
    <row r="187" spans="1:5" x14ac:dyDescent="0.35">
      <c r="A187" s="9" t="s">
        <v>481</v>
      </c>
      <c r="B187" s="9" t="s">
        <v>482</v>
      </c>
      <c r="C187" s="9" t="s">
        <v>483</v>
      </c>
      <c r="D187" s="10">
        <v>46195</v>
      </c>
      <c r="E187" s="8" t="str">
        <f t="shared" si="2"/>
        <v>June</v>
      </c>
    </row>
    <row r="188" spans="1:5" x14ac:dyDescent="0.35">
      <c r="A188" s="9" t="s">
        <v>481</v>
      </c>
      <c r="B188" s="9" t="s">
        <v>482</v>
      </c>
      <c r="C188" s="9" t="s">
        <v>480</v>
      </c>
      <c r="D188" s="10">
        <v>46196</v>
      </c>
      <c r="E188" s="8" t="str">
        <f t="shared" si="2"/>
        <v>June</v>
      </c>
    </row>
    <row r="189" spans="1:5" x14ac:dyDescent="0.35">
      <c r="A189" s="9" t="s">
        <v>485</v>
      </c>
      <c r="B189" s="9" t="s">
        <v>486</v>
      </c>
      <c r="C189" s="9" t="s">
        <v>487</v>
      </c>
      <c r="D189" s="10">
        <v>46182</v>
      </c>
      <c r="E189" s="8" t="str">
        <f t="shared" si="2"/>
        <v>June</v>
      </c>
    </row>
    <row r="190" spans="1:5" x14ac:dyDescent="0.35">
      <c r="A190" s="9" t="s">
        <v>485</v>
      </c>
      <c r="B190" s="9" t="s">
        <v>486</v>
      </c>
      <c r="C190" s="9" t="s">
        <v>489</v>
      </c>
      <c r="D190" s="10">
        <v>46186</v>
      </c>
      <c r="E190" s="8" t="str">
        <f t="shared" si="2"/>
        <v>June</v>
      </c>
    </row>
    <row r="191" spans="1:5" x14ac:dyDescent="0.35">
      <c r="A191" s="9" t="s">
        <v>485</v>
      </c>
      <c r="B191" s="9" t="s">
        <v>486</v>
      </c>
      <c r="C191" s="9" t="s">
        <v>491</v>
      </c>
      <c r="D191" s="10">
        <v>46081</v>
      </c>
      <c r="E191" s="8" t="str">
        <f t="shared" si="2"/>
        <v>February</v>
      </c>
    </row>
    <row r="192" spans="1:5" x14ac:dyDescent="0.35">
      <c r="A192" s="9" t="s">
        <v>485</v>
      </c>
      <c r="B192" s="9" t="s">
        <v>486</v>
      </c>
      <c r="C192" s="9" t="s">
        <v>388</v>
      </c>
      <c r="D192" s="10">
        <v>46081</v>
      </c>
      <c r="E192" s="8" t="str">
        <f t="shared" si="2"/>
        <v>February</v>
      </c>
    </row>
    <row r="193" spans="1:5" x14ac:dyDescent="0.35">
      <c r="A193" s="9" t="s">
        <v>485</v>
      </c>
      <c r="B193" s="9" t="s">
        <v>486</v>
      </c>
      <c r="C193" s="9" t="s">
        <v>494</v>
      </c>
      <c r="D193" s="10">
        <v>46201</v>
      </c>
      <c r="E193" s="8" t="str">
        <f t="shared" si="2"/>
        <v>June</v>
      </c>
    </row>
    <row r="194" spans="1:5" x14ac:dyDescent="0.35">
      <c r="A194" s="9" t="s">
        <v>495</v>
      </c>
      <c r="B194" s="9" t="s">
        <v>496</v>
      </c>
      <c r="C194" s="9" t="s">
        <v>497</v>
      </c>
      <c r="D194" s="10">
        <v>46049</v>
      </c>
      <c r="E194" s="8" t="str">
        <f t="shared" si="2"/>
        <v>January</v>
      </c>
    </row>
    <row r="195" spans="1:5" x14ac:dyDescent="0.35">
      <c r="A195" s="9" t="s">
        <v>498</v>
      </c>
      <c r="B195" s="9" t="s">
        <v>499</v>
      </c>
      <c r="C195" s="9" t="s">
        <v>500</v>
      </c>
      <c r="D195" s="10">
        <v>46135</v>
      </c>
      <c r="E195" s="8" t="str">
        <f t="shared" ref="E195:E229" si="3">TEXT(D195,"mmmm")</f>
        <v>April</v>
      </c>
    </row>
    <row r="196" spans="1:5" x14ac:dyDescent="0.35">
      <c r="A196" s="9" t="s">
        <v>498</v>
      </c>
      <c r="B196" s="9" t="s">
        <v>499</v>
      </c>
      <c r="C196" s="9" t="s">
        <v>502</v>
      </c>
      <c r="D196" s="10">
        <v>46135</v>
      </c>
      <c r="E196" s="8" t="str">
        <f t="shared" si="3"/>
        <v>April</v>
      </c>
    </row>
    <row r="197" spans="1:5" x14ac:dyDescent="0.35">
      <c r="A197" s="9" t="s">
        <v>498</v>
      </c>
      <c r="B197" s="9" t="s">
        <v>499</v>
      </c>
      <c r="C197" s="9" t="s">
        <v>504</v>
      </c>
      <c r="D197" s="10">
        <v>46136</v>
      </c>
      <c r="E197" s="8" t="str">
        <f t="shared" si="3"/>
        <v>April</v>
      </c>
    </row>
    <row r="198" spans="1:5" x14ac:dyDescent="0.35">
      <c r="A198" s="9" t="s">
        <v>498</v>
      </c>
      <c r="B198" s="9" t="s">
        <v>499</v>
      </c>
      <c r="C198" s="9" t="s">
        <v>506</v>
      </c>
      <c r="D198" s="10">
        <v>46136</v>
      </c>
      <c r="E198" s="8" t="str">
        <f t="shared" si="3"/>
        <v>April</v>
      </c>
    </row>
    <row r="199" spans="1:5" x14ac:dyDescent="0.35">
      <c r="A199" s="9" t="s">
        <v>498</v>
      </c>
      <c r="B199" s="9" t="s">
        <v>499</v>
      </c>
      <c r="C199" s="9" t="s">
        <v>508</v>
      </c>
      <c r="D199" s="10">
        <v>46136</v>
      </c>
      <c r="E199" s="8" t="str">
        <f t="shared" si="3"/>
        <v>April</v>
      </c>
    </row>
    <row r="200" spans="1:5" x14ac:dyDescent="0.35">
      <c r="A200" s="9" t="s">
        <v>498</v>
      </c>
      <c r="B200" s="9" t="s">
        <v>499</v>
      </c>
      <c r="C200" s="9" t="s">
        <v>510</v>
      </c>
      <c r="D200" s="10">
        <v>46139</v>
      </c>
      <c r="E200" s="8" t="str">
        <f t="shared" si="3"/>
        <v>April</v>
      </c>
    </row>
    <row r="201" spans="1:5" x14ac:dyDescent="0.35">
      <c r="A201" s="9" t="s">
        <v>511</v>
      </c>
      <c r="B201" s="9" t="s">
        <v>512</v>
      </c>
      <c r="C201" s="9" t="s">
        <v>513</v>
      </c>
      <c r="D201" s="10">
        <v>46161</v>
      </c>
      <c r="E201" s="8" t="str">
        <f t="shared" si="3"/>
        <v>May</v>
      </c>
    </row>
    <row r="202" spans="1:5" x14ac:dyDescent="0.35">
      <c r="A202" s="9" t="s">
        <v>511</v>
      </c>
      <c r="B202" s="9" t="s">
        <v>512</v>
      </c>
      <c r="C202" s="9" t="s">
        <v>515</v>
      </c>
      <c r="D202" s="10">
        <v>46161</v>
      </c>
      <c r="E202" s="8" t="str">
        <f t="shared" si="3"/>
        <v>May</v>
      </c>
    </row>
    <row r="203" spans="1:5" x14ac:dyDescent="0.35">
      <c r="A203" s="9" t="s">
        <v>511</v>
      </c>
      <c r="B203" s="9" t="s">
        <v>512</v>
      </c>
      <c r="C203" s="9" t="s">
        <v>517</v>
      </c>
      <c r="D203" s="10">
        <v>46163</v>
      </c>
      <c r="E203" s="8" t="str">
        <f t="shared" si="3"/>
        <v>May</v>
      </c>
    </row>
    <row r="204" spans="1:5" x14ac:dyDescent="0.35">
      <c r="A204" s="9" t="s">
        <v>511</v>
      </c>
      <c r="B204" s="9" t="s">
        <v>512</v>
      </c>
      <c r="C204" s="9" t="s">
        <v>519</v>
      </c>
      <c r="D204" s="10">
        <v>46163</v>
      </c>
      <c r="E204" s="8" t="str">
        <f t="shared" si="3"/>
        <v>May</v>
      </c>
    </row>
    <row r="205" spans="1:5" x14ac:dyDescent="0.35">
      <c r="A205" s="9" t="s">
        <v>520</v>
      </c>
      <c r="B205" s="9" t="s">
        <v>521</v>
      </c>
      <c r="C205" s="9" t="s">
        <v>522</v>
      </c>
      <c r="D205" s="10">
        <v>46083</v>
      </c>
      <c r="E205" s="8" t="str">
        <f t="shared" si="3"/>
        <v>March</v>
      </c>
    </row>
    <row r="206" spans="1:5" x14ac:dyDescent="0.35">
      <c r="A206" s="9" t="s">
        <v>520</v>
      </c>
      <c r="B206" s="9" t="s">
        <v>521</v>
      </c>
      <c r="C206" s="9" t="s">
        <v>524</v>
      </c>
      <c r="D206" s="10">
        <v>46086</v>
      </c>
      <c r="E206" s="8" t="str">
        <f t="shared" si="3"/>
        <v>March</v>
      </c>
    </row>
    <row r="207" spans="1:5" x14ac:dyDescent="0.35">
      <c r="A207" s="9" t="s">
        <v>520</v>
      </c>
      <c r="B207" s="9" t="s">
        <v>521</v>
      </c>
      <c r="C207" s="9" t="s">
        <v>526</v>
      </c>
      <c r="D207" s="10">
        <v>46111</v>
      </c>
      <c r="E207" s="8" t="str">
        <f t="shared" si="3"/>
        <v>March</v>
      </c>
    </row>
    <row r="208" spans="1:5" x14ac:dyDescent="0.35">
      <c r="A208" s="9" t="s">
        <v>520</v>
      </c>
      <c r="B208" s="9" t="s">
        <v>521</v>
      </c>
      <c r="C208" s="9" t="s">
        <v>528</v>
      </c>
      <c r="D208" s="10">
        <v>46111</v>
      </c>
      <c r="E208" s="8" t="str">
        <f t="shared" si="3"/>
        <v>March</v>
      </c>
    </row>
    <row r="209" spans="1:5" x14ac:dyDescent="0.35">
      <c r="A209" s="9" t="s">
        <v>520</v>
      </c>
      <c r="B209" s="9" t="s">
        <v>521</v>
      </c>
      <c r="C209" s="9" t="s">
        <v>530</v>
      </c>
      <c r="D209" s="10">
        <v>46158</v>
      </c>
      <c r="E209" s="8" t="str">
        <f t="shared" si="3"/>
        <v>May</v>
      </c>
    </row>
    <row r="210" spans="1:5" x14ac:dyDescent="0.35">
      <c r="A210" s="9" t="s">
        <v>531</v>
      </c>
      <c r="B210" s="9" t="s">
        <v>532</v>
      </c>
      <c r="C210" s="9" t="s">
        <v>533</v>
      </c>
      <c r="D210" s="10">
        <v>46076</v>
      </c>
      <c r="E210" s="8" t="str">
        <f t="shared" si="3"/>
        <v>February</v>
      </c>
    </row>
    <row r="211" spans="1:5" x14ac:dyDescent="0.35">
      <c r="A211" s="9" t="s">
        <v>531</v>
      </c>
      <c r="B211" s="9" t="s">
        <v>532</v>
      </c>
      <c r="C211" s="9" t="s">
        <v>535</v>
      </c>
      <c r="D211" s="10">
        <v>46146</v>
      </c>
      <c r="E211" s="8" t="str">
        <f t="shared" si="3"/>
        <v>May</v>
      </c>
    </row>
    <row r="212" spans="1:5" x14ac:dyDescent="0.35">
      <c r="A212" s="9" t="s">
        <v>531</v>
      </c>
      <c r="B212" s="9" t="s">
        <v>532</v>
      </c>
      <c r="C212" s="9" t="s">
        <v>537</v>
      </c>
      <c r="D212" s="10">
        <v>46052</v>
      </c>
      <c r="E212" s="8" t="str">
        <f t="shared" si="3"/>
        <v>January</v>
      </c>
    </row>
    <row r="213" spans="1:5" x14ac:dyDescent="0.35">
      <c r="A213" s="9" t="s">
        <v>538</v>
      </c>
      <c r="B213" s="9" t="s">
        <v>539</v>
      </c>
      <c r="C213" s="9" t="s">
        <v>540</v>
      </c>
      <c r="D213" s="10">
        <v>46144</v>
      </c>
      <c r="E213" s="8" t="str">
        <f t="shared" si="3"/>
        <v>May</v>
      </c>
    </row>
    <row r="214" spans="1:5" x14ac:dyDescent="0.35">
      <c r="A214" s="9" t="s">
        <v>538</v>
      </c>
      <c r="B214" s="9" t="s">
        <v>539</v>
      </c>
      <c r="C214" s="9" t="s">
        <v>542</v>
      </c>
      <c r="D214" s="10">
        <v>46163</v>
      </c>
      <c r="E214" s="8" t="str">
        <f t="shared" si="3"/>
        <v>May</v>
      </c>
    </row>
    <row r="215" spans="1:5" x14ac:dyDescent="0.35">
      <c r="A215" s="9" t="s">
        <v>538</v>
      </c>
      <c r="B215" s="9" t="s">
        <v>539</v>
      </c>
      <c r="C215" s="9" t="s">
        <v>544</v>
      </c>
      <c r="D215" s="10">
        <v>46184</v>
      </c>
      <c r="E215" s="8" t="str">
        <f t="shared" si="3"/>
        <v>June</v>
      </c>
    </row>
    <row r="216" spans="1:5" x14ac:dyDescent="0.35">
      <c r="A216" s="9" t="s">
        <v>545</v>
      </c>
      <c r="B216" s="9" t="s">
        <v>546</v>
      </c>
      <c r="C216" s="9" t="s">
        <v>542</v>
      </c>
      <c r="D216" s="10">
        <v>46160</v>
      </c>
      <c r="E216" s="8" t="str">
        <f t="shared" si="3"/>
        <v>May</v>
      </c>
    </row>
    <row r="217" spans="1:5" x14ac:dyDescent="0.35">
      <c r="A217" s="9" t="s">
        <v>547</v>
      </c>
      <c r="B217" s="9" t="s">
        <v>548</v>
      </c>
      <c r="C217" s="9" t="s">
        <v>549</v>
      </c>
      <c r="D217" s="10">
        <v>46188</v>
      </c>
      <c r="E217" s="8" t="str">
        <f t="shared" si="3"/>
        <v>June</v>
      </c>
    </row>
    <row r="218" spans="1:5" x14ac:dyDescent="0.35">
      <c r="A218" s="9" t="s">
        <v>550</v>
      </c>
      <c r="B218" s="9" t="s">
        <v>551</v>
      </c>
      <c r="C218" s="9" t="s">
        <v>549</v>
      </c>
      <c r="D218" s="10">
        <v>46187</v>
      </c>
      <c r="E218" s="8" t="str">
        <f t="shared" si="3"/>
        <v>June</v>
      </c>
    </row>
    <row r="219" spans="1:5" x14ac:dyDescent="0.35">
      <c r="A219" s="9" t="s">
        <v>552</v>
      </c>
      <c r="B219" s="9" t="s">
        <v>553</v>
      </c>
      <c r="C219" s="9" t="s">
        <v>554</v>
      </c>
      <c r="D219" s="10">
        <v>46188</v>
      </c>
      <c r="E219" s="8" t="str">
        <f t="shared" si="3"/>
        <v>June</v>
      </c>
    </row>
    <row r="220" spans="1:5" x14ac:dyDescent="0.35">
      <c r="A220" s="9" t="s">
        <v>552</v>
      </c>
      <c r="B220" s="9" t="s">
        <v>553</v>
      </c>
      <c r="C220" s="9" t="s">
        <v>556</v>
      </c>
      <c r="D220" s="10">
        <v>46198</v>
      </c>
      <c r="E220" s="8" t="str">
        <f t="shared" si="3"/>
        <v>June</v>
      </c>
    </row>
    <row r="221" spans="1:5" x14ac:dyDescent="0.35">
      <c r="A221" s="9" t="s">
        <v>557</v>
      </c>
      <c r="B221" s="9" t="s">
        <v>558</v>
      </c>
      <c r="C221" s="9" t="s">
        <v>559</v>
      </c>
      <c r="D221" s="10">
        <v>46186</v>
      </c>
      <c r="E221" s="8" t="str">
        <f t="shared" si="3"/>
        <v>June</v>
      </c>
    </row>
    <row r="222" spans="1:5" x14ac:dyDescent="0.35">
      <c r="A222" s="9" t="s">
        <v>557</v>
      </c>
      <c r="B222" s="9" t="s">
        <v>558</v>
      </c>
      <c r="C222" s="9" t="s">
        <v>561</v>
      </c>
      <c r="D222" s="10">
        <v>46201</v>
      </c>
      <c r="E222" s="8" t="str">
        <f t="shared" si="3"/>
        <v>June</v>
      </c>
    </row>
    <row r="223" spans="1:5" x14ac:dyDescent="0.35">
      <c r="A223" s="9" t="s">
        <v>562</v>
      </c>
      <c r="B223" s="9" t="s">
        <v>563</v>
      </c>
      <c r="C223" s="9" t="s">
        <v>564</v>
      </c>
      <c r="D223" s="10">
        <v>46070</v>
      </c>
      <c r="E223" s="8" t="str">
        <f t="shared" si="3"/>
        <v>February</v>
      </c>
    </row>
    <row r="224" spans="1:5" x14ac:dyDescent="0.35">
      <c r="A224" s="9" t="s">
        <v>562</v>
      </c>
      <c r="B224" s="9" t="s">
        <v>563</v>
      </c>
      <c r="C224" s="9" t="s">
        <v>566</v>
      </c>
      <c r="D224" s="10">
        <v>46070</v>
      </c>
      <c r="E224" s="8" t="str">
        <f t="shared" si="3"/>
        <v>February</v>
      </c>
    </row>
    <row r="225" spans="1:5" x14ac:dyDescent="0.35">
      <c r="A225" s="9" t="s">
        <v>562</v>
      </c>
      <c r="B225" s="9" t="s">
        <v>563</v>
      </c>
      <c r="C225" s="9" t="s">
        <v>568</v>
      </c>
      <c r="D225" s="10">
        <v>46070</v>
      </c>
      <c r="E225" s="8" t="str">
        <f t="shared" si="3"/>
        <v>February</v>
      </c>
    </row>
    <row r="226" spans="1:5" x14ac:dyDescent="0.35">
      <c r="A226" s="9" t="s">
        <v>569</v>
      </c>
      <c r="B226" s="9" t="s">
        <v>570</v>
      </c>
      <c r="C226" s="9" t="s">
        <v>571</v>
      </c>
      <c r="D226" s="10">
        <v>46085</v>
      </c>
      <c r="E226" s="8" t="str">
        <f t="shared" si="3"/>
        <v>March</v>
      </c>
    </row>
    <row r="227" spans="1:5" x14ac:dyDescent="0.35">
      <c r="A227" s="9" t="s">
        <v>572</v>
      </c>
      <c r="B227" s="9" t="s">
        <v>573</v>
      </c>
      <c r="C227" s="9" t="s">
        <v>574</v>
      </c>
      <c r="D227" s="10">
        <v>45952</v>
      </c>
      <c r="E227" s="8" t="str">
        <f t="shared" si="3"/>
        <v>October</v>
      </c>
    </row>
    <row r="228" spans="1:5" x14ac:dyDescent="0.35">
      <c r="A228" s="9" t="s">
        <v>575</v>
      </c>
      <c r="B228" s="9" t="s">
        <v>576</v>
      </c>
      <c r="C228" s="9" t="s">
        <v>577</v>
      </c>
      <c r="D228" s="10">
        <v>46174</v>
      </c>
      <c r="E228" s="8" t="str">
        <f t="shared" si="3"/>
        <v>June</v>
      </c>
    </row>
    <row r="229" spans="1:5" x14ac:dyDescent="0.35">
      <c r="A229" s="9" t="s">
        <v>579</v>
      </c>
      <c r="B229" s="9" t="s">
        <v>580</v>
      </c>
      <c r="C229" s="9" t="s">
        <v>581</v>
      </c>
      <c r="D229" s="10">
        <v>46010</v>
      </c>
      <c r="E229" s="8" t="str">
        <f t="shared" si="3"/>
        <v>December</v>
      </c>
    </row>
  </sheetData>
  <autoFilter ref="A1:E229" xr:uid="{4B4F5843-6FBF-41B8-8236-8C1AA57CEDF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79429E-72C5-4D21-B26A-EE4B0B65CFC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d006307-e4a9-430f-af16-eea280431306}" enabled="1" method="Standard" siteId="{06219a4a-a835-44d5-afaf-3926343bfb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Clean_System Data</vt:lpstr>
      <vt:lpstr>Clean Data</vt:lpstr>
      <vt:lpstr>PhysicalData_1</vt:lpstr>
      <vt:lpstr>SKU</vt:lpstr>
      <vt:lpstr>Physical Data</vt:lpstr>
      <vt:lpstr>Data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Ullah Rezwan BDDA</cp:lastModifiedBy>
  <cp:revision>1</cp:revision>
  <dcterms:modified xsi:type="dcterms:W3CDTF">2026-07-12T20:20:51Z</dcterms:modified>
  <cp:category/>
</cp:coreProperties>
</file>