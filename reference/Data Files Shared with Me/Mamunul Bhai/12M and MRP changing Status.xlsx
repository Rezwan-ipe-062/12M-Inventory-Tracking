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ngenta.sharepoint.com/sites/InventoryTeamBD/Shared Documents/General/"/>
    </mc:Choice>
  </mc:AlternateContent>
  <xr:revisionPtr revIDLastSave="0" documentId="8_{879D6DBC-844B-4435-8C21-F95F79EB1F1D}" xr6:coauthVersionLast="47" xr6:coauthVersionMax="47" xr10:uidLastSave="{00000000-0000-0000-0000-000000000000}"/>
  <bookViews>
    <workbookView xWindow="-110" yWindow="-110" windowWidth="19420" windowHeight="11500" xr2:uid="{E2CBC510-602C-4F56-BF7B-5AEF3F5CF7D1}"/>
  </bookViews>
  <sheets>
    <sheet name="12M Products(CP)" sheetId="1" r:id="rId1"/>
    <sheet name="Sheet2" sheetId="9" state="hidden" r:id="rId2"/>
    <sheet name="Sheet1" sheetId="8" state="hidden" r:id="rId3"/>
    <sheet name="Upcoming 6M" sheetId="5" r:id="rId4"/>
    <sheet name="12M Product(Seed)" sheetId="4" r:id="rId5"/>
    <sheet name="Sales return 12 Month" sheetId="6" r:id="rId6"/>
    <sheet name="Old &amp; New MRP" sheetId="2" r:id="rId7"/>
    <sheet name="Special Note" sheetId="3" r:id="rId8"/>
    <sheet name="Sheet3" sheetId="10" r:id="rId9"/>
    <sheet name="Spillage box , Net &amp; FE" sheetId="7" r:id="rId10"/>
  </sheets>
  <externalReferences>
    <externalReference r:id="rId11"/>
    <externalReference r:id="rId12"/>
  </externalReferences>
  <definedNames>
    <definedName name="_xlnm._FilterDatabase" localSheetId="4" hidden="1">'12M Product(Seed)'!$A$4:$N$150</definedName>
    <definedName name="_xlnm._FilterDatabase" localSheetId="0" hidden="1">'12M Products(CP)'!$A$4:$O$4</definedName>
    <definedName name="_xlnm._FilterDatabase" localSheetId="5" hidden="1">'Sales return 12 Month'!$A$4:$L$4</definedName>
    <definedName name="_xlnm._FilterDatabase" localSheetId="3" hidden="1">'Upcoming 6M'!$A$4:$R$49</definedName>
    <definedName name="AGICODE">OFFSET([1]Sheet4!$B$4,1,0,COUNTA([1]Sheet4!$B:$B)-1,1)</definedName>
    <definedName name="MONTH">OFFSET([1]Sheet4!$J$4,1,0,COUNTA([1]Sheet4!$J:$J)-1,1)</definedName>
    <definedName name="NAMEOFPRODUCTS">OFFSET([1]Sheet4!$D$4,1,0,COUNTA([1]Sheet4!$D:$D)-1,1)</definedName>
    <definedName name="NameofWH">OFFSET([1]Sheet4!$H$4,1,0,COUNTA([1]Sheet4!$H:$H)-1,1)</definedName>
    <definedName name="PACKSIZE">OFFSET([1]Sheet4!$F$4,1,0,COUNTA([1]Sheet4!$F:$F)-1,1)</definedName>
    <definedName name="_xlnm.Print_Area" localSheetId="0">'12M Products(CP)'!$A$1:$K$44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G44" i="1"/>
  <c r="H44" i="1"/>
  <c r="E44" i="1"/>
  <c r="I8" i="1"/>
  <c r="I13" i="1"/>
  <c r="I9" i="1"/>
  <c r="I25" i="1"/>
  <c r="I21" i="1"/>
  <c r="I24" i="1"/>
  <c r="J24" i="1" s="1"/>
  <c r="I6" i="1"/>
  <c r="I14" i="1"/>
  <c r="I16" i="1"/>
  <c r="I36" i="1"/>
  <c r="I43" i="1"/>
  <c r="I31" i="1"/>
  <c r="I37" i="1"/>
  <c r="I26" i="1"/>
  <c r="I7" i="1"/>
  <c r="I38" i="1"/>
  <c r="I39" i="1"/>
  <c r="I22" i="1"/>
  <c r="J22" i="1" s="1"/>
  <c r="I17" i="1"/>
  <c r="J17" i="1" s="1"/>
  <c r="I18" i="1"/>
  <c r="I28" i="1"/>
  <c r="I41" i="1"/>
  <c r="I12" i="1"/>
  <c r="I42" i="1"/>
  <c r="I29" i="1"/>
  <c r="I15" i="1"/>
  <c r="I40" i="1"/>
  <c r="I10" i="1"/>
  <c r="I33" i="1"/>
  <c r="I5" i="1"/>
  <c r="I11" i="1"/>
  <c r="I19" i="1"/>
  <c r="I20" i="1"/>
  <c r="I27" i="1"/>
  <c r="I32" i="1"/>
  <c r="I23" i="1"/>
  <c r="I34" i="1"/>
  <c r="I35" i="1"/>
  <c r="L8" i="1"/>
  <c r="J8" i="1" s="1"/>
  <c r="L13" i="1"/>
  <c r="J13" i="1" s="1"/>
  <c r="L9" i="1"/>
  <c r="L25" i="1"/>
  <c r="L21" i="1"/>
  <c r="J21" i="1" s="1"/>
  <c r="L24" i="1"/>
  <c r="L6" i="1"/>
  <c r="L14" i="1"/>
  <c r="L16" i="1"/>
  <c r="J16" i="1" s="1"/>
  <c r="L36" i="1"/>
  <c r="L43" i="1"/>
  <c r="L31" i="1"/>
  <c r="J31" i="1" s="1"/>
  <c r="L37" i="1"/>
  <c r="J37" i="1" s="1"/>
  <c r="L26" i="1"/>
  <c r="J26" i="1" s="1"/>
  <c r="L7" i="1"/>
  <c r="L38" i="1"/>
  <c r="L39" i="1"/>
  <c r="J39" i="1" s="1"/>
  <c r="L22" i="1"/>
  <c r="L17" i="1"/>
  <c r="L18" i="1"/>
  <c r="J18" i="1" s="1"/>
  <c r="L28" i="1"/>
  <c r="J28" i="1" s="1"/>
  <c r="L41" i="1"/>
  <c r="L12" i="1"/>
  <c r="L42" i="1"/>
  <c r="J42" i="1" s="1"/>
  <c r="L29" i="1"/>
  <c r="J29" i="1" s="1"/>
  <c r="L15" i="1"/>
  <c r="J15" i="1" s="1"/>
  <c r="L40" i="1"/>
  <c r="L10" i="1"/>
  <c r="L33" i="1"/>
  <c r="J33" i="1" s="1"/>
  <c r="L5" i="1"/>
  <c r="L11" i="1"/>
  <c r="L19" i="1"/>
  <c r="J19" i="1" s="1"/>
  <c r="L20" i="1"/>
  <c r="L27" i="1"/>
  <c r="L32" i="1"/>
  <c r="L23" i="1"/>
  <c r="L34" i="1"/>
  <c r="L35" i="1"/>
  <c r="J5" i="1"/>
  <c r="I29" i="5"/>
  <c r="J29" i="5" s="1"/>
  <c r="H52" i="5"/>
  <c r="G52" i="5"/>
  <c r="F52" i="5"/>
  <c r="E52" i="5"/>
  <c r="L50" i="5"/>
  <c r="I50" i="5"/>
  <c r="L49" i="5"/>
  <c r="I49" i="5"/>
  <c r="L47" i="5"/>
  <c r="I47" i="5"/>
  <c r="L46" i="5"/>
  <c r="I46" i="5"/>
  <c r="L45" i="5"/>
  <c r="I45" i="5"/>
  <c r="L44" i="5"/>
  <c r="I44" i="5"/>
  <c r="L42" i="5"/>
  <c r="I42" i="5"/>
  <c r="L41" i="5"/>
  <c r="I41" i="5"/>
  <c r="L40" i="5"/>
  <c r="I40" i="5"/>
  <c r="L39" i="5"/>
  <c r="I39" i="5"/>
  <c r="L38" i="5"/>
  <c r="I38" i="5"/>
  <c r="L37" i="5"/>
  <c r="I37" i="5"/>
  <c r="L36" i="5"/>
  <c r="I36" i="5"/>
  <c r="L35" i="5"/>
  <c r="I35" i="5"/>
  <c r="L34" i="5"/>
  <c r="I34" i="5"/>
  <c r="L33" i="5"/>
  <c r="I33" i="5"/>
  <c r="L32" i="5"/>
  <c r="I32" i="5"/>
  <c r="L31" i="5"/>
  <c r="I31" i="5"/>
  <c r="L30" i="5"/>
  <c r="I30" i="5"/>
  <c r="L28" i="5"/>
  <c r="I28" i="5"/>
  <c r="L27" i="5"/>
  <c r="I27" i="5"/>
  <c r="L26" i="5"/>
  <c r="I26" i="5"/>
  <c r="L25" i="5"/>
  <c r="I25" i="5"/>
  <c r="I24" i="5"/>
  <c r="J24" i="5" s="1"/>
  <c r="L23" i="5"/>
  <c r="I23" i="5"/>
  <c r="J23" i="5" s="1"/>
  <c r="L22" i="5"/>
  <c r="I22" i="5"/>
  <c r="L21" i="5"/>
  <c r="I21" i="5"/>
  <c r="L20" i="5"/>
  <c r="I20" i="5"/>
  <c r="L19" i="5"/>
  <c r="I19" i="5"/>
  <c r="L18" i="5"/>
  <c r="I18" i="5"/>
  <c r="L17" i="5"/>
  <c r="I17" i="5"/>
  <c r="L16" i="5"/>
  <c r="I16" i="5"/>
  <c r="L15" i="5"/>
  <c r="I15" i="5"/>
  <c r="I13" i="5"/>
  <c r="J13" i="5" s="1"/>
  <c r="I11" i="5"/>
  <c r="J11" i="5" s="1"/>
  <c r="L10" i="5"/>
  <c r="I10" i="5"/>
  <c r="I9" i="5"/>
  <c r="J9" i="5" s="1"/>
  <c r="L8" i="5"/>
  <c r="I8" i="5"/>
  <c r="L7" i="5"/>
  <c r="I7" i="5"/>
  <c r="L6" i="5"/>
  <c r="I6" i="5"/>
  <c r="L5" i="5"/>
  <c r="I5" i="5"/>
  <c r="J34" i="1" l="1"/>
  <c r="J35" i="1"/>
  <c r="J23" i="1"/>
  <c r="J20" i="1"/>
  <c r="J27" i="1"/>
  <c r="J36" i="1"/>
  <c r="J10" i="1"/>
  <c r="J38" i="1"/>
  <c r="J25" i="1"/>
  <c r="J32" i="1"/>
  <c r="J12" i="1"/>
  <c r="J43" i="1"/>
  <c r="J41" i="1"/>
  <c r="J14" i="1"/>
  <c r="J11" i="1"/>
  <c r="J6" i="1"/>
  <c r="J40" i="1"/>
  <c r="J7" i="1"/>
  <c r="J9" i="1"/>
  <c r="J15" i="5"/>
  <c r="J8" i="5"/>
  <c r="J35" i="5"/>
  <c r="J25" i="5"/>
  <c r="J38" i="5"/>
  <c r="J40" i="5"/>
  <c r="J49" i="5"/>
  <c r="J20" i="5"/>
  <c r="J36" i="5"/>
  <c r="J50" i="5"/>
  <c r="J22" i="5"/>
  <c r="J18" i="5"/>
  <c r="J19" i="5"/>
  <c r="J27" i="5"/>
  <c r="J16" i="5"/>
  <c r="J28" i="5"/>
  <c r="J10" i="5"/>
  <c r="J26" i="5"/>
  <c r="J33" i="5"/>
  <c r="J39" i="5"/>
  <c r="J46" i="5"/>
  <c r="J7" i="5"/>
  <c r="J6" i="5"/>
  <c r="J21" i="5"/>
  <c r="J41" i="5"/>
  <c r="J30" i="5"/>
  <c r="J42" i="5"/>
  <c r="J47" i="5"/>
  <c r="J31" i="5"/>
  <c r="J37" i="5"/>
  <c r="J44" i="5"/>
  <c r="J34" i="5"/>
  <c r="J17" i="5"/>
  <c r="J32" i="5"/>
  <c r="J45" i="5"/>
  <c r="I52" i="5"/>
  <c r="J5" i="5"/>
  <c r="J52" i="5" l="1"/>
  <c r="I30" i="1"/>
  <c r="I44" i="1" s="1"/>
  <c r="L30" i="1" l="1"/>
  <c r="J30" i="1" l="1"/>
  <c r="J44" i="1" s="1"/>
  <c r="F6" i="1"/>
  <c r="J133" i="4" l="1"/>
  <c r="J136" i="4"/>
  <c r="K136" i="4" s="1"/>
  <c r="J8" i="4"/>
  <c r="K8" i="4" s="1"/>
  <c r="J140" i="4"/>
  <c r="J98" i="4"/>
  <c r="J78" i="4"/>
  <c r="K78" i="4" s="1"/>
  <c r="J139" i="4"/>
  <c r="K139" i="4" s="1"/>
  <c r="J13" i="4"/>
  <c r="J14" i="4"/>
  <c r="J144" i="4"/>
  <c r="J16" i="4"/>
  <c r="J17" i="4"/>
  <c r="J9" i="4"/>
  <c r="K9" i="4" s="1"/>
  <c r="J110" i="4"/>
  <c r="K110" i="4" s="1"/>
  <c r="J20" i="4"/>
  <c r="K20" i="4" s="1"/>
  <c r="J21" i="4"/>
  <c r="K21" i="4" s="1"/>
  <c r="J22" i="4"/>
  <c r="K22" i="4" s="1"/>
  <c r="J23" i="4"/>
  <c r="K23" i="4" s="1"/>
  <c r="J112" i="4"/>
  <c r="J25" i="4"/>
  <c r="J26" i="4"/>
  <c r="J27" i="4"/>
  <c r="K27" i="4" s="1"/>
  <c r="J28" i="4"/>
  <c r="K28" i="4" s="1"/>
  <c r="J39" i="4"/>
  <c r="K39" i="4" s="1"/>
  <c r="J7" i="4"/>
  <c r="K7" i="4" s="1"/>
  <c r="J116" i="4"/>
  <c r="K116" i="4" s="1"/>
  <c r="J19" i="4"/>
  <c r="K19" i="4" s="1"/>
  <c r="J101" i="4"/>
  <c r="K101" i="4" s="1"/>
  <c r="J96" i="4"/>
  <c r="K96" i="4" s="1"/>
  <c r="J102" i="4"/>
  <c r="J36" i="4"/>
  <c r="J130" i="4"/>
  <c r="J33" i="4"/>
  <c r="J37" i="4"/>
  <c r="J40" i="4"/>
  <c r="J10" i="4"/>
  <c r="J83" i="4"/>
  <c r="J87" i="4"/>
  <c r="J6" i="4"/>
  <c r="K6" i="4" s="1"/>
  <c r="J104" i="4"/>
  <c r="K104" i="4" s="1"/>
  <c r="J58" i="4"/>
  <c r="J48" i="4"/>
  <c r="J59" i="4"/>
  <c r="K59" i="4" s="1"/>
  <c r="J129" i="4"/>
  <c r="J44" i="4"/>
  <c r="J51" i="4"/>
  <c r="J79" i="4"/>
  <c r="K79" i="4" s="1"/>
  <c r="J115" i="4"/>
  <c r="K115" i="4" s="1"/>
  <c r="J149" i="4"/>
  <c r="K149" i="4" s="1"/>
  <c r="J135" i="4"/>
  <c r="K135" i="4" s="1"/>
  <c r="J138" i="4"/>
  <c r="J15" i="4"/>
  <c r="J146" i="4"/>
  <c r="J105" i="4"/>
  <c r="J60" i="4"/>
  <c r="J61" i="4"/>
  <c r="J45" i="4"/>
  <c r="J63" i="4"/>
  <c r="J64" i="4"/>
  <c r="J65" i="4"/>
  <c r="J89" i="4"/>
  <c r="K89" i="4" s="1"/>
  <c r="J67" i="4"/>
  <c r="K67" i="4" s="1"/>
  <c r="J68" i="4"/>
  <c r="K68" i="4" s="1"/>
  <c r="J69" i="4"/>
  <c r="K69" i="4" s="1"/>
  <c r="J70" i="4"/>
  <c r="K70" i="4" s="1"/>
  <c r="J71" i="4"/>
  <c r="K71" i="4" s="1"/>
  <c r="J131" i="4"/>
  <c r="J73" i="4"/>
  <c r="J100" i="4"/>
  <c r="J75" i="4"/>
  <c r="J88" i="4"/>
  <c r="K88" i="4" s="1"/>
  <c r="J77" i="4"/>
  <c r="K77" i="4" s="1"/>
  <c r="J18" i="4"/>
  <c r="K18" i="4" s="1"/>
  <c r="J42" i="4"/>
  <c r="K42" i="4" s="1"/>
  <c r="J111" i="4"/>
  <c r="K111" i="4" s="1"/>
  <c r="J81" i="4"/>
  <c r="K81" i="4" s="1"/>
  <c r="J82" i="4"/>
  <c r="K82" i="4" s="1"/>
  <c r="J43" i="4"/>
  <c r="K43" i="4" s="1"/>
  <c r="J134" i="4"/>
  <c r="K134" i="4" s="1"/>
  <c r="J56" i="4"/>
  <c r="K56" i="4" s="1"/>
  <c r="J90" i="4"/>
  <c r="K90" i="4" s="1"/>
  <c r="J5" i="4"/>
  <c r="K5" i="4" s="1"/>
  <c r="J127" i="4"/>
  <c r="K127" i="4" s="1"/>
  <c r="J46" i="4"/>
  <c r="K46" i="4" s="1"/>
  <c r="J123" i="4"/>
  <c r="K123" i="4" s="1"/>
  <c r="J97" i="4"/>
  <c r="J92" i="4"/>
  <c r="J74" i="4"/>
  <c r="K74" i="4" s="1"/>
  <c r="J114" i="4"/>
  <c r="K114" i="4" s="1"/>
  <c r="J119" i="4"/>
  <c r="J118" i="4"/>
  <c r="K118" i="4" s="1"/>
  <c r="J35" i="4"/>
  <c r="J11" i="4"/>
  <c r="J93" i="4"/>
  <c r="J34" i="4"/>
  <c r="K34" i="4" s="1"/>
  <c r="J12" i="4"/>
  <c r="K12" i="4" s="1"/>
  <c r="J91" i="4"/>
  <c r="K91" i="4" s="1"/>
  <c r="J109" i="4"/>
  <c r="K109" i="4" s="1"/>
  <c r="J62" i="4"/>
  <c r="K62" i="4" s="1"/>
  <c r="J38" i="4"/>
  <c r="K38" i="4" s="1"/>
  <c r="J99" i="4"/>
  <c r="K99" i="4" s="1"/>
  <c r="J107" i="4"/>
  <c r="K107" i="4" s="1"/>
  <c r="J108" i="4"/>
  <c r="K108" i="4" s="1"/>
  <c r="J41" i="4"/>
  <c r="K41" i="4" s="1"/>
  <c r="J76" i="4"/>
  <c r="K76" i="4" s="1"/>
  <c r="J84" i="4"/>
  <c r="J85" i="4"/>
  <c r="K85" i="4" s="1"/>
  <c r="J113" i="4"/>
  <c r="K113" i="4" s="1"/>
  <c r="J120" i="4"/>
  <c r="K120" i="4" s="1"/>
  <c r="J24" i="4"/>
  <c r="J31" i="4"/>
  <c r="J47" i="4"/>
  <c r="J141" i="4"/>
  <c r="K141" i="4" s="1"/>
  <c r="J117" i="4"/>
  <c r="J50" i="4"/>
  <c r="K50" i="4" s="1"/>
  <c r="J121" i="4"/>
  <c r="K121" i="4" s="1"/>
  <c r="J122" i="4"/>
  <c r="K122" i="4" s="1"/>
  <c r="J49" i="4"/>
  <c r="J124" i="4"/>
  <c r="J125" i="4"/>
  <c r="J126" i="4"/>
  <c r="J57" i="4"/>
  <c r="K57" i="4" s="1"/>
  <c r="J103" i="4"/>
  <c r="K103" i="4" s="1"/>
  <c r="J53" i="4"/>
  <c r="K53" i="4" s="1"/>
  <c r="J29" i="4"/>
  <c r="K29" i="4" s="1"/>
  <c r="J32" i="4"/>
  <c r="K32" i="4" s="1"/>
  <c r="J132" i="4"/>
  <c r="K132" i="4" s="1"/>
  <c r="J80" i="4"/>
  <c r="K80" i="4" s="1"/>
  <c r="J54" i="4"/>
  <c r="K54" i="4" s="1"/>
  <c r="J52" i="4"/>
  <c r="K52" i="4" s="1"/>
  <c r="J86" i="4"/>
  <c r="J137" i="4"/>
  <c r="K137" i="4" s="1"/>
  <c r="J94" i="4"/>
  <c r="J95" i="4"/>
  <c r="K95" i="4" s="1"/>
  <c r="J72" i="4"/>
  <c r="K72" i="4" s="1"/>
  <c r="J142" i="4"/>
  <c r="K142" i="4" s="1"/>
  <c r="J66" i="4"/>
  <c r="J143" i="4"/>
  <c r="J128" i="4"/>
  <c r="J55" i="4"/>
  <c r="K55" i="4" s="1"/>
  <c r="J30" i="4"/>
  <c r="K30" i="4" s="1"/>
  <c r="J147" i="4"/>
  <c r="K147" i="4" s="1"/>
  <c r="J148" i="4"/>
  <c r="K148" i="4" s="1"/>
  <c r="J106" i="4"/>
  <c r="K106" i="4" s="1"/>
  <c r="J145" i="4"/>
  <c r="G150" i="4"/>
  <c r="M51" i="4"/>
  <c r="M44" i="4"/>
  <c r="K44" i="4" l="1"/>
  <c r="K51" i="4"/>
  <c r="M87" i="4" l="1"/>
  <c r="K87" i="4" s="1"/>
  <c r="M128" i="4"/>
  <c r="K128" i="4" s="1"/>
  <c r="M31" i="4"/>
  <c r="K31" i="4" s="1"/>
  <c r="M47" i="4"/>
  <c r="K47" i="4" s="1"/>
  <c r="M93" i="4"/>
  <c r="K93" i="4" s="1"/>
  <c r="M73" i="4"/>
  <c r="K73" i="4" s="1"/>
  <c r="M131" i="4"/>
  <c r="K131" i="4" s="1"/>
  <c r="M138" i="4"/>
  <c r="K138" i="4" s="1"/>
  <c r="M33" i="4"/>
  <c r="K33" i="4" s="1"/>
  <c r="E150" i="4" l="1"/>
  <c r="F150" i="4"/>
  <c r="I150" i="4"/>
  <c r="M129" i="4"/>
  <c r="K129" i="4" s="1"/>
  <c r="M143" i="4"/>
  <c r="K143" i="4" s="1"/>
  <c r="M66" i="4"/>
  <c r="K66" i="4" s="1"/>
  <c r="M94" i="4"/>
  <c r="K94" i="4" s="1"/>
  <c r="M86" i="4"/>
  <c r="K86" i="4" s="1"/>
  <c r="M126" i="4"/>
  <c r="K126" i="4" s="1"/>
  <c r="M125" i="4"/>
  <c r="K125" i="4" s="1"/>
  <c r="M124" i="4"/>
  <c r="K124" i="4" s="1"/>
  <c r="M49" i="4"/>
  <c r="K49" i="4" s="1"/>
  <c r="M24" i="4"/>
  <c r="K24" i="4" s="1"/>
  <c r="M117" i="4"/>
  <c r="K117" i="4" s="1"/>
  <c r="M84" i="4"/>
  <c r="K84" i="4" s="1"/>
  <c r="M11" i="4"/>
  <c r="K11" i="4" s="1"/>
  <c r="M35" i="4"/>
  <c r="K35" i="4" s="1"/>
  <c r="M119" i="4"/>
  <c r="K119" i="4" s="1"/>
  <c r="M92" i="4"/>
  <c r="K92" i="4" s="1"/>
  <c r="M97" i="4"/>
  <c r="K97" i="4" s="1"/>
  <c r="M75" i="4"/>
  <c r="K75" i="4" s="1"/>
  <c r="M100" i="4"/>
  <c r="K100" i="4" s="1"/>
  <c r="M65" i="4"/>
  <c r="K65" i="4" s="1"/>
  <c r="M64" i="4"/>
  <c r="K64" i="4" s="1"/>
  <c r="M63" i="4"/>
  <c r="K63" i="4" s="1"/>
  <c r="M45" i="4"/>
  <c r="K45" i="4" s="1"/>
  <c r="M61" i="4"/>
  <c r="K61" i="4" s="1"/>
  <c r="M60" i="4"/>
  <c r="K60" i="4" s="1"/>
  <c r="M105" i="4"/>
  <c r="K105" i="4" s="1"/>
  <c r="M146" i="4"/>
  <c r="K146" i="4" s="1"/>
  <c r="M15" i="4"/>
  <c r="K15" i="4" s="1"/>
  <c r="M48" i="4"/>
  <c r="K48" i="4" s="1"/>
  <c r="M58" i="4"/>
  <c r="K58" i="4" s="1"/>
  <c r="M83" i="4"/>
  <c r="K83" i="4" s="1"/>
  <c r="M10" i="4"/>
  <c r="K10" i="4" s="1"/>
  <c r="M40" i="4"/>
  <c r="K40" i="4" s="1"/>
  <c r="M37" i="4"/>
  <c r="K37" i="4" s="1"/>
  <c r="M130" i="4"/>
  <c r="K130" i="4" s="1"/>
  <c r="M36" i="4"/>
  <c r="K36" i="4" s="1"/>
  <c r="M102" i="4"/>
  <c r="K102" i="4" s="1"/>
  <c r="M26" i="4"/>
  <c r="K26" i="4" s="1"/>
  <c r="M25" i="4"/>
  <c r="K25" i="4" s="1"/>
  <c r="M112" i="4"/>
  <c r="K112" i="4" s="1"/>
  <c r="M17" i="4"/>
  <c r="K17" i="4" s="1"/>
  <c r="M16" i="4"/>
  <c r="K16" i="4" s="1"/>
  <c r="M144" i="4"/>
  <c r="K144" i="4" s="1"/>
  <c r="M14" i="4"/>
  <c r="K14" i="4" s="1"/>
  <c r="M13" i="4"/>
  <c r="K13" i="4" s="1"/>
  <c r="M98" i="4"/>
  <c r="K98" i="4" s="1"/>
  <c r="M140" i="4"/>
  <c r="K140" i="4" s="1"/>
  <c r="M133" i="4"/>
  <c r="K133" i="4" s="1"/>
  <c r="M145" i="4"/>
  <c r="K145" i="4" l="1"/>
  <c r="J150" i="4" l="1"/>
  <c r="K150" i="4"/>
  <c r="N7" i="2" l="1"/>
  <c r="N8" i="2"/>
  <c r="N10" i="2"/>
  <c r="N12" i="2"/>
  <c r="N14" i="2"/>
  <c r="N15" i="2"/>
  <c r="O7" i="2"/>
  <c r="O8" i="2"/>
  <c r="O10" i="2"/>
  <c r="O12" i="2"/>
  <c r="O14" i="2"/>
  <c r="O15" i="2"/>
  <c r="O6" i="2"/>
  <c r="O5" i="2"/>
  <c r="N6" i="2"/>
  <c r="N5" i="2"/>
  <c r="E16" i="2"/>
  <c r="F16" i="2"/>
  <c r="G16" i="2"/>
  <c r="H16" i="2"/>
  <c r="I16" i="2"/>
  <c r="J16" i="2"/>
  <c r="K16" i="2"/>
  <c r="L16" i="2"/>
  <c r="M16" i="2"/>
  <c r="D16" i="2"/>
  <c r="N16" i="2" l="1"/>
  <c r="O16" i="2"/>
  <c r="K6" i="7" l="1"/>
  <c r="K7" i="7"/>
  <c r="N7" i="7" s="1"/>
  <c r="K8" i="7"/>
  <c r="N8" i="7" s="1"/>
  <c r="H6" i="7"/>
  <c r="H7" i="7"/>
  <c r="H8" i="7"/>
  <c r="E6" i="7"/>
  <c r="E7" i="7"/>
  <c r="E8" i="7"/>
  <c r="L8" i="7" s="1"/>
  <c r="O9" i="7"/>
  <c r="P9" i="7"/>
  <c r="O6" i="7"/>
  <c r="M8" i="7"/>
  <c r="O8" i="7"/>
  <c r="P8" i="7"/>
  <c r="Q8" i="7"/>
  <c r="E9" i="7"/>
  <c r="H9" i="7"/>
  <c r="K9" i="7"/>
  <c r="N9" i="7" s="1"/>
  <c r="L9" i="7"/>
  <c r="M9" i="7"/>
  <c r="Q9" i="7"/>
  <c r="E10" i="7"/>
  <c r="L10" i="7" s="1"/>
  <c r="M10" i="7"/>
  <c r="O10" i="7"/>
  <c r="P10" i="7"/>
  <c r="Q10" i="7"/>
  <c r="N6" i="7" l="1"/>
  <c r="D9" i="8" l="1"/>
  <c r="E9" i="8"/>
  <c r="F9" i="8"/>
  <c r="G9" i="8"/>
  <c r="H8" i="8"/>
  <c r="H9" i="8"/>
  <c r="H6" i="8"/>
  <c r="I6" i="8" s="1"/>
  <c r="H7" i="8"/>
  <c r="I7" i="8" s="1"/>
  <c r="H5" i="8"/>
  <c r="I5" i="8" s="1"/>
  <c r="C11" i="7"/>
  <c r="D11" i="7"/>
  <c r="O11" i="7" s="1"/>
  <c r="F11" i="7"/>
  <c r="G11" i="7"/>
  <c r="P11" i="7" s="1"/>
  <c r="I11" i="7"/>
  <c r="J11" i="7"/>
  <c r="Q11" i="7" s="1"/>
  <c r="I90" i="6"/>
  <c r="I91" i="6"/>
  <c r="I92" i="6"/>
  <c r="I93" i="6"/>
  <c r="I94" i="6"/>
  <c r="I95" i="6"/>
  <c r="I78" i="6"/>
  <c r="I79" i="6"/>
  <c r="I80" i="6"/>
  <c r="I81" i="6"/>
  <c r="I82" i="6"/>
  <c r="I83" i="6"/>
  <c r="I84" i="6"/>
  <c r="I85" i="6"/>
  <c r="I86" i="6"/>
  <c r="I87" i="6"/>
  <c r="I88" i="6"/>
  <c r="I89" i="6"/>
  <c r="I75" i="6"/>
  <c r="I76" i="6"/>
  <c r="I77" i="6"/>
  <c r="I72" i="6"/>
  <c r="I51" i="6"/>
  <c r="I48" i="6"/>
  <c r="I49" i="6"/>
  <c r="I50" i="6"/>
  <c r="I68" i="6"/>
  <c r="I69" i="6"/>
  <c r="I53" i="6"/>
  <c r="I52" i="6"/>
  <c r="I17" i="6"/>
  <c r="I39" i="6"/>
  <c r="I40" i="6"/>
  <c r="I33" i="6"/>
  <c r="I28" i="6"/>
  <c r="J28" i="6" s="1"/>
  <c r="I29" i="6"/>
  <c r="J29" i="6"/>
  <c r="I31" i="6"/>
  <c r="I13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H97" i="6"/>
  <c r="G97" i="6"/>
  <c r="F97" i="6"/>
  <c r="E97" i="6"/>
  <c r="I74" i="6"/>
  <c r="I73" i="6"/>
  <c r="I71" i="6"/>
  <c r="I70" i="6"/>
  <c r="I67" i="6"/>
  <c r="I66" i="6"/>
  <c r="I65" i="6"/>
  <c r="I64" i="6"/>
  <c r="I63" i="6"/>
  <c r="I62" i="6"/>
  <c r="I61" i="6"/>
  <c r="I60" i="6"/>
  <c r="I59" i="6"/>
  <c r="I58" i="6"/>
  <c r="J58" i="6" s="1"/>
  <c r="I57" i="6"/>
  <c r="I56" i="6"/>
  <c r="I55" i="6"/>
  <c r="J55" i="6" s="1"/>
  <c r="I54" i="6"/>
  <c r="J54" i="6" s="1"/>
  <c r="I47" i="6"/>
  <c r="J47" i="6" s="1"/>
  <c r="I46" i="6"/>
  <c r="I45" i="6"/>
  <c r="J45" i="6" s="1"/>
  <c r="I44" i="6"/>
  <c r="J44" i="6" s="1"/>
  <c r="I43" i="6"/>
  <c r="J43" i="6" s="1"/>
  <c r="I42" i="6"/>
  <c r="J42" i="6" s="1"/>
  <c r="I41" i="6"/>
  <c r="J41" i="6" s="1"/>
  <c r="I38" i="6"/>
  <c r="I37" i="6"/>
  <c r="I36" i="6"/>
  <c r="J36" i="6" s="1"/>
  <c r="I35" i="6"/>
  <c r="I34" i="6"/>
  <c r="J34" i="6" s="1"/>
  <c r="I32" i="6"/>
  <c r="J32" i="6" s="1"/>
  <c r="I30" i="6"/>
  <c r="J30" i="6" s="1"/>
  <c r="I27" i="6"/>
  <c r="J27" i="6" s="1"/>
  <c r="I26" i="6"/>
  <c r="J26" i="6" s="1"/>
  <c r="I25" i="6"/>
  <c r="I24" i="6"/>
  <c r="I21" i="6"/>
  <c r="J21" i="6" s="1"/>
  <c r="I20" i="6"/>
  <c r="J20" i="6" s="1"/>
  <c r="I19" i="6"/>
  <c r="J19" i="6" s="1"/>
  <c r="I18" i="6"/>
  <c r="J18" i="6" s="1"/>
  <c r="I16" i="6"/>
  <c r="J16" i="6" s="1"/>
  <c r="I15" i="6"/>
  <c r="J15" i="6" s="1"/>
  <c r="I12" i="6"/>
  <c r="J12" i="6" s="1"/>
  <c r="I11" i="6"/>
  <c r="J11" i="6" s="1"/>
  <c r="I10" i="6"/>
  <c r="J10" i="6" s="1"/>
  <c r="I9" i="6"/>
  <c r="I8" i="6"/>
  <c r="I7" i="6"/>
  <c r="I6" i="6"/>
  <c r="J6" i="6" s="1"/>
  <c r="I5" i="6"/>
  <c r="M11" i="7" l="1"/>
  <c r="E11" i="7"/>
  <c r="I97" i="6"/>
  <c r="J5" i="6"/>
  <c r="J97" i="6" s="1"/>
  <c r="L1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tc={6F896E37-BF27-4BF4-85BD-8895616AC96F}</author>
    <author>Hoque Mamunul BDBG</author>
  </authors>
  <commentList>
    <comment ref="G6" authorId="0" shapeId="0" xr:uid="{6F896E37-BF27-4BF4-85BD-8895616AC96F}">
      <text>
        <t>[Threaded comment]
Your version of Excel allows you to read this threaded comment; however, any edits to it will get removed if the file is opened in a newer version of Excel. Learn more: https://go.microsoft.com/fwlink/?linkid=870924
Comment:
    142 Sales Return</t>
      </text>
    </comment>
    <comment ref="G26" authorId="1" shapeId="0" xr:uid="{5F6DAC2F-C849-4254-B1AB-26A86D63FC84}">
      <text>
        <r>
          <rPr>
            <b/>
            <sz val="9"/>
            <color indexed="81"/>
            <rFont val="Tahoma"/>
            <family val="2"/>
          </rPr>
          <t>Hoque Mamunul BDBG:</t>
        </r>
        <r>
          <rPr>
            <sz val="9"/>
            <color indexed="81"/>
            <rFont val="Tahoma"/>
            <family val="2"/>
          </rPr>
          <t xml:space="preserve">
250 CTN Sales Return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Ziko Hoque BDBG</author>
  </authors>
  <commentList>
    <comment ref="G27" authorId="0" shapeId="0" xr:uid="{E4F05372-D8A1-4086-BD15-9A7EA91AB658}">
      <text>
        <r>
          <rPr>
            <sz val="11"/>
            <color theme="1"/>
            <rFont val="Calibri"/>
            <family val="2"/>
            <scheme val="minor"/>
          </rPr>
          <t>Ziko Hoque BDBG:
Quality Issue(Carton)</t>
        </r>
      </text>
    </comment>
    <comment ref="G30" authorId="0" shapeId="0" xr:uid="{F5B6E974-5C76-483E-84C3-CDD9270F6CE6}">
      <text>
        <r>
          <rPr>
            <sz val="11"/>
            <color theme="1"/>
            <rFont val="Calibri"/>
            <family val="2"/>
            <scheme val="minor"/>
          </rPr>
          <t>Ziko Hoque BDBG:
Quality Issue(Carton)</t>
        </r>
      </text>
    </comment>
  </commentList>
</comments>
</file>

<file path=xl/sharedStrings.xml><?xml version="1.0" encoding="utf-8"?>
<sst xmlns="http://schemas.openxmlformats.org/spreadsheetml/2006/main" count="1107" uniqueCount="335">
  <si>
    <t xml:space="preserve"> 12M Products(Country CP)</t>
  </si>
  <si>
    <t> </t>
  </si>
  <si>
    <t>AGI Code</t>
  </si>
  <si>
    <t>Name of Products</t>
  </si>
  <si>
    <t>Pack Size</t>
  </si>
  <si>
    <t xml:space="preserve">CTG </t>
  </si>
  <si>
    <t>DHK</t>
  </si>
  <si>
    <t>BOGURA</t>
  </si>
  <si>
    <t>JESS</t>
  </si>
  <si>
    <t xml:space="preserve">Total Qty in Carton </t>
  </si>
  <si>
    <t>In KG/Ltr</t>
  </si>
  <si>
    <t>EXPIRY ON (MONTH)</t>
  </si>
  <si>
    <t>Remarks</t>
  </si>
  <si>
    <t>REVUS 250 SC</t>
  </si>
  <si>
    <t>10X500 ML</t>
  </si>
  <si>
    <t>CARIAL FLEX 43WG</t>
  </si>
  <si>
    <t>3x10x70 G</t>
  </si>
  <si>
    <t>MIRAVIS DUO</t>
  </si>
  <si>
    <t>20x50ml</t>
  </si>
  <si>
    <t>ACTARA</t>
  </si>
  <si>
    <t>20x12x5 Gm</t>
  </si>
  <si>
    <t>AMISTER TOP</t>
  </si>
  <si>
    <t xml:space="preserve">20 X 100 ML </t>
  </si>
  <si>
    <t>MAGMA</t>
  </si>
  <si>
    <t>10x1kg</t>
  </si>
  <si>
    <t>20X100ml</t>
  </si>
  <si>
    <t>Shift to Jashore - 80 ctn from Bogura</t>
  </si>
  <si>
    <t>SHOBICRON</t>
  </si>
  <si>
    <t xml:space="preserve"> 10  X 500 ML </t>
  </si>
  <si>
    <t xml:space="preserve">DENIM FIT 50 WG         </t>
  </si>
  <si>
    <t xml:space="preserve"> 4X12X10 G  </t>
  </si>
  <si>
    <t>Shift to Jashore - 50 ctn from Bogura</t>
  </si>
  <si>
    <t>FILIA</t>
  </si>
  <si>
    <t xml:space="preserve">10X500 ML  </t>
  </si>
  <si>
    <t xml:space="preserve">FILIA 525 SE </t>
  </si>
  <si>
    <t xml:space="preserve">20 X 50 ML </t>
  </si>
  <si>
    <t>Shift Dhaka - 100 ctn from Dhaka</t>
  </si>
  <si>
    <t>PROCLAIM 5SG</t>
  </si>
  <si>
    <t xml:space="preserve">4X 12 X 10 GM </t>
  </si>
  <si>
    <t xml:space="preserve">20 x 30 gm </t>
  </si>
  <si>
    <t xml:space="preserve">Revus 100ml- 100ctn to Bogura from Ctg </t>
  </si>
  <si>
    <t xml:space="preserve">10 X 500 ML </t>
  </si>
  <si>
    <t>PEGASUS</t>
  </si>
  <si>
    <t>20X100 ML</t>
  </si>
  <si>
    <t xml:space="preserve">THIOVIT </t>
  </si>
  <si>
    <t>10X500 G</t>
  </si>
  <si>
    <t xml:space="preserve">ARMURE </t>
  </si>
  <si>
    <t>20x100ml</t>
  </si>
  <si>
    <t>RIDOMIL GOLD</t>
  </si>
  <si>
    <t xml:space="preserve"> 20 X 100 ML </t>
  </si>
  <si>
    <t>LASER 10 WP</t>
  </si>
  <si>
    <t xml:space="preserve">4 X 30 X 25 ML </t>
  </si>
  <si>
    <t xml:space="preserve">RIDOMIL GOLD </t>
  </si>
  <si>
    <t xml:space="preserve">30 X 100 GM </t>
  </si>
  <si>
    <t xml:space="preserve">GROZIN </t>
  </si>
  <si>
    <t xml:space="preserve"> 10 X 1 KG </t>
  </si>
  <si>
    <t>12X1 KG</t>
  </si>
  <si>
    <t>VOLIAM FLEXI</t>
  </si>
  <si>
    <t xml:space="preserve">20X50 ML </t>
  </si>
  <si>
    <t xml:space="preserve">Shift to Bogura- 200ctn from Ctg </t>
  </si>
  <si>
    <t>Jazz 10x500 G</t>
  </si>
  <si>
    <t>20x100 ML</t>
  </si>
  <si>
    <t xml:space="preserve">5 X 2 KG </t>
  </si>
  <si>
    <t>Total</t>
  </si>
  <si>
    <t>BOG</t>
  </si>
  <si>
    <t xml:space="preserve">Total </t>
  </si>
  <si>
    <t>VIRTAKO 40 WG</t>
  </si>
  <si>
    <t xml:space="preserve"> 2 X 10 X 30 GM </t>
  </si>
  <si>
    <t>Aug-25</t>
  </si>
  <si>
    <t>Sep-25</t>
  </si>
  <si>
    <t>12M Products(Country CP)</t>
  </si>
  <si>
    <t>Proclaim</t>
  </si>
  <si>
    <t>4x10x10 gm</t>
  </si>
  <si>
    <t>May-25</t>
  </si>
  <si>
    <t>Upcoming 6M  Products(Country CP)</t>
  </si>
  <si>
    <t>Total CTN</t>
  </si>
  <si>
    <t>KG/LTR</t>
  </si>
  <si>
    <t xml:space="preserve">Remarks </t>
  </si>
  <si>
    <t xml:space="preserve"> 25 X 8 X 5 GM </t>
  </si>
  <si>
    <t xml:space="preserve"> 20 X 50 ML </t>
  </si>
  <si>
    <t xml:space="preserve"> 10 X 500 ML </t>
  </si>
  <si>
    <t>BINGO</t>
  </si>
  <si>
    <t>CRUISER 70 WS</t>
  </si>
  <si>
    <t>2 X 25 X 20 GM</t>
  </si>
  <si>
    <t>Gayle 18WP</t>
  </si>
  <si>
    <t xml:space="preserve"> 30x100 gm</t>
  </si>
  <si>
    <t>INCIPIO</t>
  </si>
  <si>
    <t>25 x 40 ml</t>
  </si>
  <si>
    <t>GROZIN</t>
  </si>
  <si>
    <t>10 X 1 KG (SAC)</t>
  </si>
  <si>
    <t xml:space="preserve"> 5 X 2 KG </t>
  </si>
  <si>
    <t>S</t>
  </si>
  <si>
    <t>25x40 ML</t>
  </si>
  <si>
    <t>JAZZ 80 WP</t>
  </si>
  <si>
    <t xml:space="preserve"> 10 X 500 GM </t>
  </si>
  <si>
    <t xml:space="preserve">Shift Bogura- 300ctn from Dhaka </t>
  </si>
  <si>
    <t>KARATE</t>
  </si>
  <si>
    <t xml:space="preserve">50 X 100 ML </t>
  </si>
  <si>
    <t xml:space="preserve"> 4 X 30 X 25 ML </t>
  </si>
  <si>
    <t>Nov-27</t>
  </si>
  <si>
    <t xml:space="preserve">MIRAVIS DUO </t>
  </si>
  <si>
    <t xml:space="preserve">20 X 50 ml </t>
  </si>
  <si>
    <t>RIDOMIL GOLD MZ68 WG</t>
  </si>
  <si>
    <t xml:space="preserve"> 30 X 100 GM </t>
  </si>
  <si>
    <t>RIFIT</t>
  </si>
  <si>
    <t xml:space="preserve">Shift Bogura- 200ctn from Dhaka </t>
  </si>
  <si>
    <t xml:space="preserve">20X100 ML  </t>
  </si>
  <si>
    <t>SCORE</t>
  </si>
  <si>
    <t>20X50 ML</t>
  </si>
  <si>
    <t>Old MRP Dhaka WH.</t>
  </si>
  <si>
    <t>Shift to Bogura - 100 ctn Dhaka - 100ctn from Ctg</t>
  </si>
  <si>
    <t>Shift to Bogura - 50 ctn  from Dhaka</t>
  </si>
  <si>
    <t>THIOVIT 80WG</t>
  </si>
  <si>
    <t>12 X 1 KG</t>
  </si>
  <si>
    <t>6x2 kg</t>
  </si>
  <si>
    <t>TILT 250EC</t>
  </si>
  <si>
    <t>20 X 100 ML</t>
  </si>
  <si>
    <t>VESTORIA 20WG</t>
  </si>
  <si>
    <t xml:space="preserve">25x15 G   </t>
  </si>
  <si>
    <t xml:space="preserve"> 2 0 X 50 ML</t>
  </si>
  <si>
    <t xml:space="preserve"> 3 0 X 50 ML</t>
  </si>
  <si>
    <t>12M Products (Country Seed)</t>
  </si>
  <si>
    <t>Variant</t>
  </si>
  <si>
    <t>Batch</t>
  </si>
  <si>
    <t>Rework Plan</t>
  </si>
  <si>
    <t>FC</t>
  </si>
  <si>
    <t>NK 7884</t>
  </si>
  <si>
    <t>20X1kg</t>
  </si>
  <si>
    <t>Expired</t>
  </si>
  <si>
    <t>VEG</t>
  </si>
  <si>
    <t>Honey Queen</t>
  </si>
  <si>
    <t>10x100 gm</t>
  </si>
  <si>
    <t xml:space="preserve">Dragon </t>
  </si>
  <si>
    <t xml:space="preserve">Bengal King </t>
  </si>
  <si>
    <t>10X100gm</t>
  </si>
  <si>
    <t>CX 18</t>
  </si>
  <si>
    <t>10 x 1Kg</t>
  </si>
  <si>
    <t>Green ball</t>
  </si>
  <si>
    <t>10X10 gm</t>
  </si>
  <si>
    <t xml:space="preserve">Rigel </t>
  </si>
  <si>
    <t>10X5 gm</t>
  </si>
  <si>
    <t>Chomak</t>
  </si>
  <si>
    <t>Little Star</t>
  </si>
  <si>
    <t>Cute</t>
  </si>
  <si>
    <t>NK 6514</t>
  </si>
  <si>
    <t>30X1kg</t>
  </si>
  <si>
    <t>Dragon Super</t>
  </si>
  <si>
    <t>25 x 1Kg</t>
  </si>
  <si>
    <t xml:space="preserve">Sugar Queen </t>
  </si>
  <si>
    <t xml:space="preserve">Daisy </t>
  </si>
  <si>
    <t>10 x 10 gm</t>
  </si>
  <si>
    <t>DHAN-8</t>
  </si>
  <si>
    <t>30X1 kg</t>
  </si>
  <si>
    <t>DHAN-8 (Import)</t>
  </si>
  <si>
    <t xml:space="preserve">Syngenta Hybrid Dhan-8 </t>
  </si>
  <si>
    <t>WIN-207</t>
  </si>
  <si>
    <t>30X1 KG</t>
  </si>
  <si>
    <t>Gourab 10 x 10 gm</t>
  </si>
  <si>
    <t>Elite</t>
  </si>
  <si>
    <t>Green 60</t>
  </si>
  <si>
    <t>Reworked</t>
  </si>
  <si>
    <t>S -1203  Import</t>
  </si>
  <si>
    <t>S -1205 BD</t>
  </si>
  <si>
    <t xml:space="preserve">NK 6848 </t>
  </si>
  <si>
    <t>Ice Ball</t>
  </si>
  <si>
    <t>10x10 gm</t>
  </si>
  <si>
    <t xml:space="preserve">Marlin </t>
  </si>
  <si>
    <t>Nolock</t>
  </si>
  <si>
    <t>Hytom -2</t>
  </si>
  <si>
    <t xml:space="preserve">Summer Green </t>
  </si>
  <si>
    <t>Summer Green</t>
  </si>
  <si>
    <t>Syngenta Hybrid Dhan-8 (30X1kg)</t>
  </si>
  <si>
    <t xml:space="preserve">SunRise </t>
  </si>
  <si>
    <t xml:space="preserve">NK 7804 </t>
  </si>
  <si>
    <t>30 x 1 kg</t>
  </si>
  <si>
    <t>Sun Shine</t>
  </si>
  <si>
    <t>15X2kg</t>
  </si>
  <si>
    <t>Magnet (Bitter Gourd)</t>
  </si>
  <si>
    <t>10 X 10 gm</t>
  </si>
  <si>
    <t xml:space="preserve">Nectar </t>
  </si>
  <si>
    <t xml:space="preserve">TO 3150 </t>
  </si>
  <si>
    <t>NH 7720</t>
  </si>
  <si>
    <t>30X1Kg</t>
  </si>
  <si>
    <t xml:space="preserve">NH 7720 </t>
  </si>
  <si>
    <t>20X1 kg</t>
  </si>
  <si>
    <t>Nice Ball (C-6286)</t>
  </si>
  <si>
    <t>Ononnya 10X5 gm</t>
  </si>
  <si>
    <t xml:space="preserve">Nickel </t>
  </si>
  <si>
    <t xml:space="preserve">NK 40 </t>
  </si>
  <si>
    <t>Bipul Plus</t>
  </si>
  <si>
    <t xml:space="preserve">Indra Gold </t>
  </si>
  <si>
    <t>10X2 gm</t>
  </si>
  <si>
    <t>NK 6702</t>
  </si>
  <si>
    <t xml:space="preserve">Shafal </t>
  </si>
  <si>
    <t xml:space="preserve">Testy </t>
  </si>
  <si>
    <t xml:space="preserve">Green King (BG1137) </t>
  </si>
  <si>
    <t>10X10gm</t>
  </si>
  <si>
    <t>Ononnya 10X10 gm</t>
  </si>
  <si>
    <t xml:space="preserve">TO 3038 </t>
  </si>
  <si>
    <t xml:space="preserve">Early King </t>
  </si>
  <si>
    <t>WIN-902 30 x 1 kg</t>
  </si>
  <si>
    <t>S -1203 BD</t>
  </si>
  <si>
    <t>Rocket</t>
  </si>
  <si>
    <t>Sharosh-2</t>
  </si>
  <si>
    <t xml:space="preserve">Parosh Plus </t>
  </si>
  <si>
    <t>Sujon</t>
  </si>
  <si>
    <t>RED GOLD</t>
  </si>
  <si>
    <t>Shotez</t>
  </si>
  <si>
    <t xml:space="preserve">Nobin </t>
  </si>
  <si>
    <t xml:space="preserve">White Gold (C-1522) </t>
  </si>
  <si>
    <t>Fresh ball</t>
  </si>
  <si>
    <t>Asha</t>
  </si>
  <si>
    <t>10X10 GM</t>
  </si>
  <si>
    <t>Jhumka</t>
  </si>
  <si>
    <t>Barsha Plus</t>
  </si>
  <si>
    <t>10X5 GM</t>
  </si>
  <si>
    <t xml:space="preserve">Tishan </t>
  </si>
  <si>
    <t>Alo</t>
  </si>
  <si>
    <t>WIN-601</t>
  </si>
  <si>
    <t xml:space="preserve">Ivory White </t>
  </si>
  <si>
    <t>Sales return 12 month Products(Country CP)</t>
  </si>
  <si>
    <t>Plenum</t>
  </si>
  <si>
    <t>2x10x100gm</t>
  </si>
  <si>
    <t>Jan-25</t>
  </si>
  <si>
    <t>Feb-25</t>
  </si>
  <si>
    <t>Dec-24</t>
  </si>
  <si>
    <t>2x10x50gm</t>
  </si>
  <si>
    <t xml:space="preserve">4X10X50 G  </t>
  </si>
  <si>
    <t>Score</t>
  </si>
  <si>
    <t>Mar-25</t>
  </si>
  <si>
    <t>Apr-25</t>
  </si>
  <si>
    <t>10x500 ml</t>
  </si>
  <si>
    <t>Shobicorn</t>
  </si>
  <si>
    <t>10X500 ml</t>
  </si>
  <si>
    <t>4x10x50gm</t>
  </si>
  <si>
    <t>Rifit</t>
  </si>
  <si>
    <t>10x500 ML</t>
  </si>
  <si>
    <t>April-25</t>
  </si>
  <si>
    <t>July-25</t>
  </si>
  <si>
    <t>Rifit Plus</t>
  </si>
  <si>
    <t xml:space="preserve">20X250 ML </t>
  </si>
  <si>
    <t>FUSILADE MAX</t>
  </si>
  <si>
    <t>5 X 2 KG</t>
  </si>
  <si>
    <t>Jan - 25</t>
  </si>
  <si>
    <t>10 X 1 KG</t>
  </si>
  <si>
    <t>Feb - 25</t>
  </si>
  <si>
    <t>VIRTAKO</t>
  </si>
  <si>
    <t xml:space="preserve"> 4 X 10 X 10 GM </t>
  </si>
  <si>
    <t>20 X  50 ML</t>
  </si>
  <si>
    <t>APR-25</t>
  </si>
  <si>
    <t>Bounty</t>
  </si>
  <si>
    <t>30X100GM</t>
  </si>
  <si>
    <t>2x10x30 gm</t>
  </si>
  <si>
    <t xml:space="preserve"> 5 X 2 KG</t>
  </si>
  <si>
    <t>Jul-25</t>
  </si>
  <si>
    <t xml:space="preserve"> 10 X 1 KG</t>
  </si>
  <si>
    <t>30 X 100 GM</t>
  </si>
  <si>
    <t>Jun-25</t>
  </si>
  <si>
    <t>20X500 GM</t>
  </si>
  <si>
    <t>GAYLE</t>
  </si>
  <si>
    <t>Sep-24</t>
  </si>
  <si>
    <t>Nov-24</t>
  </si>
  <si>
    <t>Denim fit</t>
  </si>
  <si>
    <t>Wallace</t>
  </si>
  <si>
    <t xml:space="preserve">20X100 ML   </t>
  </si>
  <si>
    <t>Amister top</t>
  </si>
  <si>
    <t xml:space="preserve"> 20X100 M</t>
  </si>
  <si>
    <t>Oct-24</t>
  </si>
  <si>
    <t>Alika</t>
  </si>
  <si>
    <t xml:space="preserve">20X50 ML  </t>
  </si>
  <si>
    <t>Fasal tap</t>
  </si>
  <si>
    <t xml:space="preserve">30X100 G   </t>
  </si>
  <si>
    <t>30X50G</t>
  </si>
  <si>
    <t>Jazz</t>
  </si>
  <si>
    <t xml:space="preserve">10X1 KG      </t>
  </si>
  <si>
    <t xml:space="preserve"> 10X500 G </t>
  </si>
  <si>
    <t xml:space="preserve">30X100 G </t>
  </si>
  <si>
    <t>Magma</t>
  </si>
  <si>
    <t xml:space="preserve"> 10X1 KG   </t>
  </si>
  <si>
    <t xml:space="preserve">5X2 KG  </t>
  </si>
  <si>
    <t>Feb'25</t>
  </si>
  <si>
    <t xml:space="preserve">Caliber </t>
  </si>
  <si>
    <t xml:space="preserve">10X500 G  </t>
  </si>
  <si>
    <t>Cruiser</t>
  </si>
  <si>
    <t xml:space="preserve">2x25X20 G    </t>
  </si>
  <si>
    <t>Calaris</t>
  </si>
  <si>
    <t>20X500 ML</t>
  </si>
  <si>
    <t xml:space="preserve">4X10X10 G  </t>
  </si>
  <si>
    <t>Karate</t>
  </si>
  <si>
    <t xml:space="preserve"> 50X100 ML   </t>
  </si>
  <si>
    <t>Laser</t>
  </si>
  <si>
    <t xml:space="preserve">4x30X25 G    </t>
  </si>
  <si>
    <t>Pagasus</t>
  </si>
  <si>
    <t xml:space="preserve"> 20X100 ML   </t>
  </si>
  <si>
    <t xml:space="preserve">2X10X30 G  </t>
  </si>
  <si>
    <t xml:space="preserve"> 4X10X10 G  </t>
  </si>
  <si>
    <t>Revus</t>
  </si>
  <si>
    <t xml:space="preserve">10X500 ML </t>
  </si>
  <si>
    <t>Old and New MRP stock (Country)</t>
  </si>
  <si>
    <t>Code</t>
  </si>
  <si>
    <t>PRODUCT</t>
  </si>
  <si>
    <t>PACK</t>
  </si>
  <si>
    <t>Plant</t>
  </si>
  <si>
    <t>CTG Central</t>
  </si>
  <si>
    <t>JES</t>
  </si>
  <si>
    <t>Old</t>
  </si>
  <si>
    <t>New</t>
  </si>
  <si>
    <t>10 X 0.5 KG</t>
  </si>
  <si>
    <t>6 X 2 KG</t>
  </si>
  <si>
    <t xml:space="preserve">Protozim </t>
  </si>
  <si>
    <t xml:space="preserve">40X50 ML </t>
  </si>
  <si>
    <t xml:space="preserve">20X100 ML </t>
  </si>
  <si>
    <t>Special Note</t>
  </si>
  <si>
    <t>Chattogram WH(Hamedia)</t>
  </si>
  <si>
    <t>Bogra WH</t>
  </si>
  <si>
    <t>We have 1 carton of Plenum 100ml, which are sales return. It will sale Kahalu Territory.</t>
  </si>
  <si>
    <t>Jashore WH</t>
  </si>
  <si>
    <t>Dhaka WH</t>
  </si>
  <si>
    <t>Month : May- 2025</t>
  </si>
  <si>
    <t>Region</t>
  </si>
  <si>
    <t>Spiallage box</t>
  </si>
  <si>
    <t xml:space="preserve">Net </t>
  </si>
  <si>
    <t>Fire Extinguisher</t>
  </si>
  <si>
    <t>Stock</t>
  </si>
  <si>
    <t>Transit</t>
  </si>
  <si>
    <t>Received</t>
  </si>
  <si>
    <t xml:space="preserve">Dispatched </t>
  </si>
  <si>
    <t xml:space="preserve">Stock </t>
  </si>
  <si>
    <t>Net</t>
  </si>
  <si>
    <t xml:space="preserve">Dhaka </t>
  </si>
  <si>
    <t xml:space="preserve">Bogura </t>
  </si>
  <si>
    <t xml:space="preserve">Jashore </t>
  </si>
  <si>
    <t xml:space="preserve">Hamidia </t>
  </si>
  <si>
    <t xml:space="preserve">Plant </t>
  </si>
  <si>
    <t xml:space="preserve">Received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</si>
</sst>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\-yy;@"/>
    <numFmt numFmtId="165" formatCode="_(* #,##0_);_(* \(#,##0\);_(* &quot;-&quot;??_);_(@_)"/>
    <numFmt numFmtId="166" formatCode="[$-409]mmmm\-yy;@"/>
  </numFmts>
  <fonts count="4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theme="1"/>
      <name val="Times New Roman"/>
      <family val="1"/>
      <charset val="1"/>
    </font>
    <font>
      <sz val="11"/>
      <color rgb="FFFF0000"/>
      <name val="Calibri"/>
      <family val="2"/>
      <scheme val="minor"/>
    </font>
    <font>
      <sz val="10"/>
      <color theme="1" tint="4.9989318521683403E-2"/>
      <name val="Calibri"/>
      <family val="2"/>
    </font>
    <font>
      <sz val="9"/>
      <color rgb="FF000000"/>
      <name val="Arial"/>
      <family val="2"/>
    </font>
    <font>
      <b/>
      <sz val="10"/>
      <color theme="1" tint="4.9989318521683403E-2"/>
      <name val="Calibri"/>
      <family val="2"/>
    </font>
    <font>
      <b/>
      <sz val="10"/>
      <color theme="1"/>
      <name val="Calibri"/>
      <family val="2"/>
    </font>
    <font>
      <sz val="9"/>
      <color rgb="FF2F75B5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name val="Calibri"/>
      <family val="2"/>
    </font>
    <font>
      <b/>
      <sz val="11"/>
      <name val="Arial Narrow"/>
      <family val="2"/>
    </font>
    <font>
      <b/>
      <sz val="12"/>
      <name val="Arial Narrow"/>
      <family val="2"/>
    </font>
    <font>
      <b/>
      <sz val="12"/>
      <color rgb="FFFF0000"/>
      <name val="Arial Narrow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rgb="FF000000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1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name val="Calibri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28" fillId="0" borderId="0" applyFont="0" applyFill="0" applyBorder="0" applyAlignment="0" applyProtection="0"/>
    <xf numFmtId="0" fontId="37" fillId="0" borderId="0"/>
    <xf numFmtId="0" fontId="38" fillId="0" borderId="0"/>
    <xf numFmtId="0" fontId="38" fillId="0" borderId="0"/>
  </cellStyleXfs>
  <cellXfs count="48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1" xfId="0" applyFont="1" applyBorder="1" applyAlignment="1">
      <alignment vertical="center"/>
    </xf>
    <xf numFmtId="0" fontId="0" fillId="0" borderId="0" xfId="0" applyProtection="1">
      <protection hidden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 applyProtection="1">
      <alignment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hidden="1"/>
    </xf>
    <xf numFmtId="0" fontId="12" fillId="0" borderId="0" xfId="0" applyFont="1"/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3" fillId="5" borderId="3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164" fontId="1" fillId="3" borderId="32" xfId="0" quotePrefix="1" applyNumberFormat="1" applyFon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16" fontId="6" fillId="3" borderId="1" xfId="0" quotePrefix="1" applyNumberFormat="1" applyFont="1" applyFill="1" applyBorder="1" applyAlignment="1">
      <alignment horizontal="center" vertical="center"/>
    </xf>
    <xf numFmtId="0" fontId="14" fillId="7" borderId="32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6" xfId="0" applyBorder="1" applyAlignment="1" applyProtection="1">
      <alignment horizontal="center"/>
      <protection locked="0"/>
    </xf>
    <xf numFmtId="0" fontId="0" fillId="3" borderId="40" xfId="0" applyFill="1" applyBorder="1" applyProtection="1">
      <protection locked="0"/>
    </xf>
    <xf numFmtId="164" fontId="1" fillId="3" borderId="41" xfId="0" quotePrefix="1" applyNumberFormat="1" applyFont="1" applyFill="1" applyBorder="1" applyAlignment="1" applyProtection="1">
      <alignment horizontal="center"/>
      <protection locked="0"/>
    </xf>
    <xf numFmtId="0" fontId="0" fillId="3" borderId="28" xfId="0" applyFill="1" applyBorder="1" applyProtection="1">
      <protection locked="0"/>
    </xf>
    <xf numFmtId="164" fontId="1" fillId="3" borderId="32" xfId="0" applyNumberFormat="1" applyFont="1" applyFill="1" applyBorder="1" applyAlignment="1" applyProtection="1">
      <alignment horizontal="center"/>
      <protection locked="0"/>
    </xf>
    <xf numFmtId="0" fontId="0" fillId="3" borderId="37" xfId="0" applyFill="1" applyBorder="1" applyAlignment="1" applyProtection="1">
      <alignment horizontal="center"/>
      <protection locked="0"/>
    </xf>
    <xf numFmtId="0" fontId="0" fillId="0" borderId="40" xfId="0" applyBorder="1" applyAlignment="1" applyProtection="1">
      <alignment horizontal="center"/>
      <protection locked="0"/>
    </xf>
    <xf numFmtId="0" fontId="5" fillId="7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5" fillId="10" borderId="45" xfId="0" applyFont="1" applyFill="1" applyBorder="1" applyAlignment="1">
      <alignment horizontal="center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3" fillId="0" borderId="6" xfId="0" applyFont="1" applyBorder="1" applyAlignment="1">
      <alignment vertical="center"/>
    </xf>
    <xf numFmtId="0" fontId="5" fillId="7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0" borderId="47" xfId="0" applyFont="1" applyBorder="1" applyAlignment="1">
      <alignment vertical="center"/>
    </xf>
    <xf numFmtId="0" fontId="5" fillId="7" borderId="47" xfId="0" applyFont="1" applyFill="1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3" fillId="0" borderId="4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37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0" fillId="0" borderId="46" xfId="0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 vertical="center"/>
    </xf>
    <xf numFmtId="0" fontId="3" fillId="0" borderId="40" xfId="0" applyFont="1" applyBorder="1" applyAlignment="1">
      <alignment vertical="center"/>
    </xf>
    <xf numFmtId="0" fontId="3" fillId="0" borderId="50" xfId="0" applyFont="1" applyBorder="1" applyAlignment="1">
      <alignment vertical="center"/>
    </xf>
    <xf numFmtId="0" fontId="18" fillId="10" borderId="1" xfId="0" applyFont="1" applyFill="1" applyBorder="1" applyAlignment="1">
      <alignment horizontal="center"/>
    </xf>
    <xf numFmtId="0" fontId="19" fillId="10" borderId="45" xfId="0" applyFont="1" applyFill="1" applyBorder="1" applyAlignment="1">
      <alignment horizontal="center"/>
    </xf>
    <xf numFmtId="0" fontId="20" fillId="10" borderId="45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5" borderId="40" xfId="0" applyFont="1" applyFill="1" applyBorder="1" applyAlignment="1">
      <alignment horizontal="center" vertical="center"/>
    </xf>
    <xf numFmtId="0" fontId="3" fillId="0" borderId="45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5" fillId="7" borderId="48" xfId="0" applyFont="1" applyFill="1" applyBorder="1" applyAlignment="1">
      <alignment horizontal="center" vertical="center"/>
    </xf>
    <xf numFmtId="0" fontId="5" fillId="7" borderId="45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6" fillId="3" borderId="42" xfId="0" applyFont="1" applyFill="1" applyBorder="1" applyAlignment="1">
      <alignment horizontal="center" vertical="center"/>
    </xf>
    <xf numFmtId="164" fontId="1" fillId="3" borderId="52" xfId="0" quotePrefix="1" applyNumberFormat="1" applyFont="1" applyFill="1" applyBorder="1" applyAlignment="1" applyProtection="1">
      <alignment horizontal="center"/>
      <protection locked="0"/>
    </xf>
    <xf numFmtId="0" fontId="6" fillId="3" borderId="6" xfId="0" applyFont="1" applyFill="1" applyBorder="1" applyAlignment="1">
      <alignment horizontal="center" vertical="center"/>
    </xf>
    <xf numFmtId="0" fontId="6" fillId="3" borderId="53" xfId="0" applyFont="1" applyFill="1" applyBorder="1" applyAlignment="1">
      <alignment horizontal="center" vertical="center"/>
    </xf>
    <xf numFmtId="0" fontId="15" fillId="10" borderId="45" xfId="0" applyFont="1" applyFill="1" applyBorder="1"/>
    <xf numFmtId="0" fontId="21" fillId="0" borderId="0" xfId="0" applyFont="1"/>
    <xf numFmtId="0" fontId="23" fillId="14" borderId="7" xfId="0" applyFont="1" applyFill="1" applyBorder="1" applyAlignment="1">
      <alignment vertical="center"/>
    </xf>
    <xf numFmtId="0" fontId="23" fillId="14" borderId="11" xfId="0" applyFont="1" applyFill="1" applyBorder="1" applyAlignment="1">
      <alignment vertical="center"/>
    </xf>
    <xf numFmtId="0" fontId="21" fillId="0" borderId="13" xfId="0" applyFont="1" applyBorder="1"/>
    <xf numFmtId="0" fontId="23" fillId="13" borderId="6" xfId="0" applyFont="1" applyFill="1" applyBorder="1" applyAlignment="1">
      <alignment horizontal="center" vertical="center"/>
    </xf>
    <xf numFmtId="0" fontId="23" fillId="13" borderId="6" xfId="0" applyFont="1" applyFill="1" applyBorder="1" applyAlignment="1">
      <alignment horizontal="center" vertical="center" wrapText="1"/>
    </xf>
    <xf numFmtId="0" fontId="23" fillId="13" borderId="18" xfId="0" applyFont="1" applyFill="1" applyBorder="1" applyAlignment="1">
      <alignment horizontal="center" vertical="center" wrapText="1"/>
    </xf>
    <xf numFmtId="0" fontId="21" fillId="15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17" borderId="8" xfId="0" applyFont="1" applyFill="1" applyBorder="1" applyAlignment="1">
      <alignment horizontal="center"/>
    </xf>
    <xf numFmtId="0" fontId="21" fillId="15" borderId="3" xfId="0" applyFont="1" applyFill="1" applyBorder="1" applyAlignment="1">
      <alignment horizontal="center"/>
    </xf>
    <xf numFmtId="0" fontId="21" fillId="16" borderId="3" xfId="0" applyFont="1" applyFill="1" applyBorder="1" applyAlignment="1">
      <alignment horizontal="center"/>
    </xf>
    <xf numFmtId="0" fontId="21" fillId="17" borderId="3" xfId="0" applyFont="1" applyFill="1" applyBorder="1" applyAlignment="1">
      <alignment horizontal="center"/>
    </xf>
    <xf numFmtId="0" fontId="21" fillId="16" borderId="12" xfId="0" applyFont="1" applyFill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3" fillId="13" borderId="17" xfId="0" applyFont="1" applyFill="1" applyBorder="1" applyAlignment="1">
      <alignment horizontal="center" vertical="center" wrapText="1"/>
    </xf>
    <xf numFmtId="0" fontId="21" fillId="16" borderId="7" xfId="0" applyFont="1" applyFill="1" applyBorder="1" applyAlignment="1">
      <alignment horizontal="center"/>
    </xf>
    <xf numFmtId="0" fontId="21" fillId="16" borderId="10" xfId="0" applyFont="1" applyFill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3" fillId="13" borderId="47" xfId="0" applyFont="1" applyFill="1" applyBorder="1" applyAlignment="1">
      <alignment horizontal="center" vertical="center"/>
    </xf>
    <xf numFmtId="0" fontId="21" fillId="17" borderId="45" xfId="0" applyFont="1" applyFill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25" fillId="12" borderId="55" xfId="0" applyFont="1" applyFill="1" applyBorder="1" applyAlignment="1">
      <alignment horizontal="center" vertical="center" wrapText="1"/>
    </xf>
    <xf numFmtId="0" fontId="21" fillId="15" borderId="45" xfId="0" applyFont="1" applyFill="1" applyBorder="1" applyAlignment="1">
      <alignment horizontal="center"/>
    </xf>
    <xf numFmtId="0" fontId="21" fillId="16" borderId="5" xfId="0" applyFont="1" applyFill="1" applyBorder="1" applyAlignment="1">
      <alignment horizontal="center"/>
    </xf>
    <xf numFmtId="0" fontId="21" fillId="15" borderId="40" xfId="0" applyFont="1" applyFill="1" applyBorder="1" applyAlignment="1">
      <alignment horizontal="center"/>
    </xf>
    <xf numFmtId="0" fontId="21" fillId="16" borderId="34" xfId="0" applyFont="1" applyFill="1" applyBorder="1" applyAlignment="1">
      <alignment horizontal="center"/>
    </xf>
    <xf numFmtId="0" fontId="21" fillId="16" borderId="45" xfId="0" applyFont="1" applyFill="1" applyBorder="1" applyAlignment="1">
      <alignment horizontal="center"/>
    </xf>
    <xf numFmtId="0" fontId="21" fillId="17" borderId="9" xfId="0" applyFont="1" applyFill="1" applyBorder="1" applyAlignment="1">
      <alignment horizontal="center"/>
    </xf>
    <xf numFmtId="0" fontId="21" fillId="17" borderId="5" xfId="0" applyFont="1" applyFill="1" applyBorder="1" applyAlignment="1">
      <alignment horizontal="center"/>
    </xf>
    <xf numFmtId="0" fontId="21" fillId="16" borderId="40" xfId="0" applyFont="1" applyFill="1" applyBorder="1" applyAlignment="1">
      <alignment horizontal="center"/>
    </xf>
    <xf numFmtId="0" fontId="21" fillId="16" borderId="9" xfId="0" applyFont="1" applyFill="1" applyBorder="1" applyAlignment="1">
      <alignment horizontal="center"/>
    </xf>
    <xf numFmtId="0" fontId="21" fillId="0" borderId="63" xfId="0" applyFont="1" applyBorder="1" applyAlignment="1">
      <alignment horizontal="center"/>
    </xf>
    <xf numFmtId="0" fontId="21" fillId="0" borderId="64" xfId="0" applyFont="1" applyBorder="1" applyAlignment="1">
      <alignment horizontal="center"/>
    </xf>
    <xf numFmtId="0" fontId="21" fillId="0" borderId="60" xfId="0" applyFont="1" applyBorder="1" applyAlignment="1">
      <alignment horizontal="center"/>
    </xf>
    <xf numFmtId="0" fontId="0" fillId="0" borderId="3" xfId="0" applyBorder="1"/>
    <xf numFmtId="0" fontId="3" fillId="11" borderId="3" xfId="0" applyFont="1" applyFill="1" applyBorder="1" applyAlignment="1">
      <alignment horizontal="left" vertical="center" indent="1"/>
    </xf>
    <xf numFmtId="0" fontId="3" fillId="11" borderId="3" xfId="0" applyFont="1" applyFill="1" applyBorder="1" applyAlignment="1">
      <alignment vertical="center"/>
    </xf>
    <xf numFmtId="0" fontId="3" fillId="11" borderId="3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164" fontId="0" fillId="11" borderId="3" xfId="0" quotePrefix="1" applyNumberFormat="1" applyFill="1" applyBorder="1" applyAlignment="1" applyProtection="1">
      <alignment horizontal="center"/>
      <protection locked="0"/>
    </xf>
    <xf numFmtId="0" fontId="0" fillId="11" borderId="3" xfId="0" applyFill="1" applyBorder="1" applyAlignment="1" applyProtection="1">
      <alignment horizontal="center"/>
      <protection locked="0"/>
    </xf>
    <xf numFmtId="164" fontId="0" fillId="11" borderId="3" xfId="0" applyNumberFormat="1" applyFill="1" applyBorder="1" applyAlignment="1" applyProtection="1">
      <alignment horizontal="center"/>
      <protection locked="0"/>
    </xf>
    <xf numFmtId="0" fontId="4" fillId="11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 applyProtection="1">
      <alignment vertical="center"/>
      <protection locked="0"/>
    </xf>
    <xf numFmtId="0" fontId="4" fillId="2" borderId="65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 applyProtection="1">
      <alignment vertical="center"/>
      <protection locked="0"/>
    </xf>
    <xf numFmtId="0" fontId="0" fillId="0" borderId="30" xfId="0" applyBorder="1"/>
    <xf numFmtId="0" fontId="0" fillId="0" borderId="61" xfId="0" applyBorder="1"/>
    <xf numFmtId="0" fontId="6" fillId="0" borderId="1" xfId="0" applyFont="1" applyBorder="1" applyAlignment="1">
      <alignment horizontal="center" vertical="center"/>
    </xf>
    <xf numFmtId="164" fontId="1" fillId="0" borderId="41" xfId="0" quotePrefix="1" applyNumberFormat="1" applyFont="1" applyBorder="1" applyAlignment="1" applyProtection="1">
      <alignment horizontal="center"/>
      <protection locked="0"/>
    </xf>
    <xf numFmtId="0" fontId="3" fillId="0" borderId="59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/>
    </xf>
    <xf numFmtId="164" fontId="1" fillId="0" borderId="59" xfId="0" quotePrefix="1" applyNumberFormat="1" applyFont="1" applyBorder="1" applyAlignment="1" applyProtection="1">
      <alignment horizont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0" fillId="11" borderId="1" xfId="0" applyFill="1" applyBorder="1" applyAlignment="1" applyProtection="1">
      <alignment horizontal="center"/>
      <protection locked="0"/>
    </xf>
    <xf numFmtId="0" fontId="10" fillId="0" borderId="41" xfId="0" applyFont="1" applyBorder="1" applyAlignment="1">
      <alignment horizontal="center"/>
    </xf>
    <xf numFmtId="0" fontId="3" fillId="0" borderId="22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3" fillId="8" borderId="32" xfId="0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/>
    </xf>
    <xf numFmtId="0" fontId="15" fillId="10" borderId="51" xfId="0" applyFont="1" applyFill="1" applyBorder="1" applyAlignment="1">
      <alignment horizontal="center"/>
    </xf>
    <xf numFmtId="0" fontId="17" fillId="7" borderId="32" xfId="0" applyFont="1" applyFill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/>
    </xf>
    <xf numFmtId="0" fontId="15" fillId="10" borderId="47" xfId="0" applyFont="1" applyFill="1" applyBorder="1" applyAlignment="1">
      <alignment horizontal="center"/>
    </xf>
    <xf numFmtId="0" fontId="15" fillId="10" borderId="6" xfId="0" applyFont="1" applyFill="1" applyBorder="1" applyAlignment="1">
      <alignment horizontal="center"/>
    </xf>
    <xf numFmtId="0" fontId="3" fillId="4" borderId="3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1" fillId="0" borderId="0" xfId="0" applyFont="1" applyProtection="1">
      <protection locked="0"/>
    </xf>
    <xf numFmtId="0" fontId="24" fillId="11" borderId="22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5" fillId="12" borderId="68" xfId="0" applyFont="1" applyFill="1" applyBorder="1" applyAlignment="1">
      <alignment horizontal="center" vertical="center" wrapText="1"/>
    </xf>
    <xf numFmtId="0" fontId="25" fillId="12" borderId="57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5" fillId="12" borderId="44" xfId="0" applyFont="1" applyFill="1" applyBorder="1" applyAlignment="1">
      <alignment vertical="center" wrapText="1"/>
    </xf>
    <xf numFmtId="0" fontId="25" fillId="12" borderId="0" xfId="0" applyFont="1" applyFill="1" applyAlignment="1">
      <alignment vertical="center" wrapText="1"/>
    </xf>
    <xf numFmtId="0" fontId="25" fillId="12" borderId="28" xfId="0" applyFont="1" applyFill="1" applyBorder="1" applyAlignment="1">
      <alignment vertical="center" wrapText="1"/>
    </xf>
    <xf numFmtId="0" fontId="25" fillId="12" borderId="58" xfId="0" applyFont="1" applyFill="1" applyBorder="1" applyAlignment="1">
      <alignment vertical="center" wrapText="1"/>
    </xf>
    <xf numFmtId="0" fontId="25" fillId="20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165" fontId="32" fillId="0" borderId="1" xfId="1" applyNumberFormat="1" applyFont="1" applyBorder="1" applyAlignment="1">
      <alignment vertical="center" wrapText="1"/>
    </xf>
    <xf numFmtId="165" fontId="32" fillId="23" borderId="1" xfId="1" applyNumberFormat="1" applyFont="1" applyFill="1" applyBorder="1" applyAlignment="1">
      <alignment horizontal="center" wrapText="1"/>
    </xf>
    <xf numFmtId="165" fontId="32" fillId="23" borderId="1" xfId="1" applyNumberFormat="1" applyFont="1" applyFill="1" applyBorder="1" applyAlignment="1">
      <alignment horizontal="center" vertical="center" wrapText="1"/>
    </xf>
    <xf numFmtId="165" fontId="32" fillId="23" borderId="1" xfId="1" applyNumberFormat="1" applyFont="1" applyFill="1" applyBorder="1" applyAlignment="1">
      <alignment horizontal="center"/>
    </xf>
    <xf numFmtId="165" fontId="31" fillId="21" borderId="67" xfId="0" applyNumberFormat="1" applyFont="1" applyFill="1" applyBorder="1" applyAlignment="1">
      <alignment horizontal="center" vertical="center" wrapText="1"/>
    </xf>
    <xf numFmtId="165" fontId="33" fillId="24" borderId="1" xfId="1" applyNumberFormat="1" applyFont="1" applyFill="1" applyBorder="1" applyAlignment="1">
      <alignment vertical="center" wrapText="1"/>
    </xf>
    <xf numFmtId="43" fontId="32" fillId="0" borderId="1" xfId="1" applyFont="1" applyBorder="1" applyAlignment="1">
      <alignment vertical="center" wrapText="1"/>
    </xf>
    <xf numFmtId="43" fontId="32" fillId="23" borderId="1" xfId="1" applyFont="1" applyFill="1" applyBorder="1" applyAlignment="1">
      <alignment horizontal="center" wrapText="1"/>
    </xf>
    <xf numFmtId="43" fontId="32" fillId="23" borderId="1" xfId="1" applyFont="1" applyFill="1" applyBorder="1" applyAlignment="1">
      <alignment horizontal="center" vertical="center" wrapText="1"/>
    </xf>
    <xf numFmtId="0" fontId="25" fillId="12" borderId="3" xfId="0" applyFont="1" applyFill="1" applyBorder="1" applyAlignment="1">
      <alignment horizontal="center" vertical="center" wrapText="1"/>
    </xf>
    <xf numFmtId="0" fontId="25" fillId="12" borderId="54" xfId="0" applyFont="1" applyFill="1" applyBorder="1" applyAlignment="1">
      <alignment horizontal="center" vertical="center" wrapText="1"/>
    </xf>
    <xf numFmtId="0" fontId="25" fillId="12" borderId="53" xfId="0" applyFont="1" applyFill="1" applyBorder="1" applyAlignment="1">
      <alignment horizontal="center" vertical="center" wrapText="1"/>
    </xf>
    <xf numFmtId="0" fontId="25" fillId="12" borderId="45" xfId="0" applyFont="1" applyFill="1" applyBorder="1" applyAlignment="1">
      <alignment vertical="center" wrapText="1"/>
    </xf>
    <xf numFmtId="0" fontId="25" fillId="20" borderId="2" xfId="0" applyFont="1" applyFill="1" applyBorder="1" applyAlignment="1">
      <alignment horizontal="center" vertical="center" wrapText="1"/>
    </xf>
    <xf numFmtId="0" fontId="25" fillId="20" borderId="3" xfId="0" applyFont="1" applyFill="1" applyBorder="1" applyAlignment="1">
      <alignment horizontal="center" vertical="center" wrapText="1"/>
    </xf>
    <xf numFmtId="165" fontId="32" fillId="0" borderId="3" xfId="1" applyNumberFormat="1" applyFont="1" applyBorder="1" applyAlignment="1">
      <alignment vertical="center" wrapText="1"/>
    </xf>
    <xf numFmtId="165" fontId="34" fillId="23" borderId="1" xfId="1" applyNumberFormat="1" applyFont="1" applyFill="1" applyBorder="1" applyAlignment="1">
      <alignment horizontal="center"/>
    </xf>
    <xf numFmtId="0" fontId="2" fillId="9" borderId="1" xfId="0" applyFont="1" applyFill="1" applyBorder="1"/>
    <xf numFmtId="0" fontId="2" fillId="0" borderId="1" xfId="0" applyFont="1" applyBorder="1" applyAlignment="1">
      <alignment horizontal="center"/>
    </xf>
    <xf numFmtId="0" fontId="4" fillId="2" borderId="20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1" fillId="0" borderId="1" xfId="0" applyNumberFormat="1" applyFont="1" applyBorder="1" applyAlignment="1" applyProtection="1">
      <alignment horizontal="center"/>
      <protection locked="0"/>
    </xf>
    <xf numFmtId="0" fontId="4" fillId="0" borderId="0" xfId="0" applyFont="1"/>
    <xf numFmtId="0" fontId="1" fillId="0" borderId="0" xfId="0" applyFont="1" applyProtection="1">
      <protection hidden="1"/>
    </xf>
    <xf numFmtId="165" fontId="24" fillId="11" borderId="1" xfId="1" applyNumberFormat="1" applyFont="1" applyFill="1" applyBorder="1"/>
    <xf numFmtId="165" fontId="24" fillId="0" borderId="1" xfId="1" applyNumberFormat="1" applyFont="1" applyFill="1" applyBorder="1"/>
    <xf numFmtId="0" fontId="0" fillId="0" borderId="1" xfId="0" applyBorder="1"/>
    <xf numFmtId="165" fontId="29" fillId="0" borderId="1" xfId="1" applyNumberFormat="1" applyFont="1" applyFill="1" applyBorder="1"/>
    <xf numFmtId="164" fontId="1" fillId="0" borderId="32" xfId="0" applyNumberFormat="1" applyFont="1" applyBorder="1" applyAlignment="1" applyProtection="1">
      <alignment horizontal="center"/>
      <protection locked="0"/>
    </xf>
    <xf numFmtId="165" fontId="0" fillId="0" borderId="0" xfId="1" applyNumberFormat="1" applyFont="1" applyProtection="1">
      <protection locked="0"/>
    </xf>
    <xf numFmtId="165" fontId="4" fillId="2" borderId="20" xfId="1" applyNumberFormat="1" applyFont="1" applyFill="1" applyBorder="1" applyAlignment="1">
      <alignment horizontal="center" vertical="center" wrapText="1"/>
    </xf>
    <xf numFmtId="165" fontId="6" fillId="3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vertical="center"/>
      <protection locked="0"/>
    </xf>
    <xf numFmtId="0" fontId="42" fillId="5" borderId="1" xfId="0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/>
      <protection locked="0"/>
    </xf>
    <xf numFmtId="0" fontId="1" fillId="0" borderId="0" xfId="0" applyFont="1"/>
    <xf numFmtId="0" fontId="8" fillId="3" borderId="0" xfId="0" applyFont="1" applyFill="1" applyAlignment="1" applyProtection="1">
      <alignment horizontal="center" vertical="center"/>
      <protection hidden="1"/>
    </xf>
    <xf numFmtId="0" fontId="44" fillId="5" borderId="1" xfId="0" applyFont="1" applyFill="1" applyBorder="1" applyAlignment="1">
      <alignment horizontal="center" vertical="center"/>
    </xf>
    <xf numFmtId="0" fontId="1" fillId="3" borderId="37" xfId="0" applyFont="1" applyFill="1" applyBorder="1" applyProtection="1">
      <protection locked="0"/>
    </xf>
    <xf numFmtId="0" fontId="1" fillId="3" borderId="37" xfId="0" applyFont="1" applyFill="1" applyBorder="1" applyAlignment="1" applyProtection="1">
      <alignment horizontal="center"/>
      <protection locked="0"/>
    </xf>
    <xf numFmtId="0" fontId="30" fillId="3" borderId="37" xfId="0" applyFont="1" applyFill="1" applyBorder="1" applyAlignment="1" applyProtection="1">
      <alignment horizontal="center"/>
      <protection locked="0"/>
    </xf>
    <xf numFmtId="1" fontId="1" fillId="3" borderId="37" xfId="0" applyNumberFormat="1" applyFont="1" applyFill="1" applyBorder="1" applyAlignment="1" applyProtection="1">
      <alignment horizontal="center"/>
      <protection locked="0"/>
    </xf>
    <xf numFmtId="0" fontId="0" fillId="0" borderId="37" xfId="0" applyBorder="1" applyProtection="1">
      <protection locked="0"/>
    </xf>
    <xf numFmtId="0" fontId="0" fillId="3" borderId="37" xfId="0" applyFill="1" applyBorder="1" applyProtection="1">
      <protection locked="0"/>
    </xf>
    <xf numFmtId="0" fontId="1" fillId="3" borderId="52" xfId="0" applyFont="1" applyFill="1" applyBorder="1" applyProtection="1">
      <protection locked="0"/>
    </xf>
    <xf numFmtId="0" fontId="1" fillId="3" borderId="71" xfId="0" applyFont="1" applyFill="1" applyBorder="1" applyProtection="1">
      <protection locked="0"/>
    </xf>
    <xf numFmtId="0" fontId="13" fillId="11" borderId="1" xfId="0" applyFont="1" applyFill="1" applyBorder="1" applyAlignment="1" applyProtection="1">
      <alignment horizontal="center"/>
      <protection locked="0"/>
    </xf>
    <xf numFmtId="165" fontId="41" fillId="0" borderId="0" xfId="1" applyNumberFormat="1" applyFont="1" applyProtection="1">
      <protection hidden="1"/>
    </xf>
    <xf numFmtId="165" fontId="42" fillId="2" borderId="1" xfId="1" applyNumberFormat="1" applyFont="1" applyFill="1" applyBorder="1" applyAlignment="1">
      <alignment horizontal="center" vertical="center" wrapText="1"/>
    </xf>
    <xf numFmtId="165" fontId="42" fillId="5" borderId="1" xfId="1" applyNumberFormat="1" applyFont="1" applyFill="1" applyBorder="1" applyAlignment="1">
      <alignment horizontal="center" vertical="center"/>
    </xf>
    <xf numFmtId="165" fontId="41" fillId="0" borderId="0" xfId="1" applyNumberFormat="1" applyFont="1"/>
    <xf numFmtId="0" fontId="0" fillId="11" borderId="0" xfId="0" applyFill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1" fillId="27" borderId="0" xfId="0" applyFont="1" applyFill="1" applyAlignment="1" applyProtection="1">
      <alignment vertical="center"/>
      <protection locked="0"/>
    </xf>
    <xf numFmtId="0" fontId="29" fillId="0" borderId="1" xfId="0" applyFont="1" applyBorder="1" applyAlignment="1">
      <alignment horizontal="left"/>
    </xf>
    <xf numFmtId="0" fontId="40" fillId="25" borderId="37" xfId="0" applyFont="1" applyFill="1" applyBorder="1"/>
    <xf numFmtId="165" fontId="40" fillId="25" borderId="37" xfId="1" applyNumberFormat="1" applyFont="1" applyFill="1" applyBorder="1" applyAlignment="1">
      <alignment horizontal="right"/>
    </xf>
    <xf numFmtId="0" fontId="40" fillId="25" borderId="40" xfId="0" applyFont="1" applyFill="1" applyBorder="1" applyAlignment="1">
      <alignment horizontal="right"/>
    </xf>
    <xf numFmtId="166" fontId="36" fillId="11" borderId="1" xfId="0" applyNumberFormat="1" applyFont="1" applyFill="1" applyBorder="1" applyAlignment="1">
      <alignment horizontal="right"/>
    </xf>
    <xf numFmtId="165" fontId="2" fillId="0" borderId="0" xfId="1" applyNumberFormat="1" applyFont="1"/>
    <xf numFmtId="0" fontId="2" fillId="0" borderId="0" xfId="0" applyFont="1" applyAlignment="1">
      <alignment horizontal="right"/>
    </xf>
    <xf numFmtId="0" fontId="0" fillId="0" borderId="0" xfId="0" applyAlignment="1" applyProtection="1">
      <alignment horizontal="right"/>
      <protection locked="0"/>
    </xf>
    <xf numFmtId="0" fontId="4" fillId="10" borderId="1" xfId="0" applyFont="1" applyFill="1" applyBorder="1" applyAlignment="1">
      <alignment horizontal="left"/>
    </xf>
    <xf numFmtId="165" fontId="29" fillId="0" borderId="1" xfId="1" applyNumberFormat="1" applyFont="1" applyBorder="1"/>
    <xf numFmtId="0" fontId="15" fillId="10" borderId="22" xfId="0" applyFont="1" applyFill="1" applyBorder="1" applyAlignment="1">
      <alignment horizontal="center" vertical="center"/>
    </xf>
    <xf numFmtId="0" fontId="30" fillId="3" borderId="31" xfId="0" applyFont="1" applyFill="1" applyBorder="1" applyProtection="1">
      <protection locked="0"/>
    </xf>
    <xf numFmtId="0" fontId="15" fillId="10" borderId="11" xfId="0" applyFont="1" applyFill="1" applyBorder="1" applyAlignment="1">
      <alignment horizontal="center" vertical="center"/>
    </xf>
    <xf numFmtId="0" fontId="30" fillId="3" borderId="6" xfId="0" applyFont="1" applyFill="1" applyBorder="1" applyProtection="1">
      <protection locked="0"/>
    </xf>
    <xf numFmtId="0" fontId="30" fillId="0" borderId="32" xfId="0" applyFont="1" applyBorder="1" applyAlignment="1" applyProtection="1">
      <alignment horizontal="center"/>
      <protection locked="0"/>
    </xf>
    <xf numFmtId="165" fontId="30" fillId="3" borderId="32" xfId="1" applyNumberFormat="1" applyFont="1" applyFill="1" applyBorder="1" applyAlignment="1" applyProtection="1">
      <alignment horizontal="center"/>
      <protection locked="0"/>
    </xf>
    <xf numFmtId="165" fontId="24" fillId="11" borderId="37" xfId="1" applyNumberFormat="1" applyFont="1" applyFill="1" applyBorder="1"/>
    <xf numFmtId="0" fontId="4" fillId="0" borderId="2" xfId="0" applyFont="1" applyBorder="1"/>
    <xf numFmtId="165" fontId="6" fillId="4" borderId="32" xfId="1" applyNumberFormat="1" applyFont="1" applyFill="1" applyBorder="1" applyAlignment="1">
      <alignment horizontal="center" vertical="center"/>
    </xf>
    <xf numFmtId="165" fontId="6" fillId="4" borderId="1" xfId="1" applyNumberFormat="1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165" fontId="3" fillId="29" borderId="32" xfId="1" applyNumberFormat="1" applyFont="1" applyFill="1" applyBorder="1" applyAlignment="1">
      <alignment horizontal="center" vertical="center"/>
    </xf>
    <xf numFmtId="165" fontId="3" fillId="29" borderId="1" xfId="1" applyNumberFormat="1" applyFont="1" applyFill="1" applyBorder="1" applyAlignment="1">
      <alignment horizontal="center" vertical="center"/>
    </xf>
    <xf numFmtId="0" fontId="6" fillId="28" borderId="32" xfId="0" applyFont="1" applyFill="1" applyBorder="1" applyAlignment="1">
      <alignment horizontal="center" vertical="center"/>
    </xf>
    <xf numFmtId="165" fontId="3" fillId="29" borderId="0" xfId="1" applyNumberFormat="1" applyFont="1" applyFill="1" applyBorder="1" applyAlignment="1">
      <alignment horizontal="center" vertical="center"/>
    </xf>
    <xf numFmtId="165" fontId="6" fillId="3" borderId="32" xfId="1" applyNumberFormat="1" applyFont="1" applyFill="1" applyBorder="1" applyAlignment="1">
      <alignment horizontal="center" vertical="center"/>
    </xf>
    <xf numFmtId="0" fontId="30" fillId="3" borderId="54" xfId="0" applyFont="1" applyFill="1" applyBorder="1" applyProtection="1">
      <protection locked="0"/>
    </xf>
    <xf numFmtId="0" fontId="0" fillId="0" borderId="1" xfId="0" applyBorder="1" applyProtection="1">
      <protection locked="0"/>
    </xf>
    <xf numFmtId="166" fontId="36" fillId="11" borderId="3" xfId="0" applyNumberFormat="1" applyFont="1" applyFill="1" applyBorder="1"/>
    <xf numFmtId="166" fontId="4" fillId="11" borderId="1" xfId="0" applyNumberFormat="1" applyFont="1" applyFill="1" applyBorder="1"/>
    <xf numFmtId="166" fontId="4" fillId="11" borderId="3" xfId="0" applyNumberFormat="1" applyFont="1" applyFill="1" applyBorder="1"/>
    <xf numFmtId="166" fontId="2" fillId="0" borderId="0" xfId="0" applyNumberFormat="1" applyFont="1"/>
    <xf numFmtId="166" fontId="40" fillId="25" borderId="40" xfId="0" applyNumberFormat="1" applyFont="1" applyFill="1" applyBorder="1" applyAlignment="1">
      <alignment horizontal="right"/>
    </xf>
    <xf numFmtId="166" fontId="0" fillId="0" borderId="0" xfId="0" applyNumberFormat="1" applyProtection="1">
      <protection locked="0"/>
    </xf>
    <xf numFmtId="0" fontId="4" fillId="11" borderId="2" xfId="0" applyFont="1" applyFill="1" applyBorder="1"/>
    <xf numFmtId="164" fontId="1" fillId="0" borderId="32" xfId="0" quotePrefix="1" applyNumberFormat="1" applyFont="1" applyBorder="1" applyAlignment="1" applyProtection="1">
      <alignment horizontal="center"/>
      <protection locked="0"/>
    </xf>
    <xf numFmtId="0" fontId="39" fillId="11" borderId="28" xfId="0" applyFont="1" applyFill="1" applyBorder="1" applyAlignment="1">
      <alignment horizontal="left"/>
    </xf>
    <xf numFmtId="0" fontId="29" fillId="11" borderId="28" xfId="0" applyFont="1" applyFill="1" applyBorder="1" applyAlignment="1">
      <alignment horizontal="left"/>
    </xf>
    <xf numFmtId="0" fontId="39" fillId="11" borderId="45" xfId="0" applyFont="1" applyFill="1" applyBorder="1" applyAlignment="1">
      <alignment horizontal="left"/>
    </xf>
    <xf numFmtId="165" fontId="6" fillId="4" borderId="6" xfId="1" applyNumberFormat="1" applyFont="1" applyFill="1" applyBorder="1" applyAlignment="1">
      <alignment horizontal="center" vertical="center"/>
    </xf>
    <xf numFmtId="164" fontId="1" fillId="30" borderId="32" xfId="0" quotePrefix="1" applyNumberFormat="1" applyFont="1" applyFill="1" applyBorder="1" applyAlignment="1" applyProtection="1">
      <alignment horizontal="center"/>
      <protection locked="0"/>
    </xf>
    <xf numFmtId="165" fontId="3" fillId="29" borderId="71" xfId="1" applyNumberFormat="1" applyFont="1" applyFill="1" applyBorder="1" applyAlignment="1">
      <alignment horizontal="center" vertical="center"/>
    </xf>
    <xf numFmtId="165" fontId="3" fillId="29" borderId="5" xfId="1" applyNumberFormat="1" applyFont="1" applyFill="1" applyBorder="1" applyAlignment="1">
      <alignment horizontal="center" vertical="center"/>
    </xf>
    <xf numFmtId="166" fontId="36" fillId="11" borderId="1" xfId="0" applyNumberFormat="1" applyFont="1" applyFill="1" applyBorder="1"/>
    <xf numFmtId="0" fontId="29" fillId="11" borderId="1" xfId="0" applyFont="1" applyFill="1" applyBorder="1" applyAlignment="1">
      <alignment horizontal="left"/>
    </xf>
    <xf numFmtId="165" fontId="24" fillId="11" borderId="1" xfId="1" applyNumberFormat="1" applyFont="1" applyFill="1" applyBorder="1" applyAlignment="1">
      <alignment horizontal="right"/>
    </xf>
    <xf numFmtId="0" fontId="39" fillId="11" borderId="41" xfId="0" applyFont="1" applyFill="1" applyBorder="1" applyAlignment="1">
      <alignment horizontal="left"/>
    </xf>
    <xf numFmtId="0" fontId="3" fillId="26" borderId="28" xfId="0" applyFont="1" applyFill="1" applyBorder="1" applyAlignment="1">
      <alignment horizontal="center" vertical="center"/>
    </xf>
    <xf numFmtId="0" fontId="3" fillId="26" borderId="32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39" fillId="11" borderId="22" xfId="0" applyFont="1" applyFill="1" applyBorder="1" applyAlignment="1">
      <alignment horizontal="left"/>
    </xf>
    <xf numFmtId="165" fontId="3" fillId="11" borderId="1" xfId="1" applyNumberFormat="1" applyFont="1" applyFill="1" applyBorder="1"/>
    <xf numFmtId="165" fontId="24" fillId="0" borderId="37" xfId="1" applyNumberFormat="1" applyFont="1" applyFill="1" applyBorder="1"/>
    <xf numFmtId="0" fontId="39" fillId="11" borderId="42" xfId="0" applyFont="1" applyFill="1" applyBorder="1" applyAlignment="1">
      <alignment horizontal="left"/>
    </xf>
    <xf numFmtId="0" fontId="4" fillId="11" borderId="1" xfId="0" applyFont="1" applyFill="1" applyBorder="1"/>
    <xf numFmtId="0" fontId="29" fillId="11" borderId="42" xfId="0" applyFont="1" applyFill="1" applyBorder="1" applyAlignment="1">
      <alignment horizontal="left"/>
    </xf>
    <xf numFmtId="43" fontId="4" fillId="0" borderId="0" xfId="1" applyFont="1" applyAlignment="1">
      <alignment horizontal="center" vertical="center"/>
    </xf>
    <xf numFmtId="43" fontId="1" fillId="0" borderId="0" xfId="1" applyFont="1" applyAlignment="1" applyProtection="1">
      <alignment horizontal="center" vertical="center"/>
      <protection hidden="1"/>
    </xf>
    <xf numFmtId="165" fontId="29" fillId="26" borderId="1" xfId="1" applyNumberFormat="1" applyFont="1" applyFill="1" applyBorder="1" applyAlignment="1">
      <alignment horizontal="center" vertical="center"/>
    </xf>
    <xf numFmtId="165" fontId="29" fillId="26" borderId="1" xfId="1" applyNumberFormat="1" applyFont="1" applyFill="1" applyBorder="1" applyAlignment="1">
      <alignment horizontal="right" vertical="center"/>
    </xf>
    <xf numFmtId="165" fontId="11" fillId="26" borderId="1" xfId="1" applyNumberFormat="1" applyFont="1" applyFill="1" applyBorder="1" applyAlignment="1">
      <alignment horizontal="center" vertical="center"/>
    </xf>
    <xf numFmtId="165" fontId="29" fillId="26" borderId="54" xfId="1" applyNumberFormat="1" applyFont="1" applyFill="1" applyBorder="1" applyAlignment="1">
      <alignment horizontal="center" vertical="center"/>
    </xf>
    <xf numFmtId="165" fontId="29" fillId="26" borderId="3" xfId="1" applyNumberFormat="1" applyFont="1" applyFill="1" applyBorder="1" applyAlignment="1">
      <alignment horizontal="center" vertical="center"/>
    </xf>
    <xf numFmtId="165" fontId="29" fillId="26" borderId="53" xfId="1" applyNumberFormat="1" applyFont="1" applyFill="1" applyBorder="1" applyAlignment="1">
      <alignment horizontal="center" vertical="center"/>
    </xf>
    <xf numFmtId="165" fontId="29" fillId="26" borderId="37" xfId="1" applyNumberFormat="1" applyFont="1" applyFill="1" applyBorder="1" applyAlignment="1">
      <alignment horizontal="center" vertical="center"/>
    </xf>
    <xf numFmtId="165" fontId="29" fillId="0" borderId="37" xfId="1" applyNumberFormat="1" applyFont="1" applyBorder="1"/>
    <xf numFmtId="166" fontId="36" fillId="11" borderId="32" xfId="0" applyNumberFormat="1" applyFont="1" applyFill="1" applyBorder="1"/>
    <xf numFmtId="165" fontId="29" fillId="24" borderId="37" xfId="0" applyNumberFormat="1" applyFont="1" applyFill="1" applyBorder="1" applyAlignment="1">
      <alignment horizontal="right"/>
    </xf>
    <xf numFmtId="165" fontId="29" fillId="11" borderId="37" xfId="1" applyNumberFormat="1" applyFont="1" applyFill="1" applyBorder="1" applyAlignment="1">
      <alignment horizontal="right"/>
    </xf>
    <xf numFmtId="166" fontId="36" fillId="11" borderId="37" xfId="0" applyNumberFormat="1" applyFont="1" applyFill="1" applyBorder="1" applyAlignment="1">
      <alignment horizontal="right"/>
    </xf>
    <xf numFmtId="0" fontId="36" fillId="11" borderId="37" xfId="0" applyFont="1" applyFill="1" applyBorder="1" applyAlignment="1">
      <alignment horizontal="right"/>
    </xf>
    <xf numFmtId="0" fontId="2" fillId="0" borderId="42" xfId="0" applyFont="1" applyBorder="1"/>
    <xf numFmtId="0" fontId="1" fillId="22" borderId="73" xfId="0" applyFont="1" applyFill="1" applyBorder="1" applyAlignment="1" applyProtection="1">
      <alignment horizontal="center" vertical="center"/>
      <protection hidden="1"/>
    </xf>
    <xf numFmtId="0" fontId="1" fillId="22" borderId="74" xfId="0" applyFont="1" applyFill="1" applyBorder="1" applyAlignment="1" applyProtection="1">
      <alignment horizontal="center" vertical="center"/>
      <protection hidden="1"/>
    </xf>
    <xf numFmtId="43" fontId="1" fillId="22" borderId="74" xfId="1" applyFont="1" applyFill="1" applyBorder="1" applyAlignment="1" applyProtection="1">
      <alignment horizontal="center" vertical="center"/>
      <protection hidden="1"/>
    </xf>
    <xf numFmtId="0" fontId="1" fillId="22" borderId="74" xfId="0" applyFont="1" applyFill="1" applyBorder="1" applyAlignment="1" applyProtection="1">
      <alignment horizontal="center" vertical="center"/>
      <protection locked="0"/>
    </xf>
    <xf numFmtId="0" fontId="1" fillId="22" borderId="74" xfId="0" applyFont="1" applyFill="1" applyBorder="1" applyAlignment="1" applyProtection="1">
      <alignment horizontal="center" vertical="center" wrapText="1"/>
      <protection locked="0"/>
    </xf>
    <xf numFmtId="165" fontId="1" fillId="22" borderId="74" xfId="1" applyNumberFormat="1" applyFont="1" applyFill="1" applyBorder="1" applyAlignment="1" applyProtection="1">
      <alignment horizontal="center" vertical="center"/>
      <protection locked="0"/>
    </xf>
    <xf numFmtId="166" fontId="1" fillId="22" borderId="74" xfId="0" applyNumberFormat="1" applyFont="1" applyFill="1" applyBorder="1" applyAlignment="1" applyProtection="1">
      <alignment horizontal="center" vertical="center" wrapText="1"/>
      <protection locked="0"/>
    </xf>
    <xf numFmtId="0" fontId="1" fillId="22" borderId="74" xfId="0" applyFont="1" applyFill="1" applyBorder="1" applyAlignment="1" applyProtection="1">
      <alignment horizontal="right" vertical="center"/>
      <protection locked="0"/>
    </xf>
    <xf numFmtId="0" fontId="1" fillId="22" borderId="75" xfId="0" applyFont="1" applyFill="1" applyBorder="1" applyAlignment="1" applyProtection="1">
      <alignment horizontal="center" vertical="center"/>
      <protection locked="0"/>
    </xf>
    <xf numFmtId="0" fontId="29" fillId="0" borderId="2" xfId="0" applyFont="1" applyBorder="1" applyAlignment="1">
      <alignment horizontal="left"/>
    </xf>
    <xf numFmtId="0" fontId="29" fillId="0" borderId="72" xfId="0" applyFont="1" applyBorder="1" applyAlignment="1">
      <alignment horizontal="left"/>
    </xf>
    <xf numFmtId="0" fontId="24" fillId="11" borderId="31" xfId="0" applyFont="1" applyFill="1" applyBorder="1" applyAlignment="1">
      <alignment horizontal="center" vertical="center"/>
    </xf>
    <xf numFmtId="165" fontId="0" fillId="29" borderId="0" xfId="1" applyNumberFormat="1" applyFont="1" applyFill="1" applyBorder="1" applyProtection="1">
      <protection locked="0"/>
    </xf>
    <xf numFmtId="165" fontId="0" fillId="29" borderId="32" xfId="1" applyNumberFormat="1" applyFont="1" applyFill="1" applyBorder="1" applyProtection="1">
      <protection locked="0"/>
    </xf>
    <xf numFmtId="165" fontId="6" fillId="29" borderId="1" xfId="1" applyNumberFormat="1" applyFont="1" applyFill="1" applyBorder="1" applyAlignment="1">
      <alignment horizontal="center" vertical="center"/>
    </xf>
    <xf numFmtId="165" fontId="0" fillId="29" borderId="3" xfId="1" applyNumberFormat="1" applyFont="1" applyFill="1" applyBorder="1" applyProtection="1">
      <protection locked="0"/>
    </xf>
    <xf numFmtId="0" fontId="4" fillId="0" borderId="43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29" fillId="11" borderId="37" xfId="0" applyFont="1" applyFill="1" applyBorder="1" applyAlignment="1">
      <alignment horizontal="left"/>
    </xf>
    <xf numFmtId="0" fontId="4" fillId="11" borderId="37" xfId="0" applyFont="1" applyFill="1" applyBorder="1"/>
    <xf numFmtId="0" fontId="29" fillId="0" borderId="6" xfId="0" applyFont="1" applyBorder="1" applyAlignment="1">
      <alignment horizontal="left"/>
    </xf>
    <xf numFmtId="0" fontId="29" fillId="0" borderId="42" xfId="0" applyFont="1" applyBorder="1" applyAlignment="1">
      <alignment horizontal="left"/>
    </xf>
    <xf numFmtId="165" fontId="29" fillId="0" borderId="46" xfId="1" applyNumberFormat="1" applyFont="1" applyBorder="1"/>
    <xf numFmtId="165" fontId="24" fillId="11" borderId="54" xfId="1" applyNumberFormat="1" applyFont="1" applyFill="1" applyBorder="1"/>
    <xf numFmtId="166" fontId="4" fillId="11" borderId="46" xfId="0" applyNumberFormat="1" applyFont="1" applyFill="1" applyBorder="1"/>
    <xf numFmtId="0" fontId="3" fillId="11" borderId="22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vertical="center"/>
    </xf>
    <xf numFmtId="164" fontId="1" fillId="11" borderId="32" xfId="0" applyNumberFormat="1" applyFont="1" applyFill="1" applyBorder="1" applyAlignment="1" applyProtection="1">
      <alignment horizontal="center"/>
      <protection locked="0"/>
    </xf>
    <xf numFmtId="0" fontId="0" fillId="11" borderId="33" xfId="0" applyFill="1" applyBorder="1" applyAlignment="1" applyProtection="1">
      <alignment horizontal="center"/>
      <protection locked="0"/>
    </xf>
    <xf numFmtId="0" fontId="0" fillId="11" borderId="1" xfId="0" applyFill="1" applyBorder="1" applyProtection="1">
      <protection locked="0"/>
    </xf>
    <xf numFmtId="0" fontId="0" fillId="11" borderId="0" xfId="0" applyFill="1" applyProtection="1">
      <protection locked="0"/>
    </xf>
    <xf numFmtId="0" fontId="12" fillId="11" borderId="0" xfId="0" applyFont="1" applyFill="1"/>
    <xf numFmtId="0" fontId="0" fillId="0" borderId="69" xfId="0" applyBorder="1" applyAlignment="1" applyProtection="1">
      <alignment horizontal="center"/>
      <protection locked="0"/>
    </xf>
    <xf numFmtId="0" fontId="3" fillId="0" borderId="72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8" xfId="0" applyFont="1" applyBorder="1" applyAlignment="1">
      <alignment horizontal="left" vertical="center"/>
    </xf>
    <xf numFmtId="0" fontId="3" fillId="0" borderId="76" xfId="0" applyFont="1" applyBorder="1" applyAlignment="1">
      <alignment vertical="center"/>
    </xf>
    <xf numFmtId="0" fontId="3" fillId="11" borderId="28" xfId="0" applyFont="1" applyFill="1" applyBorder="1" applyAlignment="1">
      <alignment vertical="center"/>
    </xf>
    <xf numFmtId="0" fontId="30" fillId="3" borderId="48" xfId="0" applyFont="1" applyFill="1" applyBorder="1" applyProtection="1">
      <protection locked="0"/>
    </xf>
    <xf numFmtId="165" fontId="29" fillId="0" borderId="37" xfId="1" applyNumberFormat="1" applyFont="1" applyFill="1" applyBorder="1"/>
    <xf numFmtId="165" fontId="29" fillId="0" borderId="1" xfId="1" applyNumberFormat="1" applyFont="1" applyFill="1" applyBorder="1" applyAlignment="1">
      <alignment horizontal="right"/>
    </xf>
    <xf numFmtId="165" fontId="29" fillId="0" borderId="46" xfId="1" applyNumberFormat="1" applyFont="1" applyFill="1" applyBorder="1"/>
    <xf numFmtId="165" fontId="11" fillId="26" borderId="37" xfId="1" applyNumberFormat="1" applyFont="1" applyFill="1" applyBorder="1" applyAlignment="1">
      <alignment horizontal="center" vertical="center"/>
    </xf>
    <xf numFmtId="0" fontId="29" fillId="0" borderId="46" xfId="0" applyFont="1" applyBorder="1" applyAlignment="1">
      <alignment horizontal="left"/>
    </xf>
    <xf numFmtId="166" fontId="4" fillId="11" borderId="6" xfId="0" applyNumberFormat="1" applyFont="1" applyFill="1" applyBorder="1"/>
    <xf numFmtId="166" fontId="4" fillId="11" borderId="4" xfId="0" applyNumberFormat="1" applyFont="1" applyFill="1" applyBorder="1"/>
    <xf numFmtId="165" fontId="29" fillId="0" borderId="53" xfId="1" applyNumberFormat="1" applyFont="1" applyFill="1" applyBorder="1"/>
    <xf numFmtId="0" fontId="29" fillId="11" borderId="46" xfId="0" applyFont="1" applyFill="1" applyBorder="1" applyAlignment="1">
      <alignment horizontal="left"/>
    </xf>
    <xf numFmtId="0" fontId="29" fillId="0" borderId="28" xfId="0" applyFont="1" applyBorder="1" applyAlignment="1">
      <alignment horizontal="left"/>
    </xf>
    <xf numFmtId="166" fontId="36" fillId="11" borderId="4" xfId="0" applyNumberFormat="1" applyFont="1" applyFill="1" applyBorder="1" applyAlignment="1">
      <alignment horizontal="right"/>
    </xf>
    <xf numFmtId="165" fontId="24" fillId="11" borderId="46" xfId="1" applyNumberFormat="1" applyFont="1" applyFill="1" applyBorder="1"/>
    <xf numFmtId="0" fontId="29" fillId="11" borderId="43" xfId="0" applyFont="1" applyFill="1" applyBorder="1" applyAlignment="1">
      <alignment horizontal="left"/>
    </xf>
    <xf numFmtId="0" fontId="39" fillId="11" borderId="6" xfId="0" applyFont="1" applyFill="1" applyBorder="1" applyAlignment="1">
      <alignment horizontal="left"/>
    </xf>
    <xf numFmtId="0" fontId="39" fillId="11" borderId="43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29" fillId="11" borderId="22" xfId="0" applyFont="1" applyFill="1" applyBorder="1" applyAlignment="1">
      <alignment horizontal="left"/>
    </xf>
    <xf numFmtId="0" fontId="39" fillId="11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29" fillId="0" borderId="37" xfId="0" applyFont="1" applyBorder="1" applyAlignment="1">
      <alignment horizontal="left"/>
    </xf>
    <xf numFmtId="0" fontId="4" fillId="11" borderId="42" xfId="0" applyFont="1" applyFill="1" applyBorder="1"/>
    <xf numFmtId="0" fontId="4" fillId="11" borderId="28" xfId="0" applyFont="1" applyFill="1" applyBorder="1"/>
    <xf numFmtId="0" fontId="4" fillId="11" borderId="3" xfId="0" applyFont="1" applyFill="1" applyBorder="1"/>
    <xf numFmtId="0" fontId="4" fillId="11" borderId="46" xfId="0" applyFont="1" applyFill="1" applyBorder="1"/>
    <xf numFmtId="0" fontId="29" fillId="0" borderId="44" xfId="0" applyFont="1" applyBorder="1" applyAlignment="1">
      <alignment horizontal="left"/>
    </xf>
    <xf numFmtId="0" fontId="6" fillId="0" borderId="42" xfId="0" applyFont="1" applyBorder="1"/>
    <xf numFmtId="0" fontId="6" fillId="0" borderId="3" xfId="0" applyFont="1" applyBorder="1"/>
    <xf numFmtId="165" fontId="29" fillId="0" borderId="3" xfId="1" applyNumberFormat="1" applyFont="1" applyFill="1" applyBorder="1"/>
    <xf numFmtId="0" fontId="0" fillId="0" borderId="37" xfId="0" applyBorder="1" applyProtection="1">
      <protection hidden="1"/>
    </xf>
    <xf numFmtId="165" fontId="17" fillId="11" borderId="1" xfId="1" applyNumberFormat="1" applyFont="1" applyFill="1" applyBorder="1"/>
    <xf numFmtId="165" fontId="11" fillId="26" borderId="54" xfId="1" applyNumberFormat="1" applyFont="1" applyFill="1" applyBorder="1" applyAlignment="1">
      <alignment horizontal="center" vertical="center"/>
    </xf>
    <xf numFmtId="165" fontId="24" fillId="11" borderId="3" xfId="1" applyNumberFormat="1" applyFont="1" applyFill="1" applyBorder="1"/>
    <xf numFmtId="166" fontId="36" fillId="11" borderId="4" xfId="0" applyNumberFormat="1" applyFont="1" applyFill="1" applyBorder="1"/>
    <xf numFmtId="166" fontId="36" fillId="11" borderId="3" xfId="0" applyNumberFormat="1" applyFont="1" applyFill="1" applyBorder="1" applyAlignment="1">
      <alignment horizontal="right"/>
    </xf>
    <xf numFmtId="166" fontId="4" fillId="11" borderId="37" xfId="0" applyNumberFormat="1" applyFont="1" applyFill="1" applyBorder="1"/>
    <xf numFmtId="0" fontId="4" fillId="0" borderId="42" xfId="0" applyFont="1" applyBorder="1"/>
    <xf numFmtId="0" fontId="39" fillId="11" borderId="46" xfId="0" applyFont="1" applyFill="1" applyBorder="1" applyAlignment="1">
      <alignment horizontal="left"/>
    </xf>
    <xf numFmtId="0" fontId="29" fillId="11" borderId="48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9" fillId="11" borderId="2" xfId="0" applyFont="1" applyFill="1" applyBorder="1" applyAlignment="1">
      <alignment horizontal="left"/>
    </xf>
    <xf numFmtId="0" fontId="6" fillId="0" borderId="2" xfId="0" applyFont="1" applyBorder="1"/>
    <xf numFmtId="0" fontId="29" fillId="11" borderId="32" xfId="0" applyFont="1" applyFill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48" fillId="0" borderId="1" xfId="0" applyFont="1" applyBorder="1"/>
    <xf numFmtId="0" fontId="35" fillId="12" borderId="77" xfId="0" applyFont="1" applyFill="1" applyBorder="1" applyAlignment="1">
      <alignment horizontal="center" vertical="center"/>
    </xf>
    <xf numFmtId="0" fontId="35" fillId="12" borderId="78" xfId="0" applyFont="1" applyFill="1" applyBorder="1" applyAlignment="1">
      <alignment horizontal="center" vertical="center"/>
    </xf>
    <xf numFmtId="0" fontId="35" fillId="12" borderId="79" xfId="0" applyFont="1" applyFill="1" applyBorder="1" applyAlignment="1">
      <alignment horizontal="center" vertical="center"/>
    </xf>
    <xf numFmtId="0" fontId="35" fillId="12" borderId="80" xfId="0" applyFont="1" applyFill="1" applyBorder="1" applyAlignment="1">
      <alignment horizontal="center" vertical="center"/>
    </xf>
    <xf numFmtId="0" fontId="35" fillId="12" borderId="81" xfId="0" applyFont="1" applyFill="1" applyBorder="1" applyAlignment="1">
      <alignment horizontal="center" vertical="center"/>
    </xf>
    <xf numFmtId="0" fontId="35" fillId="12" borderId="82" xfId="0" applyFont="1" applyFill="1" applyBorder="1" applyAlignment="1">
      <alignment horizontal="center" vertical="center"/>
    </xf>
    <xf numFmtId="0" fontId="8" fillId="3" borderId="25" xfId="0" applyFont="1" applyFill="1" applyBorder="1" applyAlignment="1" applyProtection="1">
      <alignment horizontal="center" vertical="center"/>
      <protection hidden="1"/>
    </xf>
    <xf numFmtId="0" fontId="8" fillId="3" borderId="26" xfId="0" applyFont="1" applyFill="1" applyBorder="1" applyAlignment="1" applyProtection="1">
      <alignment horizontal="center" vertical="center"/>
      <protection hidden="1"/>
    </xf>
    <xf numFmtId="0" fontId="8" fillId="3" borderId="57" xfId="0" applyFont="1" applyFill="1" applyBorder="1" applyAlignment="1" applyProtection="1">
      <alignment horizontal="center" vertical="center"/>
      <protection hidden="1"/>
    </xf>
    <xf numFmtId="0" fontId="8" fillId="3" borderId="58" xfId="0" applyFont="1" applyFill="1" applyBorder="1" applyAlignment="1" applyProtection="1">
      <alignment horizontal="center" vertical="center"/>
      <protection hidden="1"/>
    </xf>
    <xf numFmtId="0" fontId="8" fillId="3" borderId="0" xfId="0" applyFont="1" applyFill="1" applyAlignment="1" applyProtection="1">
      <alignment horizontal="center" vertical="center"/>
      <protection hidden="1"/>
    </xf>
    <xf numFmtId="165" fontId="8" fillId="3" borderId="0" xfId="1" applyNumberFormat="1" applyFont="1" applyFill="1" applyBorder="1" applyAlignment="1" applyProtection="1">
      <alignment horizontal="center" vertical="center"/>
      <protection hidden="1"/>
    </xf>
    <xf numFmtId="0" fontId="8" fillId="3" borderId="53" xfId="0" applyFont="1" applyFill="1" applyBorder="1" applyAlignment="1" applyProtection="1">
      <alignment horizontal="center" vertical="center"/>
      <protection hidden="1"/>
    </xf>
    <xf numFmtId="0" fontId="8" fillId="3" borderId="44" xfId="0" applyFont="1" applyFill="1" applyBorder="1" applyAlignment="1" applyProtection="1">
      <alignment horizontal="center" vertical="center"/>
      <protection hidden="1"/>
    </xf>
    <xf numFmtId="165" fontId="8" fillId="3" borderId="44" xfId="1" applyNumberFormat="1" applyFont="1" applyFill="1" applyBorder="1" applyAlignment="1" applyProtection="1">
      <alignment horizontal="center" vertical="center"/>
      <protection hidden="1"/>
    </xf>
    <xf numFmtId="0" fontId="8" fillId="3" borderId="42" xfId="0" applyFont="1" applyFill="1" applyBorder="1" applyAlignment="1" applyProtection="1">
      <alignment horizontal="center" vertical="center"/>
      <protection hidden="1"/>
    </xf>
    <xf numFmtId="0" fontId="8" fillId="3" borderId="27" xfId="0" applyFont="1" applyFill="1" applyBorder="1" applyAlignment="1" applyProtection="1">
      <alignment horizontal="center" vertical="center"/>
      <protection hidden="1"/>
    </xf>
    <xf numFmtId="0" fontId="8" fillId="3" borderId="29" xfId="0" applyFont="1" applyFill="1" applyBorder="1" applyAlignment="1" applyProtection="1">
      <alignment horizontal="center" vertical="center"/>
      <protection hidden="1"/>
    </xf>
    <xf numFmtId="0" fontId="8" fillId="3" borderId="30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Alignment="1">
      <alignment horizontal="center" vertical="center"/>
    </xf>
    <xf numFmtId="0" fontId="0" fillId="3" borderId="43" xfId="0" applyFill="1" applyBorder="1" applyAlignment="1" applyProtection="1">
      <alignment horizontal="center"/>
      <protection locked="0"/>
    </xf>
    <xf numFmtId="0" fontId="0" fillId="3" borderId="44" xfId="0" applyFill="1" applyBorder="1" applyAlignment="1" applyProtection="1">
      <alignment horizontal="center"/>
      <protection locked="0"/>
    </xf>
    <xf numFmtId="0" fontId="0" fillId="3" borderId="42" xfId="0" applyFill="1" applyBorder="1" applyAlignment="1" applyProtection="1">
      <alignment horizontal="center"/>
      <protection locked="0"/>
    </xf>
    <xf numFmtId="0" fontId="27" fillId="12" borderId="44" xfId="0" applyFont="1" applyFill="1" applyBorder="1" applyAlignment="1">
      <alignment horizontal="center" wrapText="1"/>
    </xf>
    <xf numFmtId="0" fontId="27" fillId="12" borderId="62" xfId="0" applyFont="1" applyFill="1" applyBorder="1" applyAlignment="1">
      <alignment horizontal="center" wrapText="1"/>
    </xf>
    <xf numFmtId="0" fontId="25" fillId="12" borderId="54" xfId="0" applyFont="1" applyFill="1" applyBorder="1" applyAlignment="1">
      <alignment horizontal="center" vertical="center" wrapText="1"/>
    </xf>
    <xf numFmtId="0" fontId="25" fillId="12" borderId="53" xfId="0" applyFont="1" applyFill="1" applyBorder="1" applyAlignment="1">
      <alignment horizontal="center" vertical="center" wrapText="1"/>
    </xf>
    <xf numFmtId="0" fontId="26" fillId="21" borderId="57" xfId="0" applyFont="1" applyFill="1" applyBorder="1" applyAlignment="1">
      <alignment horizontal="center" vertical="center" wrapText="1"/>
    </xf>
    <xf numFmtId="0" fontId="26" fillId="21" borderId="58" xfId="0" applyFont="1" applyFill="1" applyBorder="1" applyAlignment="1">
      <alignment horizontal="center" vertical="center" wrapText="1"/>
    </xf>
    <xf numFmtId="0" fontId="26" fillId="21" borderId="61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 applyProtection="1">
      <alignment horizontal="center" vertical="center"/>
      <protection locked="0"/>
    </xf>
    <xf numFmtId="0" fontId="7" fillId="3" borderId="26" xfId="0" applyFont="1" applyFill="1" applyBorder="1" applyAlignment="1" applyProtection="1">
      <alignment horizontal="center" vertical="center"/>
      <protection locked="0"/>
    </xf>
    <xf numFmtId="0" fontId="7" fillId="3" borderId="27" xfId="0" applyFont="1" applyFill="1" applyBorder="1" applyAlignment="1" applyProtection="1">
      <alignment horizontal="center" vertical="center"/>
      <protection locked="0"/>
    </xf>
    <xf numFmtId="0" fontId="7" fillId="3" borderId="29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0" fontId="7" fillId="3" borderId="61" xfId="0" applyFont="1" applyFill="1" applyBorder="1" applyAlignment="1" applyProtection="1">
      <alignment horizontal="center" vertical="center"/>
      <protection locked="0"/>
    </xf>
    <xf numFmtId="0" fontId="26" fillId="12" borderId="44" xfId="0" applyFont="1" applyFill="1" applyBorder="1" applyAlignment="1">
      <alignment horizontal="center" wrapText="1"/>
    </xf>
    <xf numFmtId="0" fontId="26" fillId="12" borderId="42" xfId="0" applyFont="1" applyFill="1" applyBorder="1" applyAlignment="1">
      <alignment horizontal="center" wrapText="1"/>
    </xf>
    <xf numFmtId="0" fontId="25" fillId="19" borderId="38" xfId="0" applyFont="1" applyFill="1" applyBorder="1" applyAlignment="1">
      <alignment horizontal="center" vertical="center" wrapText="1"/>
    </xf>
    <xf numFmtId="0" fontId="25" fillId="19" borderId="68" xfId="0" applyFont="1" applyFill="1" applyBorder="1" applyAlignment="1">
      <alignment horizontal="center" vertical="center" wrapText="1"/>
    </xf>
    <xf numFmtId="0" fontId="25" fillId="19" borderId="39" xfId="0" applyFont="1" applyFill="1" applyBorder="1" applyAlignment="1">
      <alignment horizontal="center" vertical="center" wrapText="1"/>
    </xf>
    <xf numFmtId="0" fontId="25" fillId="19" borderId="54" xfId="0" applyFont="1" applyFill="1" applyBorder="1" applyAlignment="1">
      <alignment horizontal="center" vertical="center" wrapText="1"/>
    </xf>
    <xf numFmtId="0" fontId="25" fillId="19" borderId="70" xfId="0" applyFont="1" applyFill="1" applyBorder="1" applyAlignment="1">
      <alignment horizontal="center" vertical="center" wrapText="1"/>
    </xf>
    <xf numFmtId="0" fontId="25" fillId="19" borderId="69" xfId="0" applyFont="1" applyFill="1" applyBorder="1" applyAlignment="1">
      <alignment horizontal="center" vertical="center" wrapText="1"/>
    </xf>
    <xf numFmtId="0" fontId="26" fillId="12" borderId="3" xfId="0" applyFont="1" applyFill="1" applyBorder="1" applyAlignment="1">
      <alignment horizontal="center" wrapText="1"/>
    </xf>
    <xf numFmtId="0" fontId="25" fillId="12" borderId="6" xfId="0" applyFont="1" applyFill="1" applyBorder="1" applyAlignment="1">
      <alignment horizontal="center" vertical="center" wrapText="1"/>
    </xf>
    <xf numFmtId="0" fontId="25" fillId="12" borderId="46" xfId="0" applyFont="1" applyFill="1" applyBorder="1" applyAlignment="1">
      <alignment horizontal="center" vertical="center" wrapText="1"/>
    </xf>
    <xf numFmtId="0" fontId="25" fillId="12" borderId="40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3" fillId="0" borderId="34" xfId="0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13" fillId="0" borderId="36" xfId="0" applyFont="1" applyBorder="1" applyAlignment="1">
      <alignment horizontal="left" vertical="top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9" fillId="3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4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22" fillId="12" borderId="7" xfId="0" applyFont="1" applyFill="1" applyBorder="1" applyAlignment="1">
      <alignment horizontal="center" vertical="center"/>
    </xf>
    <xf numFmtId="0" fontId="22" fillId="12" borderId="8" xfId="0" applyFont="1" applyFill="1" applyBorder="1" applyAlignment="1">
      <alignment horizontal="center" vertical="center"/>
    </xf>
    <xf numFmtId="0" fontId="22" fillId="12" borderId="10" xfId="0" applyFont="1" applyFill="1" applyBorder="1" applyAlignment="1">
      <alignment horizontal="center" vertical="center"/>
    </xf>
    <xf numFmtId="0" fontId="23" fillId="5" borderId="25" xfId="0" applyFont="1" applyFill="1" applyBorder="1" applyAlignment="1">
      <alignment horizontal="center" vertical="center"/>
    </xf>
    <xf numFmtId="0" fontId="23" fillId="5" borderId="26" xfId="0" applyFont="1" applyFill="1" applyBorder="1" applyAlignment="1">
      <alignment horizontal="center" vertical="center"/>
    </xf>
    <xf numFmtId="0" fontId="23" fillId="5" borderId="27" xfId="0" applyFont="1" applyFill="1" applyBorder="1" applyAlignment="1">
      <alignment horizontal="center" vertical="center"/>
    </xf>
    <xf numFmtId="0" fontId="22" fillId="12" borderId="34" xfId="0" applyFont="1" applyFill="1" applyBorder="1" applyAlignment="1">
      <alignment horizontal="center" vertical="center"/>
    </xf>
    <xf numFmtId="0" fontId="23" fillId="18" borderId="7" xfId="0" applyFont="1" applyFill="1" applyBorder="1" applyAlignment="1">
      <alignment horizontal="center" vertical="center"/>
    </xf>
    <xf numFmtId="0" fontId="23" fillId="18" borderId="17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13" xfId="4" xr:uid="{470AD08C-D253-4529-9FA2-0B5FB17D1019}"/>
    <cellStyle name="Normal 2" xfId="2" xr:uid="{859856E9-145B-45B5-BE60-6AAB603551F9}"/>
    <cellStyle name="Normal 4" xfId="3" xr:uid="{5BAD895B-C0BF-4008-BDB3-57C4A917C1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/12M/Country%2012M%20file%20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ailyInventoryUpdate_BlackoutPeriod/Shared%20Documents/Inventory%20Update/Daily%20Inventory%20Update_%20Jan_2026.xlsx" TargetMode="External"/><Relationship Id="rId2" Type="http://schemas.openxmlformats.org/officeDocument/2006/relationships/externalLinkPath" Target="https://syngenta.sharepoint.com/sites/DailyInventoryUpdate_BlackoutPeriod/Shared%20Documents/Inventory%20Update/Daily%20Inventory%20Update_%20Jan_2026.xlsx" TargetMode="External"/><Relationship Id="rId1" Type="http://schemas.openxmlformats.org/officeDocument/2006/relationships/externalLinkPath" Target="/sites/DailyInventoryUpdate_BlackoutPeriod/Shared%20Documents/Inventory%20Update/Daily%20Inventory%20Update_%20Jan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"/>
      <sheetName val="Sheet2"/>
      <sheetName val="Sheet3"/>
      <sheetName val="Seed"/>
      <sheetName val="Sheet1"/>
      <sheetName val="Bulk"/>
      <sheetName val="Sheet4"/>
      <sheetName val="Old M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ock Summary"/>
      <sheetName val="Plant"/>
      <sheetName val="Aptoris"/>
      <sheetName val="Jessore "/>
      <sheetName val="Bogura "/>
      <sheetName val="Dhaka "/>
      <sheetName val="Ctg"/>
      <sheetName val="Defective Bulk"/>
      <sheetName val="ME"/>
      <sheetName val="Rofo vs Stock analysis"/>
      <sheetName val="Sales MTD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/>
          <cell r="E1">
            <v>7</v>
          </cell>
          <cell r="F1">
            <v>10</v>
          </cell>
          <cell r="G1"/>
          <cell r="H1">
            <v>13</v>
          </cell>
          <cell r="I1"/>
          <cell r="J1"/>
          <cell r="K1"/>
          <cell r="L1"/>
        </row>
        <row r="2">
          <cell r="A2" t="str">
            <v>CODE</v>
          </cell>
          <cell r="B2" t="str">
            <v>PRODUCT NAME</v>
          </cell>
          <cell r="C2" t="str">
            <v>PACK SIZE</v>
          </cell>
          <cell r="D2"/>
          <cell r="E2" t="str">
            <v>Bogura</v>
          </cell>
          <cell r="F2" t="str">
            <v xml:space="preserve">Jessore </v>
          </cell>
          <cell r="G2" t="str">
            <v xml:space="preserve">Dhaka </v>
          </cell>
          <cell r="H2" t="str">
            <v xml:space="preserve">Ctg </v>
          </cell>
          <cell r="I2" t="str">
            <v>Plant</v>
          </cell>
          <cell r="J2" t="str">
            <v>Aptoris_ Toller</v>
          </cell>
          <cell r="K2" t="str">
            <v xml:space="preserve">Total </v>
          </cell>
          <cell r="L2" t="str">
            <v>Pack size</v>
          </cell>
        </row>
        <row r="3">
          <cell r="A3"/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A4">
            <v>29568</v>
          </cell>
          <cell r="B4" t="str">
            <v>SHOBICRON 425EC</v>
          </cell>
          <cell r="C4" t="str">
            <v>20 X  50 ML</v>
          </cell>
          <cell r="D4"/>
          <cell r="E4">
            <v>2140</v>
          </cell>
          <cell r="F4">
            <v>1514</v>
          </cell>
          <cell r="G4">
            <v>2197</v>
          </cell>
          <cell r="H4">
            <v>2252</v>
          </cell>
          <cell r="I4">
            <v>1856</v>
          </cell>
          <cell r="J4" t="str">
            <v>-</v>
          </cell>
          <cell r="K4">
            <v>9959</v>
          </cell>
          <cell r="L4">
            <v>1</v>
          </cell>
        </row>
        <row r="5">
          <cell r="A5">
            <v>42123</v>
          </cell>
          <cell r="B5"/>
          <cell r="C5" t="str">
            <v>20 X 100 ML</v>
          </cell>
          <cell r="D5"/>
          <cell r="E5">
            <v>3137</v>
          </cell>
          <cell r="F5">
            <v>2104</v>
          </cell>
          <cell r="G5">
            <v>1389</v>
          </cell>
          <cell r="H5">
            <v>1474</v>
          </cell>
          <cell r="I5">
            <v>1366</v>
          </cell>
          <cell r="J5" t="str">
            <v>-</v>
          </cell>
          <cell r="K5">
            <v>9470</v>
          </cell>
          <cell r="L5">
            <v>2</v>
          </cell>
        </row>
        <row r="6">
          <cell r="A6">
            <v>29570</v>
          </cell>
          <cell r="B6"/>
          <cell r="C6" t="str">
            <v>10  X 500 ML</v>
          </cell>
          <cell r="D6"/>
          <cell r="E6">
            <v>1267</v>
          </cell>
          <cell r="F6">
            <v>454</v>
          </cell>
          <cell r="G6">
            <v>645</v>
          </cell>
          <cell r="H6">
            <v>527</v>
          </cell>
          <cell r="I6" t="str">
            <v>-</v>
          </cell>
          <cell r="J6" t="str">
            <v>-</v>
          </cell>
          <cell r="K6">
            <v>2893</v>
          </cell>
          <cell r="L6">
            <v>5</v>
          </cell>
        </row>
        <row r="7">
          <cell r="A7">
            <v>58888</v>
          </cell>
          <cell r="B7" t="str">
            <v>TILT 250EC</v>
          </cell>
          <cell r="C7" t="str">
            <v>20 X  50 ML</v>
          </cell>
          <cell r="D7"/>
          <cell r="E7">
            <v>380</v>
          </cell>
          <cell r="F7">
            <v>499</v>
          </cell>
          <cell r="G7">
            <v>589</v>
          </cell>
          <cell r="H7">
            <v>926</v>
          </cell>
          <cell r="I7" t="str">
            <v>-</v>
          </cell>
          <cell r="J7" t="str">
            <v>-</v>
          </cell>
          <cell r="K7">
            <v>2394</v>
          </cell>
          <cell r="L7">
            <v>1</v>
          </cell>
        </row>
        <row r="8">
          <cell r="A8">
            <v>58889</v>
          </cell>
          <cell r="B8"/>
          <cell r="C8" t="str">
            <v>20 X 100 ML</v>
          </cell>
          <cell r="D8"/>
          <cell r="E8">
            <v>1004</v>
          </cell>
          <cell r="F8">
            <v>566</v>
          </cell>
          <cell r="G8">
            <v>662</v>
          </cell>
          <cell r="H8">
            <v>1874</v>
          </cell>
          <cell r="I8" t="str">
            <v>-</v>
          </cell>
          <cell r="J8" t="str">
            <v>-</v>
          </cell>
          <cell r="K8">
            <v>4106</v>
          </cell>
          <cell r="L8">
            <v>2</v>
          </cell>
        </row>
        <row r="9">
          <cell r="A9">
            <v>58887</v>
          </cell>
          <cell r="B9"/>
          <cell r="C9" t="str">
            <v>10 X 500 ML</v>
          </cell>
          <cell r="D9"/>
          <cell r="E9">
            <v>407</v>
          </cell>
          <cell r="F9">
            <v>200</v>
          </cell>
          <cell r="G9">
            <v>287</v>
          </cell>
          <cell r="H9">
            <v>398</v>
          </cell>
          <cell r="I9" t="str">
            <v>-</v>
          </cell>
          <cell r="J9" t="str">
            <v>-</v>
          </cell>
          <cell r="K9">
            <v>1292</v>
          </cell>
          <cell r="L9">
            <v>5</v>
          </cell>
        </row>
        <row r="10">
          <cell r="A10">
            <v>34002</v>
          </cell>
          <cell r="B10" t="str">
            <v>SCORE 250EC</v>
          </cell>
          <cell r="C10" t="str">
            <v>20 X 50 ML</v>
          </cell>
          <cell r="D10"/>
          <cell r="E10">
            <v>0</v>
          </cell>
          <cell r="F10">
            <v>7</v>
          </cell>
          <cell r="G10">
            <v>0</v>
          </cell>
          <cell r="H10">
            <v>3200</v>
          </cell>
          <cell r="I10" t="str">
            <v>-</v>
          </cell>
          <cell r="J10" t="str">
            <v>-</v>
          </cell>
          <cell r="K10">
            <v>3207</v>
          </cell>
          <cell r="L10">
            <v>1</v>
          </cell>
        </row>
        <row r="11">
          <cell r="A11">
            <v>30593</v>
          </cell>
          <cell r="B11"/>
          <cell r="C11" t="str">
            <v>20 X 100 ML</v>
          </cell>
          <cell r="D11"/>
          <cell r="E11">
            <v>546</v>
          </cell>
          <cell r="F11">
            <v>500</v>
          </cell>
          <cell r="G11">
            <v>869</v>
          </cell>
          <cell r="H11">
            <v>550</v>
          </cell>
          <cell r="I11" t="str">
            <v>-</v>
          </cell>
          <cell r="J11" t="str">
            <v>-</v>
          </cell>
          <cell r="K11">
            <v>2465</v>
          </cell>
          <cell r="L11">
            <v>2</v>
          </cell>
        </row>
        <row r="12">
          <cell r="A12">
            <v>34001</v>
          </cell>
          <cell r="B12"/>
          <cell r="C12" t="str">
            <v>10 X 500 ML</v>
          </cell>
          <cell r="D12"/>
          <cell r="E12">
            <v>475</v>
          </cell>
          <cell r="F12">
            <v>146</v>
          </cell>
          <cell r="G12">
            <v>341</v>
          </cell>
          <cell r="H12">
            <v>229</v>
          </cell>
          <cell r="I12" t="str">
            <v>-</v>
          </cell>
          <cell r="J12" t="str">
            <v>-</v>
          </cell>
          <cell r="K12">
            <v>1191</v>
          </cell>
          <cell r="L12">
            <v>5</v>
          </cell>
        </row>
        <row r="13">
          <cell r="A13">
            <v>35348</v>
          </cell>
          <cell r="B13" t="str">
            <v>RIFIT 500 EC</v>
          </cell>
          <cell r="C13" t="str">
            <v>20 X 100 ML</v>
          </cell>
          <cell r="D13"/>
          <cell r="E13">
            <v>3909</v>
          </cell>
          <cell r="F13">
            <v>1633</v>
          </cell>
          <cell r="G13">
            <v>2415</v>
          </cell>
          <cell r="H13">
            <v>3734</v>
          </cell>
          <cell r="I13" t="str">
            <v>-</v>
          </cell>
          <cell r="J13" t="str">
            <v>-</v>
          </cell>
          <cell r="K13">
            <v>11691</v>
          </cell>
          <cell r="L13">
            <v>2</v>
          </cell>
        </row>
        <row r="14">
          <cell r="A14">
            <v>30688</v>
          </cell>
          <cell r="B14"/>
          <cell r="C14" t="str">
            <v>10 X 500 ML</v>
          </cell>
          <cell r="D14"/>
          <cell r="E14">
            <v>5118</v>
          </cell>
          <cell r="F14">
            <v>532</v>
          </cell>
          <cell r="G14">
            <v>9</v>
          </cell>
          <cell r="H14">
            <v>1769</v>
          </cell>
          <cell r="I14" t="str">
            <v>-</v>
          </cell>
          <cell r="J14" t="str">
            <v>-</v>
          </cell>
          <cell r="K14">
            <v>7428</v>
          </cell>
          <cell r="L14">
            <v>5</v>
          </cell>
        </row>
        <row r="15">
          <cell r="A15">
            <v>59703</v>
          </cell>
          <cell r="B15" t="str">
            <v>PROTOZIM</v>
          </cell>
          <cell r="C15" t="str">
            <v>40 X 50 ML</v>
          </cell>
          <cell r="D15"/>
          <cell r="E15">
            <v>1984</v>
          </cell>
          <cell r="F15">
            <v>445</v>
          </cell>
          <cell r="G15">
            <v>660</v>
          </cell>
          <cell r="H15">
            <v>5586</v>
          </cell>
          <cell r="I15" t="str">
            <v>-</v>
          </cell>
          <cell r="J15" t="str">
            <v>-</v>
          </cell>
          <cell r="K15">
            <v>8675</v>
          </cell>
          <cell r="L15">
            <v>2</v>
          </cell>
        </row>
        <row r="16">
          <cell r="A16">
            <v>59704</v>
          </cell>
          <cell r="B16"/>
          <cell r="C16" t="str">
            <v>20 X 100 ML</v>
          </cell>
          <cell r="D16"/>
          <cell r="E16">
            <v>858</v>
          </cell>
          <cell r="F16">
            <v>505</v>
          </cell>
          <cell r="G16">
            <v>459</v>
          </cell>
          <cell r="H16">
            <v>5163</v>
          </cell>
          <cell r="I16" t="str">
            <v>-</v>
          </cell>
          <cell r="J16" t="str">
            <v>-</v>
          </cell>
          <cell r="K16">
            <v>6985</v>
          </cell>
          <cell r="L16">
            <v>2</v>
          </cell>
        </row>
        <row r="17">
          <cell r="A17">
            <v>59769</v>
          </cell>
          <cell r="B17"/>
          <cell r="C17" t="str">
            <v>10 X 500 ML</v>
          </cell>
          <cell r="D17"/>
          <cell r="E17">
            <v>1975</v>
          </cell>
          <cell r="F17">
            <v>538</v>
          </cell>
          <cell r="G17">
            <v>1041</v>
          </cell>
          <cell r="H17">
            <v>1685</v>
          </cell>
          <cell r="I17" t="str">
            <v>-</v>
          </cell>
          <cell r="J17" t="str">
            <v>-</v>
          </cell>
          <cell r="K17">
            <v>5239</v>
          </cell>
          <cell r="L17">
            <v>5</v>
          </cell>
        </row>
        <row r="18">
          <cell r="A18">
            <v>58896</v>
          </cell>
          <cell r="B18" t="str">
            <v>KARATE</v>
          </cell>
          <cell r="C18" t="str">
            <v>50 X 50 ML</v>
          </cell>
          <cell r="D18"/>
          <cell r="E18">
            <v>552</v>
          </cell>
          <cell r="F18">
            <v>580</v>
          </cell>
          <cell r="G18">
            <v>388</v>
          </cell>
          <cell r="H18">
            <v>663</v>
          </cell>
          <cell r="I18">
            <v>2482</v>
          </cell>
          <cell r="J18" t="str">
            <v>-</v>
          </cell>
          <cell r="K18">
            <v>4665</v>
          </cell>
          <cell r="L18">
            <v>2.5</v>
          </cell>
        </row>
        <row r="19">
          <cell r="A19">
            <v>58890</v>
          </cell>
          <cell r="B19"/>
          <cell r="C19" t="str">
            <v xml:space="preserve">50 X 100 ML </v>
          </cell>
          <cell r="D19"/>
          <cell r="E19">
            <v>1503</v>
          </cell>
          <cell r="F19">
            <v>449</v>
          </cell>
          <cell r="G19">
            <v>179</v>
          </cell>
          <cell r="H19">
            <v>650</v>
          </cell>
          <cell r="I19" t="str">
            <v>-</v>
          </cell>
          <cell r="J19" t="str">
            <v>-</v>
          </cell>
          <cell r="K19">
            <v>2781</v>
          </cell>
          <cell r="L19">
            <v>5</v>
          </cell>
        </row>
        <row r="20">
          <cell r="A20">
            <v>58886</v>
          </cell>
          <cell r="B20"/>
          <cell r="C20" t="str">
            <v>10 X 500 ML</v>
          </cell>
          <cell r="D20"/>
          <cell r="E20">
            <v>2252</v>
          </cell>
          <cell r="F20">
            <v>385</v>
          </cell>
          <cell r="G20">
            <v>374</v>
          </cell>
          <cell r="H20">
            <v>729</v>
          </cell>
          <cell r="I20" t="str">
            <v>-</v>
          </cell>
          <cell r="J20" t="str">
            <v>-</v>
          </cell>
          <cell r="K20">
            <v>3740</v>
          </cell>
          <cell r="L20">
            <v>5</v>
          </cell>
        </row>
        <row r="21">
          <cell r="A21">
            <v>63105</v>
          </cell>
          <cell r="B21" t="str">
            <v>VERTIMEC 018 EC</v>
          </cell>
          <cell r="C21" t="str">
            <v>20 X 50 ML</v>
          </cell>
          <cell r="D21"/>
          <cell r="E21">
            <v>1942</v>
          </cell>
          <cell r="F21">
            <v>1276</v>
          </cell>
          <cell r="G21">
            <v>656</v>
          </cell>
          <cell r="H21">
            <v>2035</v>
          </cell>
          <cell r="I21">
            <v>69</v>
          </cell>
          <cell r="J21" t="str">
            <v>-</v>
          </cell>
          <cell r="K21">
            <v>5978</v>
          </cell>
          <cell r="L21">
            <v>1</v>
          </cell>
        </row>
        <row r="22">
          <cell r="A22">
            <v>63106</v>
          </cell>
          <cell r="B22"/>
          <cell r="C22" t="str">
            <v>20 X 100 ML</v>
          </cell>
          <cell r="D22"/>
          <cell r="E22">
            <v>2726</v>
          </cell>
          <cell r="F22">
            <v>769</v>
          </cell>
          <cell r="G22">
            <v>765</v>
          </cell>
          <cell r="H22">
            <v>2729</v>
          </cell>
          <cell r="I22">
            <v>1760</v>
          </cell>
          <cell r="J22" t="str">
            <v>-</v>
          </cell>
          <cell r="K22">
            <v>8749</v>
          </cell>
          <cell r="L22">
            <v>2</v>
          </cell>
        </row>
        <row r="23">
          <cell r="A23">
            <v>63107</v>
          </cell>
          <cell r="B23"/>
          <cell r="C23" t="str">
            <v>10 X 500 ML</v>
          </cell>
          <cell r="D23"/>
          <cell r="E23">
            <v>459</v>
          </cell>
          <cell r="F23">
            <v>571</v>
          </cell>
          <cell r="G23">
            <v>170</v>
          </cell>
          <cell r="H23">
            <v>540</v>
          </cell>
          <cell r="I23">
            <v>471</v>
          </cell>
          <cell r="J23" t="str">
            <v>-</v>
          </cell>
          <cell r="K23">
            <v>2211</v>
          </cell>
          <cell r="L23">
            <v>5</v>
          </cell>
        </row>
        <row r="24">
          <cell r="A24">
            <v>43978</v>
          </cell>
          <cell r="B24" t="str">
            <v>VOLIAM FLEXI 300 SC</v>
          </cell>
          <cell r="C24" t="str">
            <v>20 X 50 ML</v>
          </cell>
          <cell r="D24"/>
          <cell r="E24">
            <v>5394</v>
          </cell>
          <cell r="F24">
            <v>7203</v>
          </cell>
          <cell r="G24">
            <v>2675</v>
          </cell>
          <cell r="H24">
            <v>6048</v>
          </cell>
          <cell r="I24" t="str">
            <v>-</v>
          </cell>
          <cell r="J24" t="str">
            <v>-</v>
          </cell>
          <cell r="K24">
            <v>21320</v>
          </cell>
          <cell r="L24">
            <v>1</v>
          </cell>
        </row>
        <row r="25">
          <cell r="A25">
            <v>53294</v>
          </cell>
          <cell r="B25" t="str">
            <v>AMISTAR TOP 325 SC</v>
          </cell>
          <cell r="C25" t="str">
            <v>20 X 50 ML</v>
          </cell>
          <cell r="D25"/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>
            <v>0</v>
          </cell>
          <cell r="L25">
            <v>1</v>
          </cell>
        </row>
        <row r="26">
          <cell r="A26">
            <v>88631</v>
          </cell>
          <cell r="B26"/>
          <cell r="C26" t="str">
            <v>20 X 50 ML</v>
          </cell>
          <cell r="D26"/>
          <cell r="E26">
            <v>11780</v>
          </cell>
          <cell r="F26">
            <v>4711</v>
          </cell>
          <cell r="G26">
            <v>9529</v>
          </cell>
          <cell r="H26">
            <v>9165</v>
          </cell>
          <cell r="I26">
            <v>7232</v>
          </cell>
          <cell r="J26" t="str">
            <v>-</v>
          </cell>
          <cell r="K26">
            <v>42417</v>
          </cell>
          <cell r="L26">
            <v>1</v>
          </cell>
        </row>
        <row r="27">
          <cell r="A27">
            <v>46652</v>
          </cell>
          <cell r="B27"/>
          <cell r="C27" t="str">
            <v>20 X 100 ML</v>
          </cell>
          <cell r="D27"/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>
            <v>0</v>
          </cell>
          <cell r="L27">
            <v>2</v>
          </cell>
        </row>
        <row r="28">
          <cell r="A28">
            <v>88630</v>
          </cell>
          <cell r="B28"/>
          <cell r="C28" t="str">
            <v>20 X 100 ML</v>
          </cell>
          <cell r="D28"/>
          <cell r="E28">
            <v>30017</v>
          </cell>
          <cell r="F28">
            <v>7442</v>
          </cell>
          <cell r="G28">
            <v>9721</v>
          </cell>
          <cell r="H28">
            <v>12774</v>
          </cell>
          <cell r="I28">
            <v>7886</v>
          </cell>
          <cell r="J28" t="str">
            <v>-</v>
          </cell>
          <cell r="K28">
            <v>67840</v>
          </cell>
          <cell r="L28">
            <v>2</v>
          </cell>
        </row>
        <row r="29">
          <cell r="A29">
            <v>51574</v>
          </cell>
          <cell r="B29"/>
          <cell r="C29" t="str">
            <v>10 X 500 ML</v>
          </cell>
          <cell r="D29"/>
          <cell r="E29" t="str">
            <v>-</v>
          </cell>
          <cell r="F29" t="str">
            <v>-</v>
          </cell>
          <cell r="G29" t="str">
            <v>-</v>
          </cell>
          <cell r="H29" t="str">
            <v>-</v>
          </cell>
          <cell r="I29" t="str">
            <v>-</v>
          </cell>
          <cell r="J29" t="str">
            <v>-</v>
          </cell>
          <cell r="K29">
            <v>0</v>
          </cell>
          <cell r="L29">
            <v>5</v>
          </cell>
        </row>
        <row r="30">
          <cell r="A30">
            <v>88626</v>
          </cell>
          <cell r="B30"/>
          <cell r="C30" t="str">
            <v>10 X 500 ML</v>
          </cell>
          <cell r="D30"/>
          <cell r="E30">
            <v>8668</v>
          </cell>
          <cell r="F30">
            <v>657</v>
          </cell>
          <cell r="G30">
            <v>1008</v>
          </cell>
          <cell r="H30">
            <v>1098</v>
          </cell>
          <cell r="I30" t="str">
            <v>-</v>
          </cell>
          <cell r="J30" t="str">
            <v>-</v>
          </cell>
          <cell r="K30">
            <v>11431</v>
          </cell>
          <cell r="L30">
            <v>5</v>
          </cell>
        </row>
        <row r="31">
          <cell r="A31">
            <v>58513</v>
          </cell>
          <cell r="B31" t="str">
            <v>REVUS 250 SC</v>
          </cell>
          <cell r="C31" t="str">
            <v>20 X 50 ML</v>
          </cell>
          <cell r="D31"/>
          <cell r="E31">
            <v>2174</v>
          </cell>
          <cell r="F31">
            <v>1027</v>
          </cell>
          <cell r="G31">
            <v>1744</v>
          </cell>
          <cell r="H31">
            <v>1219</v>
          </cell>
          <cell r="I31" t="str">
            <v>-</v>
          </cell>
          <cell r="J31" t="str">
            <v>-</v>
          </cell>
          <cell r="K31">
            <v>6164</v>
          </cell>
          <cell r="L31">
            <v>1</v>
          </cell>
        </row>
        <row r="32">
          <cell r="A32">
            <v>53508</v>
          </cell>
          <cell r="B32"/>
          <cell r="C32" t="str">
            <v>20 X 100 ML</v>
          </cell>
          <cell r="D32"/>
          <cell r="E32">
            <v>2521</v>
          </cell>
          <cell r="F32">
            <v>778</v>
          </cell>
          <cell r="G32">
            <v>986</v>
          </cell>
          <cell r="H32">
            <v>1924</v>
          </cell>
          <cell r="I32" t="str">
            <v>-</v>
          </cell>
          <cell r="J32" t="str">
            <v>-</v>
          </cell>
          <cell r="K32">
            <v>6209</v>
          </cell>
          <cell r="L32">
            <v>2</v>
          </cell>
        </row>
        <row r="33">
          <cell r="A33">
            <v>53924</v>
          </cell>
          <cell r="B33"/>
          <cell r="C33" t="str">
            <v>10 X 500 ML</v>
          </cell>
          <cell r="D33"/>
          <cell r="E33">
            <v>18</v>
          </cell>
          <cell r="F33">
            <v>32</v>
          </cell>
          <cell r="G33">
            <v>25</v>
          </cell>
          <cell r="H33">
            <v>10</v>
          </cell>
          <cell r="I33" t="str">
            <v>-</v>
          </cell>
          <cell r="J33" t="str">
            <v>-</v>
          </cell>
          <cell r="K33">
            <v>85</v>
          </cell>
          <cell r="L33">
            <v>5</v>
          </cell>
        </row>
        <row r="34">
          <cell r="A34">
            <v>80926</v>
          </cell>
          <cell r="B34" t="str">
            <v xml:space="preserve">INCIPIO </v>
          </cell>
          <cell r="C34" t="str">
            <v>20 x 40 ml</v>
          </cell>
          <cell r="D34"/>
          <cell r="E34" t="str">
            <v>-</v>
          </cell>
          <cell r="F34" t="str">
            <v>-</v>
          </cell>
          <cell r="G34" t="str">
            <v>-</v>
          </cell>
          <cell r="H34">
            <v>0</v>
          </cell>
          <cell r="I34" t="str">
            <v>-</v>
          </cell>
          <cell r="J34" t="str">
            <v>-</v>
          </cell>
          <cell r="K34">
            <v>0</v>
          </cell>
          <cell r="L34">
            <v>0.8</v>
          </cell>
        </row>
        <row r="35">
          <cell r="A35">
            <v>87913</v>
          </cell>
          <cell r="B35"/>
          <cell r="C35" t="str">
            <v>25 x 40 ml</v>
          </cell>
          <cell r="D35"/>
          <cell r="E35">
            <v>17621</v>
          </cell>
          <cell r="F35">
            <v>2256</v>
          </cell>
          <cell r="G35">
            <v>2999</v>
          </cell>
          <cell r="H35">
            <v>7320</v>
          </cell>
          <cell r="I35" t="str">
            <v>-</v>
          </cell>
          <cell r="J35" t="str">
            <v>-</v>
          </cell>
          <cell r="K35">
            <v>30196</v>
          </cell>
          <cell r="L35">
            <v>1</v>
          </cell>
        </row>
        <row r="36">
          <cell r="A36">
            <v>75229</v>
          </cell>
          <cell r="B36"/>
          <cell r="C36" t="str">
            <v xml:space="preserve">20X100 ML </v>
          </cell>
          <cell r="D36"/>
          <cell r="E36">
            <v>1397</v>
          </cell>
          <cell r="F36">
            <v>39</v>
          </cell>
          <cell r="G36">
            <v>0</v>
          </cell>
          <cell r="H36">
            <v>44</v>
          </cell>
          <cell r="I36" t="str">
            <v>-</v>
          </cell>
          <cell r="J36" t="str">
            <v>-</v>
          </cell>
          <cell r="K36">
            <v>1480</v>
          </cell>
          <cell r="L36">
            <v>2</v>
          </cell>
        </row>
        <row r="37">
          <cell r="A37">
            <v>80927</v>
          </cell>
          <cell r="B37" t="str">
            <v xml:space="preserve">MIRAVIS DUO </v>
          </cell>
          <cell r="C37" t="str">
            <v>20 X 50 ml</v>
          </cell>
          <cell r="D37"/>
          <cell r="E37">
            <v>13270</v>
          </cell>
          <cell r="F37">
            <v>9883</v>
          </cell>
          <cell r="G37">
            <v>2386</v>
          </cell>
          <cell r="H37">
            <v>9164</v>
          </cell>
          <cell r="I37" t="str">
            <v>-</v>
          </cell>
          <cell r="J37" t="str">
            <v>-</v>
          </cell>
          <cell r="K37">
            <v>34703</v>
          </cell>
          <cell r="L37">
            <v>1</v>
          </cell>
        </row>
        <row r="38">
          <cell r="A38">
            <v>81359</v>
          </cell>
          <cell r="B38"/>
          <cell r="C38" t="str">
            <v xml:space="preserve">20X100 ML </v>
          </cell>
          <cell r="D38"/>
          <cell r="E38">
            <v>493</v>
          </cell>
          <cell r="F38">
            <v>551</v>
          </cell>
          <cell r="G38">
            <v>452</v>
          </cell>
          <cell r="H38">
            <v>356</v>
          </cell>
          <cell r="I38" t="str">
            <v>-</v>
          </cell>
          <cell r="J38" t="str">
            <v>-</v>
          </cell>
          <cell r="K38">
            <v>1852</v>
          </cell>
          <cell r="L38">
            <v>2</v>
          </cell>
        </row>
        <row r="39">
          <cell r="A39">
            <v>85803</v>
          </cell>
          <cell r="B39" t="str">
            <v xml:space="preserve">CARIAL FLEX 43WG     </v>
          </cell>
          <cell r="C39" t="str">
            <v>3x10x70 G</v>
          </cell>
          <cell r="D39"/>
          <cell r="E39">
            <v>311</v>
          </cell>
          <cell r="F39">
            <v>18</v>
          </cell>
          <cell r="G39">
            <v>171</v>
          </cell>
          <cell r="H39">
            <v>0</v>
          </cell>
          <cell r="I39" t="str">
            <v>-</v>
          </cell>
          <cell r="J39" t="str">
            <v>-</v>
          </cell>
          <cell r="K39">
            <v>500</v>
          </cell>
          <cell r="L39">
            <v>2.1</v>
          </cell>
        </row>
        <row r="40">
          <cell r="A40">
            <v>55458</v>
          </cell>
          <cell r="B40" t="str">
            <v xml:space="preserve">FILIA 525 SE </v>
          </cell>
          <cell r="C40" t="str">
            <v>20 X 50 ML</v>
          </cell>
          <cell r="D40"/>
          <cell r="E40">
            <v>2918</v>
          </cell>
          <cell r="F40">
            <v>518</v>
          </cell>
          <cell r="G40">
            <v>572</v>
          </cell>
          <cell r="H40">
            <v>1519</v>
          </cell>
          <cell r="I40" t="str">
            <v>-</v>
          </cell>
          <cell r="J40" t="str">
            <v>-</v>
          </cell>
          <cell r="K40">
            <v>5527</v>
          </cell>
          <cell r="L40">
            <v>1</v>
          </cell>
        </row>
        <row r="41">
          <cell r="A41">
            <v>46420</v>
          </cell>
          <cell r="B41"/>
          <cell r="C41" t="str">
            <v>20 X 100 ML</v>
          </cell>
          <cell r="D41"/>
          <cell r="E41">
            <v>3292</v>
          </cell>
          <cell r="F41">
            <v>1229</v>
          </cell>
          <cell r="G41">
            <v>649</v>
          </cell>
          <cell r="H41">
            <v>1479</v>
          </cell>
          <cell r="I41">
            <v>400</v>
          </cell>
          <cell r="J41" t="str">
            <v>-</v>
          </cell>
          <cell r="K41">
            <v>7049</v>
          </cell>
          <cell r="L41">
            <v>2</v>
          </cell>
        </row>
        <row r="42">
          <cell r="A42">
            <v>57918</v>
          </cell>
          <cell r="B42"/>
          <cell r="C42" t="str">
            <v>10 X 500 ML</v>
          </cell>
          <cell r="D42"/>
          <cell r="E42">
            <v>1278</v>
          </cell>
          <cell r="F42">
            <v>293</v>
          </cell>
          <cell r="G42">
            <v>257</v>
          </cell>
          <cell r="H42">
            <v>414</v>
          </cell>
          <cell r="I42">
            <v>302</v>
          </cell>
          <cell r="J42" t="str">
            <v>-</v>
          </cell>
          <cell r="K42">
            <v>2544</v>
          </cell>
          <cell r="L42">
            <v>5</v>
          </cell>
        </row>
        <row r="43">
          <cell r="A43">
            <v>61124</v>
          </cell>
          <cell r="B43" t="str">
            <v>PEGASUS</v>
          </cell>
          <cell r="C43" t="str">
            <v>20 X 100 ML</v>
          </cell>
          <cell r="D43"/>
          <cell r="E43">
            <v>411</v>
          </cell>
          <cell r="F43">
            <v>717</v>
          </cell>
          <cell r="G43">
            <v>345</v>
          </cell>
          <cell r="H43">
            <v>312</v>
          </cell>
          <cell r="I43" t="str">
            <v>-</v>
          </cell>
          <cell r="J43" t="str">
            <v>-</v>
          </cell>
          <cell r="K43">
            <v>1785</v>
          </cell>
          <cell r="L43">
            <v>2</v>
          </cell>
        </row>
        <row r="44">
          <cell r="A44">
            <v>59214</v>
          </cell>
          <cell r="B44"/>
          <cell r="C44" t="str">
            <v>20 X 50 ML</v>
          </cell>
          <cell r="D44"/>
          <cell r="E44">
            <v>596</v>
          </cell>
          <cell r="F44">
            <v>686</v>
          </cell>
          <cell r="G44">
            <v>365</v>
          </cell>
          <cell r="H44">
            <v>0</v>
          </cell>
          <cell r="I44" t="str">
            <v>-</v>
          </cell>
          <cell r="J44" t="str">
            <v>-</v>
          </cell>
          <cell r="K44">
            <v>1647</v>
          </cell>
          <cell r="L44">
            <v>1</v>
          </cell>
        </row>
        <row r="45">
          <cell r="A45">
            <v>84781</v>
          </cell>
          <cell r="B45" t="str">
            <v>PRIME PLUS</v>
          </cell>
          <cell r="C45" t="str">
            <v>12 X 1 LT</v>
          </cell>
          <cell r="D45"/>
          <cell r="E45" t="str">
            <v>-</v>
          </cell>
          <cell r="F45" t="str">
            <v>-</v>
          </cell>
          <cell r="G45" t="str">
            <v>-</v>
          </cell>
          <cell r="H45">
            <v>0</v>
          </cell>
          <cell r="I45" t="str">
            <v>-</v>
          </cell>
          <cell r="J45" t="str">
            <v>-</v>
          </cell>
          <cell r="K45">
            <v>0</v>
          </cell>
          <cell r="L45">
            <v>12</v>
          </cell>
        </row>
        <row r="46">
          <cell r="A46">
            <v>75062</v>
          </cell>
          <cell r="B46" t="str">
            <v>CALARIS XTRA</v>
          </cell>
          <cell r="C46" t="str">
            <v>20 X 500 ML</v>
          </cell>
          <cell r="D46"/>
          <cell r="E46">
            <v>59</v>
          </cell>
          <cell r="F46">
            <v>493</v>
          </cell>
          <cell r="G46">
            <v>481</v>
          </cell>
          <cell r="H46">
            <v>0</v>
          </cell>
          <cell r="I46" t="str">
            <v>-</v>
          </cell>
          <cell r="J46" t="str">
            <v>-</v>
          </cell>
          <cell r="K46">
            <v>1033</v>
          </cell>
          <cell r="L46">
            <v>10</v>
          </cell>
        </row>
        <row r="47">
          <cell r="A47">
            <v>80490</v>
          </cell>
          <cell r="B47" t="str">
            <v>CLAVENGO</v>
          </cell>
          <cell r="C47" t="str">
            <v>50 x 200 ml</v>
          </cell>
          <cell r="D47"/>
          <cell r="E47">
            <v>3</v>
          </cell>
          <cell r="F47" t="str">
            <v>-</v>
          </cell>
          <cell r="G47" t="str">
            <v>-</v>
          </cell>
          <cell r="H47">
            <v>0</v>
          </cell>
          <cell r="I47" t="str">
            <v>-</v>
          </cell>
          <cell r="J47" t="str">
            <v>-</v>
          </cell>
          <cell r="K47">
            <v>3</v>
          </cell>
          <cell r="L47">
            <v>10</v>
          </cell>
        </row>
        <row r="48">
          <cell r="A48">
            <v>82888</v>
          </cell>
          <cell r="B48" t="str">
            <v xml:space="preserve">FASAL UP 48SL       </v>
          </cell>
          <cell r="C48" t="str">
            <v>10 X 1 LT</v>
          </cell>
          <cell r="D48"/>
          <cell r="E48">
            <v>13</v>
          </cell>
          <cell r="F48">
            <v>10</v>
          </cell>
          <cell r="G48">
            <v>8</v>
          </cell>
          <cell r="H48">
            <v>0</v>
          </cell>
          <cell r="I48" t="str">
            <v>-</v>
          </cell>
          <cell r="J48" t="str">
            <v>-</v>
          </cell>
          <cell r="K48">
            <v>31</v>
          </cell>
          <cell r="L48">
            <v>10</v>
          </cell>
        </row>
        <row r="49">
          <cell r="A49">
            <v>82898</v>
          </cell>
          <cell r="B49"/>
          <cell r="C49" t="str">
            <v xml:space="preserve">10X500 ML </v>
          </cell>
          <cell r="D49"/>
          <cell r="E49">
            <v>231</v>
          </cell>
          <cell r="F49">
            <v>104</v>
          </cell>
          <cell r="G49">
            <v>146</v>
          </cell>
          <cell r="H49">
            <v>74</v>
          </cell>
          <cell r="I49" t="str">
            <v>-</v>
          </cell>
          <cell r="J49" t="str">
            <v>-</v>
          </cell>
          <cell r="K49">
            <v>555</v>
          </cell>
          <cell r="L49">
            <v>5</v>
          </cell>
        </row>
        <row r="50">
          <cell r="A50">
            <v>88294</v>
          </cell>
          <cell r="B50" t="str">
            <v xml:space="preserve">ATRESIA </v>
          </cell>
          <cell r="C50" t="str">
            <v xml:space="preserve"> 100X50 ML</v>
          </cell>
          <cell r="D50"/>
          <cell r="E50">
            <v>95</v>
          </cell>
          <cell r="F50">
            <v>17</v>
          </cell>
          <cell r="G50">
            <v>29</v>
          </cell>
          <cell r="H50">
            <v>5</v>
          </cell>
          <cell r="I50" t="str">
            <v>-</v>
          </cell>
          <cell r="J50" t="str">
            <v>-</v>
          </cell>
          <cell r="K50">
            <v>146</v>
          </cell>
          <cell r="L50">
            <v>5</v>
          </cell>
        </row>
        <row r="51">
          <cell r="A51">
            <v>85250</v>
          </cell>
          <cell r="B51" t="str">
            <v>ARMURE 30EC</v>
          </cell>
          <cell r="C51" t="str">
            <v>20 X 100 ML</v>
          </cell>
          <cell r="D51"/>
          <cell r="E51">
            <v>330</v>
          </cell>
          <cell r="F51">
            <v>157</v>
          </cell>
          <cell r="G51">
            <v>166</v>
          </cell>
          <cell r="H51">
            <v>212</v>
          </cell>
          <cell r="I51" t="str">
            <v>-</v>
          </cell>
          <cell r="J51" t="str">
            <v>-</v>
          </cell>
          <cell r="K51">
            <v>865</v>
          </cell>
          <cell r="L51">
            <v>2</v>
          </cell>
        </row>
        <row r="52">
          <cell r="A52">
            <v>59997</v>
          </cell>
          <cell r="B52" t="str">
            <v>FUSILADE MAX</v>
          </cell>
          <cell r="C52" t="str">
            <v>20 X 100 ML</v>
          </cell>
          <cell r="D52"/>
          <cell r="E52" t="str">
            <v>-</v>
          </cell>
          <cell r="F52" t="str">
            <v>-</v>
          </cell>
          <cell r="G52" t="str">
            <v>-</v>
          </cell>
          <cell r="H52">
            <v>0</v>
          </cell>
          <cell r="I52" t="str">
            <v>-</v>
          </cell>
          <cell r="J52" t="str">
            <v>-</v>
          </cell>
          <cell r="K52">
            <v>0</v>
          </cell>
          <cell r="L52">
            <v>2</v>
          </cell>
        </row>
        <row r="53">
          <cell r="A53">
            <v>72598</v>
          </cell>
          <cell r="B53" t="str">
            <v>VIRTAKO 40 WG</v>
          </cell>
          <cell r="C53" t="str">
            <v>4 X 10 X 10 GM</v>
          </cell>
          <cell r="D53"/>
          <cell r="E53">
            <v>7715</v>
          </cell>
          <cell r="F53">
            <v>8681</v>
          </cell>
          <cell r="G53">
            <v>8596</v>
          </cell>
          <cell r="H53">
            <v>6111</v>
          </cell>
          <cell r="I53" t="str">
            <v>-</v>
          </cell>
          <cell r="J53" t="str">
            <v>-</v>
          </cell>
          <cell r="K53">
            <v>31103</v>
          </cell>
          <cell r="L53">
            <v>0.4</v>
          </cell>
        </row>
        <row r="54">
          <cell r="A54">
            <v>72597</v>
          </cell>
          <cell r="B54"/>
          <cell r="C54" t="str">
            <v>2 X 10 X 30 GM</v>
          </cell>
          <cell r="D54"/>
          <cell r="E54">
            <v>1593</v>
          </cell>
          <cell r="F54">
            <v>756</v>
          </cell>
          <cell r="G54">
            <v>1361</v>
          </cell>
          <cell r="H54">
            <v>597</v>
          </cell>
          <cell r="I54" t="str">
            <v>-</v>
          </cell>
          <cell r="J54" t="str">
            <v>-</v>
          </cell>
          <cell r="K54">
            <v>4307</v>
          </cell>
          <cell r="L54">
            <v>0.6</v>
          </cell>
        </row>
        <row r="55">
          <cell r="A55">
            <v>88739</v>
          </cell>
          <cell r="B55" t="str">
            <v>VIRTAKO COMBO</v>
          </cell>
          <cell r="C55" t="str">
            <v>50X10 Gm</v>
          </cell>
          <cell r="D55"/>
          <cell r="E55">
            <v>4</v>
          </cell>
          <cell r="F55">
            <v>0</v>
          </cell>
          <cell r="G55">
            <v>0</v>
          </cell>
          <cell r="H55">
            <v>0</v>
          </cell>
          <cell r="I55" t="str">
            <v>-</v>
          </cell>
          <cell r="J55" t="str">
            <v>-</v>
          </cell>
          <cell r="K55">
            <v>4</v>
          </cell>
          <cell r="L55">
            <v>0.5</v>
          </cell>
        </row>
        <row r="56">
          <cell r="A56">
            <v>84811</v>
          </cell>
          <cell r="B56" t="str">
            <v>VESTORIA 20WG   </v>
          </cell>
          <cell r="C56" t="str">
            <v>10X50 G       </v>
          </cell>
          <cell r="D56"/>
          <cell r="E56" t="str">
            <v>-</v>
          </cell>
          <cell r="F56" t="str">
            <v>-</v>
          </cell>
          <cell r="G56" t="str">
            <v>-</v>
          </cell>
          <cell r="H56">
            <v>0</v>
          </cell>
          <cell r="I56" t="str">
            <v>-</v>
          </cell>
          <cell r="J56" t="str">
            <v>-</v>
          </cell>
          <cell r="K56">
            <v>0</v>
          </cell>
          <cell r="L56">
            <v>0.5</v>
          </cell>
        </row>
        <row r="57">
          <cell r="A57">
            <v>84793</v>
          </cell>
          <cell r="B57"/>
          <cell r="C57" t="str">
            <v>25X15 G</v>
          </cell>
          <cell r="D57"/>
          <cell r="E57">
            <v>1436</v>
          </cell>
          <cell r="F57">
            <v>525</v>
          </cell>
          <cell r="G57">
            <v>887</v>
          </cell>
          <cell r="H57">
            <v>645</v>
          </cell>
          <cell r="I57">
            <v>2</v>
          </cell>
          <cell r="J57" t="str">
            <v>-</v>
          </cell>
          <cell r="K57">
            <v>3495</v>
          </cell>
          <cell r="L57" t="str">
            <v>0.375</v>
          </cell>
        </row>
        <row r="58">
          <cell r="A58">
            <v>87224</v>
          </cell>
          <cell r="B58" t="str">
            <v xml:space="preserve">DENIM FIT 50 WG         </v>
          </cell>
          <cell r="C58" t="str">
            <v xml:space="preserve">4X12X10 G </v>
          </cell>
          <cell r="D58"/>
          <cell r="E58">
            <v>358</v>
          </cell>
          <cell r="F58">
            <v>320</v>
          </cell>
          <cell r="G58">
            <v>261</v>
          </cell>
          <cell r="H58">
            <v>318</v>
          </cell>
          <cell r="I58" t="str">
            <v>-</v>
          </cell>
          <cell r="J58" t="str">
            <v>-</v>
          </cell>
          <cell r="K58">
            <v>1257</v>
          </cell>
          <cell r="L58">
            <v>0.48</v>
          </cell>
        </row>
        <row r="59">
          <cell r="A59">
            <v>38775</v>
          </cell>
          <cell r="B59" t="str">
            <v>RIDOMIL GOLD MZ68 WG</v>
          </cell>
          <cell r="C59" t="str">
            <v>30 X 100 GM</v>
          </cell>
          <cell r="D59"/>
          <cell r="E59">
            <v>3875</v>
          </cell>
          <cell r="F59">
            <v>789</v>
          </cell>
          <cell r="G59">
            <v>2109</v>
          </cell>
          <cell r="H59">
            <v>3924</v>
          </cell>
          <cell r="I59" t="str">
            <v>-</v>
          </cell>
          <cell r="J59" t="str">
            <v>-</v>
          </cell>
          <cell r="K59">
            <v>10697</v>
          </cell>
          <cell r="L59">
            <v>3</v>
          </cell>
        </row>
        <row r="60">
          <cell r="A60">
            <v>38776</v>
          </cell>
          <cell r="B60"/>
          <cell r="C60" t="str">
            <v>10 X 500 GM</v>
          </cell>
          <cell r="D60"/>
          <cell r="E60">
            <v>3896</v>
          </cell>
          <cell r="F60">
            <v>792</v>
          </cell>
          <cell r="G60">
            <v>1197</v>
          </cell>
          <cell r="H60">
            <v>2066</v>
          </cell>
          <cell r="I60" t="str">
            <v>-</v>
          </cell>
          <cell r="J60" t="str">
            <v>-</v>
          </cell>
          <cell r="K60">
            <v>7951</v>
          </cell>
          <cell r="L60">
            <v>5</v>
          </cell>
        </row>
        <row r="61">
          <cell r="A61">
            <v>16238</v>
          </cell>
          <cell r="B61" t="str">
            <v>THIOVIT 80WG</v>
          </cell>
          <cell r="C61" t="str">
            <v>10 X 0.5 KG</v>
          </cell>
          <cell r="D61"/>
          <cell r="E61">
            <v>2657</v>
          </cell>
          <cell r="F61">
            <v>2671</v>
          </cell>
          <cell r="G61">
            <v>972</v>
          </cell>
          <cell r="H61">
            <v>4721</v>
          </cell>
          <cell r="I61" t="str">
            <v>-</v>
          </cell>
          <cell r="J61" t="str">
            <v>-</v>
          </cell>
          <cell r="K61">
            <v>11021</v>
          </cell>
          <cell r="L61">
            <v>5</v>
          </cell>
        </row>
        <row r="62">
          <cell r="A62">
            <v>16239</v>
          </cell>
          <cell r="B62"/>
          <cell r="C62" t="str">
            <v>10 X 1 KG</v>
          </cell>
          <cell r="D62"/>
          <cell r="E62" t="str">
            <v>-</v>
          </cell>
          <cell r="F62">
            <v>0</v>
          </cell>
          <cell r="G62">
            <v>2637</v>
          </cell>
          <cell r="H62">
            <v>1883</v>
          </cell>
          <cell r="I62" t="str">
            <v>-</v>
          </cell>
          <cell r="J62" t="str">
            <v>-</v>
          </cell>
          <cell r="K62">
            <v>4520</v>
          </cell>
          <cell r="L62">
            <v>10</v>
          </cell>
        </row>
        <row r="63">
          <cell r="A63">
            <v>16240</v>
          </cell>
          <cell r="B63"/>
          <cell r="C63" t="str">
            <v>5 X 2 KG</v>
          </cell>
          <cell r="D63"/>
          <cell r="E63" t="str">
            <v>-</v>
          </cell>
          <cell r="F63" t="str">
            <v>-</v>
          </cell>
          <cell r="G63" t="str">
            <v>-</v>
          </cell>
          <cell r="H63">
            <v>0</v>
          </cell>
          <cell r="I63" t="str">
            <v>-</v>
          </cell>
          <cell r="J63" t="str">
            <v>-</v>
          </cell>
          <cell r="K63">
            <v>0</v>
          </cell>
          <cell r="L63">
            <v>10</v>
          </cell>
        </row>
        <row r="64">
          <cell r="A64">
            <v>92798</v>
          </cell>
          <cell r="B64"/>
          <cell r="C64" t="str">
            <v>12 X 1 KG</v>
          </cell>
          <cell r="D64"/>
          <cell r="E64">
            <v>7885</v>
          </cell>
          <cell r="F64">
            <v>5341</v>
          </cell>
          <cell r="G64">
            <v>6744</v>
          </cell>
          <cell r="H64">
            <v>13488</v>
          </cell>
          <cell r="I64" t="str">
            <v>-</v>
          </cell>
          <cell r="J64" t="str">
            <v>-</v>
          </cell>
          <cell r="K64">
            <v>33458</v>
          </cell>
          <cell r="L64">
            <v>12</v>
          </cell>
        </row>
        <row r="65">
          <cell r="A65">
            <v>92795</v>
          </cell>
          <cell r="B65"/>
          <cell r="C65" t="str">
            <v>6 X 2 KG</v>
          </cell>
          <cell r="D65"/>
          <cell r="E65">
            <v>19743</v>
          </cell>
          <cell r="F65">
            <v>16012</v>
          </cell>
          <cell r="G65">
            <v>2203</v>
          </cell>
          <cell r="H65">
            <v>4106</v>
          </cell>
          <cell r="I65" t="str">
            <v>-</v>
          </cell>
          <cell r="J65" t="str">
            <v>-</v>
          </cell>
          <cell r="K65">
            <v>42064</v>
          </cell>
          <cell r="L65">
            <v>12</v>
          </cell>
        </row>
        <row r="66">
          <cell r="A66">
            <v>202255</v>
          </cell>
          <cell r="B66" t="str">
            <v>SPRAYER</v>
          </cell>
          <cell r="C66" t="str">
            <v>PJ -16</v>
          </cell>
          <cell r="D66"/>
          <cell r="E66">
            <v>2000</v>
          </cell>
          <cell r="F66">
            <v>480</v>
          </cell>
          <cell r="G66">
            <v>608</v>
          </cell>
          <cell r="H66">
            <v>794</v>
          </cell>
          <cell r="I66" t="str">
            <v>-</v>
          </cell>
          <cell r="J66" t="str">
            <v>-</v>
          </cell>
          <cell r="K66">
            <v>3882</v>
          </cell>
          <cell r="L66">
            <v>1</v>
          </cell>
        </row>
        <row r="67">
          <cell r="A67">
            <v>4035253</v>
          </cell>
          <cell r="B67"/>
          <cell r="C67" t="str">
            <v>XP-16</v>
          </cell>
          <cell r="D67"/>
          <cell r="E67">
            <v>303</v>
          </cell>
          <cell r="F67">
            <v>346</v>
          </cell>
          <cell r="G67">
            <v>453</v>
          </cell>
          <cell r="H67">
            <v>263</v>
          </cell>
          <cell r="I67" t="str">
            <v>-</v>
          </cell>
          <cell r="J67" t="str">
            <v>-</v>
          </cell>
          <cell r="K67">
            <v>1365</v>
          </cell>
          <cell r="L67">
            <v>1</v>
          </cell>
        </row>
        <row r="68">
          <cell r="A68">
            <v>34779</v>
          </cell>
          <cell r="B68" t="str">
            <v>ACTARA 25 WG</v>
          </cell>
          <cell r="C68" t="str">
            <v>25 X 8 X 5 GM</v>
          </cell>
          <cell r="D68"/>
          <cell r="E68" t="str">
            <v>-</v>
          </cell>
          <cell r="F68" t="str">
            <v>-</v>
          </cell>
          <cell r="G68" t="str">
            <v>-</v>
          </cell>
          <cell r="H68">
            <v>0</v>
          </cell>
          <cell r="I68" t="str">
            <v>-</v>
          </cell>
          <cell r="J68" t="str">
            <v>-</v>
          </cell>
          <cell r="K68">
            <v>0</v>
          </cell>
          <cell r="L68">
            <v>1</v>
          </cell>
        </row>
        <row r="69">
          <cell r="A69">
            <v>87221</v>
          </cell>
          <cell r="B69"/>
          <cell r="C69" t="str">
            <v>20x12x5 G GM</v>
          </cell>
          <cell r="D69"/>
          <cell r="E69">
            <v>294</v>
          </cell>
          <cell r="F69">
            <v>356</v>
          </cell>
          <cell r="G69">
            <v>239</v>
          </cell>
          <cell r="H69">
            <v>630</v>
          </cell>
          <cell r="I69" t="str">
            <v>-</v>
          </cell>
          <cell r="J69" t="str">
            <v>-</v>
          </cell>
          <cell r="K69">
            <v>1519</v>
          </cell>
          <cell r="L69">
            <v>1.2</v>
          </cell>
        </row>
        <row r="70">
          <cell r="A70">
            <v>70897</v>
          </cell>
          <cell r="B70" t="str">
            <v>PROCLAIM 5SG</v>
          </cell>
          <cell r="C70" t="str">
            <v>2 x 10 x 30 gm</v>
          </cell>
          <cell r="D70"/>
          <cell r="E70">
            <v>468</v>
          </cell>
          <cell r="F70">
            <v>1688</v>
          </cell>
          <cell r="G70">
            <v>645</v>
          </cell>
          <cell r="H70">
            <v>578</v>
          </cell>
          <cell r="I70" t="str">
            <v>-</v>
          </cell>
          <cell r="J70" t="str">
            <v>-</v>
          </cell>
          <cell r="K70">
            <v>3379</v>
          </cell>
          <cell r="L70">
            <v>0.6</v>
          </cell>
        </row>
        <row r="71">
          <cell r="A71">
            <v>70887</v>
          </cell>
          <cell r="B71"/>
          <cell r="C71" t="str">
            <v>4 X 10 X 10 GM</v>
          </cell>
          <cell r="D71"/>
          <cell r="E71" t="str">
            <v>-</v>
          </cell>
          <cell r="F71">
            <v>0</v>
          </cell>
          <cell r="G71" t="str">
            <v>-</v>
          </cell>
          <cell r="H71">
            <v>0</v>
          </cell>
          <cell r="I71" t="str">
            <v>-</v>
          </cell>
          <cell r="J71" t="str">
            <v>-</v>
          </cell>
          <cell r="K71">
            <v>0</v>
          </cell>
          <cell r="L71">
            <v>0.4</v>
          </cell>
        </row>
        <row r="72">
          <cell r="A72">
            <v>87199</v>
          </cell>
          <cell r="B72" t="str">
            <v>PROCLAIM 5SG</v>
          </cell>
          <cell r="C72" t="str">
            <v>4X 12 X 10 GM</v>
          </cell>
          <cell r="D72"/>
          <cell r="E72">
            <v>611</v>
          </cell>
          <cell r="F72">
            <v>746</v>
          </cell>
          <cell r="G72">
            <v>238</v>
          </cell>
          <cell r="H72">
            <v>111</v>
          </cell>
          <cell r="I72">
            <v>243</v>
          </cell>
          <cell r="J72" t="str">
            <v>-</v>
          </cell>
          <cell r="K72">
            <v>1949</v>
          </cell>
          <cell r="L72">
            <v>0.48</v>
          </cell>
        </row>
        <row r="73">
          <cell r="A73">
            <v>35440</v>
          </cell>
          <cell r="B73" t="str">
            <v>GROZIN</v>
          </cell>
          <cell r="C73" t="str">
            <v>10 X 1 KG</v>
          </cell>
          <cell r="D73"/>
          <cell r="E73" t="str">
            <v>-</v>
          </cell>
          <cell r="F73" t="str">
            <v>-</v>
          </cell>
          <cell r="G73" t="str">
            <v>-</v>
          </cell>
          <cell r="H73">
            <v>0</v>
          </cell>
          <cell r="I73" t="str">
            <v>-</v>
          </cell>
          <cell r="J73" t="str">
            <v>-</v>
          </cell>
          <cell r="K73">
            <v>0</v>
          </cell>
          <cell r="L73">
            <v>10</v>
          </cell>
        </row>
        <row r="74">
          <cell r="A74">
            <v>92493</v>
          </cell>
          <cell r="B74"/>
          <cell r="C74" t="str">
            <v>10 X 1 KG (sac)</v>
          </cell>
          <cell r="D74"/>
          <cell r="E74">
            <v>9053</v>
          </cell>
          <cell r="F74">
            <v>7392</v>
          </cell>
          <cell r="G74">
            <v>2566</v>
          </cell>
          <cell r="H74">
            <v>7807</v>
          </cell>
          <cell r="I74" t="str">
            <v>-</v>
          </cell>
          <cell r="J74" t="str">
            <v>-</v>
          </cell>
          <cell r="K74">
            <v>26818</v>
          </cell>
          <cell r="L74">
            <v>10</v>
          </cell>
        </row>
        <row r="75">
          <cell r="A75">
            <v>56655</v>
          </cell>
          <cell r="B75"/>
          <cell r="C75" t="str">
            <v>5 X 2 KG</v>
          </cell>
          <cell r="D75"/>
          <cell r="E75" t="str">
            <v>-</v>
          </cell>
          <cell r="F75" t="str">
            <v>-</v>
          </cell>
          <cell r="G75" t="str">
            <v>-</v>
          </cell>
          <cell r="H75">
            <v>0</v>
          </cell>
          <cell r="I75" t="str">
            <v>-</v>
          </cell>
          <cell r="J75" t="str">
            <v>-</v>
          </cell>
          <cell r="K75">
            <v>0</v>
          </cell>
          <cell r="L75">
            <v>10</v>
          </cell>
        </row>
        <row r="76">
          <cell r="A76">
            <v>81636</v>
          </cell>
          <cell r="B76"/>
          <cell r="C76" t="str">
            <v>5 X 2 KG (SAC)</v>
          </cell>
          <cell r="D76"/>
          <cell r="E76">
            <v>9289</v>
          </cell>
          <cell r="F76">
            <v>14332</v>
          </cell>
          <cell r="G76">
            <v>8685</v>
          </cell>
          <cell r="H76">
            <v>15749</v>
          </cell>
          <cell r="I76" t="str">
            <v>-</v>
          </cell>
          <cell r="J76">
            <v>1244</v>
          </cell>
          <cell r="K76">
            <v>49299</v>
          </cell>
          <cell r="L76">
            <v>10</v>
          </cell>
        </row>
        <row r="77">
          <cell r="A77">
            <v>63728</v>
          </cell>
          <cell r="B77" t="str">
            <v>BINGO</v>
          </cell>
          <cell r="C77" t="str">
            <v>30 X 100 GM</v>
          </cell>
          <cell r="D77"/>
          <cell r="E77" t="str">
            <v>-</v>
          </cell>
          <cell r="F77" t="str">
            <v>-</v>
          </cell>
          <cell r="G77" t="str">
            <v>-</v>
          </cell>
          <cell r="H77" t="str">
            <v>-</v>
          </cell>
          <cell r="I77" t="str">
            <v>-</v>
          </cell>
          <cell r="J77" t="str">
            <v>-</v>
          </cell>
          <cell r="K77">
            <v>0</v>
          </cell>
          <cell r="L77">
            <v>3</v>
          </cell>
        </row>
        <row r="78">
          <cell r="A78">
            <v>87269</v>
          </cell>
          <cell r="B78"/>
          <cell r="C78" t="str">
            <v>30 X 100 GM (SAC)</v>
          </cell>
          <cell r="D78"/>
          <cell r="E78">
            <v>499</v>
          </cell>
          <cell r="F78">
            <v>481</v>
          </cell>
          <cell r="G78">
            <v>212</v>
          </cell>
          <cell r="H78">
            <v>781</v>
          </cell>
          <cell r="I78" t="str">
            <v>-</v>
          </cell>
          <cell r="J78" t="str">
            <v>-</v>
          </cell>
          <cell r="K78">
            <v>1973</v>
          </cell>
          <cell r="L78">
            <v>3</v>
          </cell>
        </row>
        <row r="79">
          <cell r="A79">
            <v>87848</v>
          </cell>
          <cell r="B79"/>
          <cell r="C79" t="str">
            <v>20 X 500 GM (SAC)</v>
          </cell>
          <cell r="D79"/>
          <cell r="E79">
            <v>262</v>
          </cell>
          <cell r="F79">
            <v>318</v>
          </cell>
          <cell r="G79">
            <v>215</v>
          </cell>
          <cell r="H79">
            <v>87</v>
          </cell>
          <cell r="I79" t="str">
            <v>-</v>
          </cell>
          <cell r="J79" t="str">
            <v>-</v>
          </cell>
          <cell r="K79">
            <v>882</v>
          </cell>
          <cell r="L79">
            <v>10</v>
          </cell>
        </row>
        <row r="80">
          <cell r="A80">
            <v>63731</v>
          </cell>
          <cell r="B80" t="str">
            <v>MAGMA</v>
          </cell>
          <cell r="C80" t="str">
            <v>10 X 1 KG</v>
          </cell>
          <cell r="D80"/>
          <cell r="E80" t="str">
            <v>-</v>
          </cell>
          <cell r="F80" t="str">
            <v>-</v>
          </cell>
          <cell r="G80" t="str">
            <v>-</v>
          </cell>
          <cell r="H80">
            <v>0</v>
          </cell>
          <cell r="I80" t="str">
            <v>-</v>
          </cell>
          <cell r="J80" t="str">
            <v>-</v>
          </cell>
          <cell r="K80">
            <v>0</v>
          </cell>
          <cell r="L80">
            <v>10</v>
          </cell>
        </row>
        <row r="81">
          <cell r="A81">
            <v>90521</v>
          </cell>
          <cell r="B81"/>
          <cell r="C81" t="str">
            <v>10 X 1 KG</v>
          </cell>
          <cell r="D81"/>
          <cell r="E81">
            <v>5559</v>
          </cell>
          <cell r="F81">
            <v>4181</v>
          </cell>
          <cell r="G81">
            <v>1936</v>
          </cell>
          <cell r="H81">
            <v>6419</v>
          </cell>
          <cell r="I81" t="str">
            <v>-</v>
          </cell>
          <cell r="J81" t="str">
            <v>-</v>
          </cell>
          <cell r="K81">
            <v>18095</v>
          </cell>
          <cell r="L81">
            <v>10</v>
          </cell>
        </row>
        <row r="82">
          <cell r="A82">
            <v>55296</v>
          </cell>
          <cell r="B82"/>
          <cell r="C82" t="str">
            <v>5 X 2 KG</v>
          </cell>
          <cell r="D82"/>
          <cell r="E82" t="str">
            <v>-</v>
          </cell>
          <cell r="F82" t="str">
            <v>-</v>
          </cell>
          <cell r="G82" t="str">
            <v>-</v>
          </cell>
          <cell r="H82">
            <v>0</v>
          </cell>
          <cell r="I82" t="str">
            <v>-</v>
          </cell>
          <cell r="J82" t="str">
            <v>-</v>
          </cell>
          <cell r="K82">
            <v>0</v>
          </cell>
          <cell r="L82">
            <v>10</v>
          </cell>
        </row>
        <row r="83">
          <cell r="A83">
            <v>90556</v>
          </cell>
          <cell r="B83"/>
          <cell r="C83" t="str">
            <v>5 X 2 KG</v>
          </cell>
          <cell r="D83"/>
          <cell r="E83">
            <v>1496</v>
          </cell>
          <cell r="F83">
            <v>2567</v>
          </cell>
          <cell r="G83">
            <v>2090</v>
          </cell>
          <cell r="H83">
            <v>1641</v>
          </cell>
          <cell r="I83" t="str">
            <v>-</v>
          </cell>
          <cell r="J83" t="str">
            <v>-</v>
          </cell>
          <cell r="K83">
            <v>7794</v>
          </cell>
          <cell r="L83">
            <v>10</v>
          </cell>
        </row>
        <row r="84">
          <cell r="A84">
            <v>35723</v>
          </cell>
          <cell r="B84" t="str">
            <v>LANIRAT</v>
          </cell>
          <cell r="C84" t="str">
            <v>40 X 100 GM</v>
          </cell>
          <cell r="D84"/>
          <cell r="E84">
            <v>1453</v>
          </cell>
          <cell r="F84">
            <v>880</v>
          </cell>
          <cell r="G84">
            <v>739</v>
          </cell>
          <cell r="H84">
            <v>1874</v>
          </cell>
          <cell r="I84" t="str">
            <v>-</v>
          </cell>
          <cell r="J84" t="str">
            <v>-</v>
          </cell>
          <cell r="K84">
            <v>4946</v>
          </cell>
          <cell r="L84">
            <v>4</v>
          </cell>
        </row>
        <row r="85">
          <cell r="A85">
            <v>43868</v>
          </cell>
          <cell r="B85" t="str">
            <v>LASER 10 WP</v>
          </cell>
          <cell r="C85" t="str">
            <v>4 X 30 X 25 ML</v>
          </cell>
          <cell r="D85"/>
          <cell r="E85">
            <v>2626</v>
          </cell>
          <cell r="F85">
            <v>676</v>
          </cell>
          <cell r="G85">
            <v>566</v>
          </cell>
          <cell r="H85">
            <v>601</v>
          </cell>
          <cell r="I85" t="str">
            <v>-</v>
          </cell>
          <cell r="J85" t="str">
            <v>-</v>
          </cell>
          <cell r="K85">
            <v>4469</v>
          </cell>
          <cell r="L85">
            <v>3</v>
          </cell>
        </row>
        <row r="86">
          <cell r="A86">
            <v>52539</v>
          </cell>
          <cell r="B86" t="str">
            <v>JAZZ 80 WP</v>
          </cell>
          <cell r="C86" t="str">
            <v>30 X 100 GM</v>
          </cell>
          <cell r="D86"/>
          <cell r="E86">
            <v>144</v>
          </cell>
          <cell r="F86">
            <v>171</v>
          </cell>
          <cell r="G86">
            <v>157</v>
          </cell>
          <cell r="H86">
            <v>2261</v>
          </cell>
          <cell r="I86" t="str">
            <v>-</v>
          </cell>
          <cell r="J86" t="str">
            <v>-</v>
          </cell>
          <cell r="K86">
            <v>2733</v>
          </cell>
          <cell r="L86">
            <v>3</v>
          </cell>
        </row>
        <row r="87">
          <cell r="A87">
            <v>52537</v>
          </cell>
          <cell r="B87"/>
          <cell r="C87" t="str">
            <v>10 X 500 GM</v>
          </cell>
          <cell r="D87"/>
          <cell r="E87">
            <v>3720</v>
          </cell>
          <cell r="F87">
            <v>647</v>
          </cell>
          <cell r="G87">
            <v>1386</v>
          </cell>
          <cell r="H87">
            <v>4970</v>
          </cell>
          <cell r="I87">
            <v>2</v>
          </cell>
          <cell r="J87" t="str">
            <v>-</v>
          </cell>
          <cell r="K87">
            <v>10725</v>
          </cell>
          <cell r="L87">
            <v>5</v>
          </cell>
        </row>
        <row r="88">
          <cell r="A88">
            <v>45144</v>
          </cell>
          <cell r="B88"/>
          <cell r="C88" t="str">
            <v>10 X 1 KG</v>
          </cell>
          <cell r="D88"/>
          <cell r="E88">
            <v>4</v>
          </cell>
          <cell r="F88">
            <v>0</v>
          </cell>
          <cell r="G88">
            <v>0</v>
          </cell>
          <cell r="H88">
            <v>0</v>
          </cell>
          <cell r="I88">
            <v>2</v>
          </cell>
          <cell r="J88" t="str">
            <v>-</v>
          </cell>
          <cell r="K88">
            <v>6</v>
          </cell>
          <cell r="L88">
            <v>10</v>
          </cell>
        </row>
        <row r="89">
          <cell r="A89">
            <v>64213</v>
          </cell>
          <cell r="B89" t="str">
            <v>PLENUM 50 WG</v>
          </cell>
          <cell r="C89" t="str">
            <v>40 X 50 GM</v>
          </cell>
          <cell r="D89"/>
          <cell r="E89">
            <v>246</v>
          </cell>
          <cell r="F89">
            <v>415</v>
          </cell>
          <cell r="G89">
            <v>248</v>
          </cell>
          <cell r="H89">
            <v>42</v>
          </cell>
          <cell r="I89" t="str">
            <v>-</v>
          </cell>
          <cell r="J89" t="str">
            <v>-</v>
          </cell>
          <cell r="K89">
            <v>951</v>
          </cell>
          <cell r="L89">
            <v>2</v>
          </cell>
        </row>
        <row r="90">
          <cell r="A90">
            <v>66917</v>
          </cell>
          <cell r="B90"/>
          <cell r="C90" t="str">
            <v>2x10 X 100 GM</v>
          </cell>
          <cell r="D90"/>
          <cell r="E90">
            <v>64</v>
          </cell>
          <cell r="F90">
            <v>145</v>
          </cell>
          <cell r="G90">
            <v>107</v>
          </cell>
          <cell r="H90">
            <v>44</v>
          </cell>
          <cell r="I90" t="str">
            <v>-</v>
          </cell>
          <cell r="J90" t="str">
            <v>-</v>
          </cell>
          <cell r="K90">
            <v>360</v>
          </cell>
          <cell r="L90">
            <v>2</v>
          </cell>
        </row>
        <row r="91">
          <cell r="A91">
            <v>47314</v>
          </cell>
          <cell r="B91" t="str">
            <v>SILIKA 80 WG</v>
          </cell>
          <cell r="C91" t="str">
            <v>10 X 0.5 KG</v>
          </cell>
          <cell r="D91"/>
          <cell r="E91" t="str">
            <v>-</v>
          </cell>
          <cell r="F91" t="str">
            <v>-</v>
          </cell>
          <cell r="G91" t="str">
            <v>-</v>
          </cell>
          <cell r="H91" t="str">
            <v>-</v>
          </cell>
          <cell r="I91" t="str">
            <v>-</v>
          </cell>
          <cell r="J91" t="str">
            <v>-</v>
          </cell>
          <cell r="K91">
            <v>0</v>
          </cell>
          <cell r="L91">
            <v>5</v>
          </cell>
        </row>
        <row r="92">
          <cell r="A92">
            <v>63914</v>
          </cell>
          <cell r="B92"/>
          <cell r="C92" t="str">
            <v>5 X 2 KG</v>
          </cell>
          <cell r="D92"/>
          <cell r="E92" t="str">
            <v>-</v>
          </cell>
          <cell r="F92" t="str">
            <v>-</v>
          </cell>
          <cell r="G92" t="str">
            <v>-</v>
          </cell>
          <cell r="H92" t="str">
            <v>-</v>
          </cell>
          <cell r="I92" t="str">
            <v>-</v>
          </cell>
          <cell r="J92" t="str">
            <v>-</v>
          </cell>
          <cell r="K92">
            <v>0</v>
          </cell>
          <cell r="L92">
            <v>10</v>
          </cell>
        </row>
        <row r="93">
          <cell r="A93">
            <v>58337</v>
          </cell>
          <cell r="B93"/>
          <cell r="C93" t="str">
            <v>10 X 1 KG</v>
          </cell>
          <cell r="D93"/>
          <cell r="E93">
            <v>722</v>
          </cell>
          <cell r="F93">
            <v>373</v>
          </cell>
          <cell r="G93">
            <v>356</v>
          </cell>
          <cell r="H93">
            <v>5</v>
          </cell>
          <cell r="I93" t="str">
            <v>-</v>
          </cell>
          <cell r="J93" t="str">
            <v>-</v>
          </cell>
          <cell r="K93">
            <v>1456</v>
          </cell>
          <cell r="L93">
            <v>10</v>
          </cell>
        </row>
        <row r="94">
          <cell r="A94">
            <v>63913</v>
          </cell>
          <cell r="B94" t="str">
            <v>CRUISER 70 WS</v>
          </cell>
          <cell r="C94" t="str">
            <v>2 X 25 X 20 GM</v>
          </cell>
          <cell r="D94"/>
          <cell r="E94">
            <v>3</v>
          </cell>
          <cell r="F94">
            <v>0</v>
          </cell>
          <cell r="G94">
            <v>31</v>
          </cell>
          <cell r="H94">
            <v>0</v>
          </cell>
          <cell r="I94" t="str">
            <v>-</v>
          </cell>
          <cell r="J94" t="str">
            <v>-</v>
          </cell>
          <cell r="K94">
            <v>34</v>
          </cell>
          <cell r="L94">
            <v>1</v>
          </cell>
        </row>
        <row r="95">
          <cell r="A95">
            <v>68507</v>
          </cell>
          <cell r="B95" t="str">
            <v xml:space="preserve">CALIBER </v>
          </cell>
          <cell r="C95" t="str">
            <v>30X100GM</v>
          </cell>
          <cell r="D95"/>
          <cell r="E95">
            <v>393</v>
          </cell>
          <cell r="F95">
            <v>124</v>
          </cell>
          <cell r="G95">
            <v>172</v>
          </cell>
          <cell r="H95">
            <v>113</v>
          </cell>
          <cell r="I95" t="str">
            <v>-</v>
          </cell>
          <cell r="J95" t="str">
            <v>-</v>
          </cell>
          <cell r="K95">
            <v>802</v>
          </cell>
          <cell r="L95">
            <v>3</v>
          </cell>
        </row>
        <row r="96">
          <cell r="A96">
            <v>70283</v>
          </cell>
          <cell r="B96"/>
          <cell r="C96" t="str">
            <v>10 X 500 GM</v>
          </cell>
          <cell r="D96"/>
          <cell r="E96">
            <v>789</v>
          </cell>
          <cell r="F96">
            <v>6</v>
          </cell>
          <cell r="G96">
            <v>30</v>
          </cell>
          <cell r="H96">
            <v>0</v>
          </cell>
          <cell r="I96" t="str">
            <v>-</v>
          </cell>
          <cell r="J96" t="str">
            <v>-</v>
          </cell>
          <cell r="K96">
            <v>825</v>
          </cell>
          <cell r="L96">
            <v>5</v>
          </cell>
        </row>
        <row r="97">
          <cell r="A97">
            <v>68508</v>
          </cell>
          <cell r="B97" t="str">
            <v>FASAL TAP</v>
          </cell>
          <cell r="C97" t="str">
            <v>30X100 GM</v>
          </cell>
          <cell r="D97"/>
          <cell r="E97">
            <v>1</v>
          </cell>
          <cell r="F97" t="str">
            <v>-</v>
          </cell>
          <cell r="G97" t="str">
            <v>-</v>
          </cell>
          <cell r="H97">
            <v>0</v>
          </cell>
          <cell r="I97" t="str">
            <v>-</v>
          </cell>
          <cell r="J97" t="str">
            <v>-</v>
          </cell>
          <cell r="K97">
            <v>1</v>
          </cell>
          <cell r="L97">
            <v>3</v>
          </cell>
        </row>
        <row r="98">
          <cell r="A98">
            <v>72523</v>
          </cell>
          <cell r="B98"/>
          <cell r="C98" t="str">
            <v>40X50 GM</v>
          </cell>
          <cell r="D98"/>
          <cell r="E98">
            <v>233.5</v>
          </cell>
          <cell r="F98">
            <v>237</v>
          </cell>
          <cell r="G98">
            <v>265</v>
          </cell>
          <cell r="H98">
            <v>283</v>
          </cell>
          <cell r="I98" t="str">
            <v>-</v>
          </cell>
          <cell r="J98" t="str">
            <v>-</v>
          </cell>
          <cell r="K98">
            <v>1018.5</v>
          </cell>
          <cell r="L98">
            <v>2</v>
          </cell>
        </row>
        <row r="99">
          <cell r="A99">
            <v>69037</v>
          </cell>
          <cell r="B99" t="str">
            <v>Gayle 18WP</v>
          </cell>
          <cell r="C99" t="str">
            <v xml:space="preserve"> 30x100 gm</v>
          </cell>
          <cell r="D99"/>
          <cell r="E99">
            <v>1556</v>
          </cell>
          <cell r="F99">
            <v>1000</v>
          </cell>
          <cell r="G99">
            <v>886</v>
          </cell>
          <cell r="H99">
            <v>1320</v>
          </cell>
          <cell r="I99" t="str">
            <v>-</v>
          </cell>
          <cell r="J99" t="str">
            <v>-</v>
          </cell>
          <cell r="K99">
            <v>4762</v>
          </cell>
          <cell r="L99">
            <v>3</v>
          </cell>
        </row>
        <row r="100">
          <cell r="A100">
            <v>88725</v>
          </cell>
          <cell r="B100" t="str">
            <v>CULTAR 259 SC</v>
          </cell>
          <cell r="C100" t="str">
            <v>10 X 500 ML</v>
          </cell>
          <cell r="D100"/>
          <cell r="E100">
            <v>235</v>
          </cell>
          <cell r="F100" t="str">
            <v>-</v>
          </cell>
          <cell r="G100" t="str">
            <v>-</v>
          </cell>
          <cell r="H100" t="str">
            <v>-</v>
          </cell>
          <cell r="I100">
            <v>394</v>
          </cell>
          <cell r="J100" t="str">
            <v>-</v>
          </cell>
          <cell r="K100">
            <v>629</v>
          </cell>
          <cell r="L100">
            <v>5</v>
          </cell>
        </row>
        <row r="101">
          <cell r="A101">
            <v>69667</v>
          </cell>
          <cell r="B101" t="str">
            <v>Alika</v>
          </cell>
          <cell r="C101" t="str">
            <v>20X50ml</v>
          </cell>
          <cell r="D101"/>
          <cell r="E101" t="str">
            <v>-</v>
          </cell>
          <cell r="F101" t="str">
            <v>-</v>
          </cell>
          <cell r="G101" t="str">
            <v>-</v>
          </cell>
          <cell r="H101">
            <v>0</v>
          </cell>
          <cell r="I101" t="str">
            <v>-</v>
          </cell>
          <cell r="J101" t="str">
            <v>-</v>
          </cell>
          <cell r="K101">
            <v>0</v>
          </cell>
          <cell r="L101">
            <v>1</v>
          </cell>
        </row>
        <row r="102">
          <cell r="A102">
            <v>70966</v>
          </cell>
          <cell r="B102"/>
          <cell r="C102" t="str">
            <v>20X100ml</v>
          </cell>
          <cell r="D102"/>
          <cell r="E102" t="str">
            <v>-</v>
          </cell>
          <cell r="F102" t="str">
            <v>-</v>
          </cell>
          <cell r="G102" t="str">
            <v>-</v>
          </cell>
          <cell r="H102">
            <v>0</v>
          </cell>
          <cell r="I102" t="str">
            <v>-</v>
          </cell>
          <cell r="J102" t="str">
            <v>-</v>
          </cell>
          <cell r="K102">
            <v>0</v>
          </cell>
          <cell r="L102">
            <v>2</v>
          </cell>
        </row>
        <row r="103">
          <cell r="A103">
            <v>70182</v>
          </cell>
          <cell r="B103" t="str">
            <v>Cozy</v>
          </cell>
          <cell r="C103" t="str">
            <v>30X100GM</v>
          </cell>
          <cell r="D103"/>
          <cell r="E103" t="str">
            <v>-</v>
          </cell>
          <cell r="F103" t="str">
            <v>-</v>
          </cell>
          <cell r="G103" t="str">
            <v>-</v>
          </cell>
          <cell r="H103">
            <v>0</v>
          </cell>
          <cell r="I103" t="str">
            <v>-</v>
          </cell>
          <cell r="J103" t="str">
            <v>-</v>
          </cell>
          <cell r="K103">
            <v>0</v>
          </cell>
          <cell r="L103">
            <v>3</v>
          </cell>
        </row>
        <row r="104">
          <cell r="A104">
            <v>67637</v>
          </cell>
          <cell r="B104" t="str">
            <v xml:space="preserve">RIFIT PLUS </v>
          </cell>
          <cell r="C104" t="str">
            <v xml:space="preserve"> 20X250 ML</v>
          </cell>
          <cell r="D104"/>
          <cell r="E104">
            <v>1</v>
          </cell>
          <cell r="F104">
            <v>11</v>
          </cell>
          <cell r="G104">
            <v>0</v>
          </cell>
          <cell r="H104">
            <v>0</v>
          </cell>
          <cell r="I104" t="str">
            <v>-</v>
          </cell>
          <cell r="J104" t="str">
            <v>-</v>
          </cell>
          <cell r="K104">
            <v>12</v>
          </cell>
          <cell r="L104">
            <v>5</v>
          </cell>
        </row>
        <row r="105">
          <cell r="A105">
            <v>78917</v>
          </cell>
          <cell r="B105"/>
          <cell r="C105" t="str">
            <v xml:space="preserve">20x165 ML </v>
          </cell>
          <cell r="D105"/>
          <cell r="E105" t="str">
            <v>-</v>
          </cell>
          <cell r="F105" t="str">
            <v>-</v>
          </cell>
          <cell r="G105" t="str">
            <v>-</v>
          </cell>
          <cell r="H105">
            <v>0</v>
          </cell>
          <cell r="I105" t="str">
            <v>-</v>
          </cell>
          <cell r="J105" t="str">
            <v>-</v>
          </cell>
          <cell r="K105">
            <v>0</v>
          </cell>
          <cell r="L105">
            <v>3.3</v>
          </cell>
        </row>
        <row r="106">
          <cell r="A106">
            <v>70007</v>
          </cell>
          <cell r="B106" t="str">
            <v>FORTENZA 60 FS</v>
          </cell>
          <cell r="C106" t="str">
            <v>10 X 10 ML</v>
          </cell>
          <cell r="D106"/>
          <cell r="E106" t="str">
            <v>-</v>
          </cell>
          <cell r="F106" t="str">
            <v>-</v>
          </cell>
          <cell r="G106" t="str">
            <v>-</v>
          </cell>
          <cell r="H106">
            <v>0</v>
          </cell>
          <cell r="I106" t="str">
            <v>-</v>
          </cell>
          <cell r="J106" t="str">
            <v>-</v>
          </cell>
          <cell r="K106">
            <v>0</v>
          </cell>
          <cell r="L106">
            <v>0.1</v>
          </cell>
        </row>
        <row r="107">
          <cell r="A107">
            <v>71016</v>
          </cell>
          <cell r="B107" t="str">
            <v>BOUNTY 36WP</v>
          </cell>
          <cell r="C107" t="str">
            <v>30 X 100 GM</v>
          </cell>
          <cell r="D107"/>
          <cell r="E107">
            <v>0</v>
          </cell>
          <cell r="F107" t="str">
            <v>-</v>
          </cell>
          <cell r="G107" t="str">
            <v>-</v>
          </cell>
          <cell r="H107">
            <v>0</v>
          </cell>
          <cell r="I107" t="str">
            <v>-</v>
          </cell>
          <cell r="J107" t="str">
            <v>-</v>
          </cell>
          <cell r="K107">
            <v>0</v>
          </cell>
          <cell r="L107">
            <v>3</v>
          </cell>
        </row>
        <row r="108">
          <cell r="A108">
            <v>71017</v>
          </cell>
          <cell r="B108"/>
          <cell r="C108" t="str">
            <v>10 X 500 GM</v>
          </cell>
          <cell r="D108"/>
          <cell r="E108" t="str">
            <v>-</v>
          </cell>
          <cell r="F108" t="str">
            <v>-</v>
          </cell>
          <cell r="G108" t="str">
            <v>-</v>
          </cell>
          <cell r="H108">
            <v>0</v>
          </cell>
          <cell r="I108" t="str">
            <v>-</v>
          </cell>
          <cell r="J108" t="str">
            <v>-</v>
          </cell>
          <cell r="K108">
            <v>0</v>
          </cell>
          <cell r="L108">
            <v>5</v>
          </cell>
        </row>
        <row r="109">
          <cell r="A109">
            <v>71830</v>
          </cell>
          <cell r="B109" t="str">
            <v>WALLACE 55EC</v>
          </cell>
          <cell r="C109" t="str">
            <v xml:space="preserve"> 20X100 ML</v>
          </cell>
          <cell r="D109"/>
          <cell r="E109" t="str">
            <v>-</v>
          </cell>
          <cell r="F109" t="str">
            <v>-</v>
          </cell>
          <cell r="G109" t="str">
            <v>-</v>
          </cell>
          <cell r="H109">
            <v>0</v>
          </cell>
          <cell r="I109" t="str">
            <v>-</v>
          </cell>
          <cell r="J109" t="str">
            <v>-</v>
          </cell>
          <cell r="K109">
            <v>0</v>
          </cell>
          <cell r="L109">
            <v>2</v>
          </cell>
        </row>
        <row r="110">
          <cell r="A110">
            <v>72524</v>
          </cell>
          <cell r="B110"/>
          <cell r="C110" t="str">
            <v xml:space="preserve"> 10X500 ML</v>
          </cell>
          <cell r="D110"/>
          <cell r="E110" t="str">
            <v>-</v>
          </cell>
          <cell r="F110" t="str">
            <v>-</v>
          </cell>
          <cell r="G110" t="str">
            <v>-</v>
          </cell>
          <cell r="H110">
            <v>0</v>
          </cell>
          <cell r="I110" t="str">
            <v>-</v>
          </cell>
          <cell r="J110" t="str">
            <v>-</v>
          </cell>
          <cell r="K110">
            <v>0</v>
          </cell>
          <cell r="L110">
            <v>5</v>
          </cell>
        </row>
        <row r="111">
          <cell r="A111">
            <v>72434</v>
          </cell>
          <cell r="B111" t="str">
            <v>MINECTO EXTRA</v>
          </cell>
          <cell r="C111" t="str">
            <v xml:space="preserve"> 4X10X10 ML</v>
          </cell>
          <cell r="D111"/>
          <cell r="E111">
            <v>185</v>
          </cell>
          <cell r="F111">
            <v>167</v>
          </cell>
          <cell r="G111">
            <v>41</v>
          </cell>
          <cell r="H111">
            <v>84</v>
          </cell>
          <cell r="I111" t="str">
            <v>-</v>
          </cell>
          <cell r="J111" t="str">
            <v>-</v>
          </cell>
          <cell r="K111">
            <v>477</v>
          </cell>
          <cell r="L111">
            <v>0.4</v>
          </cell>
        </row>
        <row r="112">
          <cell r="A112">
            <v>74275</v>
          </cell>
          <cell r="B112"/>
          <cell r="C112" t="str">
            <v>20 X 50 ML</v>
          </cell>
          <cell r="D112"/>
          <cell r="E112" t="str">
            <v>-</v>
          </cell>
          <cell r="F112" t="str">
            <v>-</v>
          </cell>
          <cell r="G112" t="str">
            <v>-</v>
          </cell>
          <cell r="H112">
            <v>0</v>
          </cell>
          <cell r="I112" t="str">
            <v>-</v>
          </cell>
          <cell r="J112" t="str">
            <v>-</v>
          </cell>
          <cell r="K112">
            <v>0</v>
          </cell>
          <cell r="L112">
            <v>1</v>
          </cell>
        </row>
        <row r="113"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</row>
        <row r="114"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</row>
        <row r="115">
          <cell r="C115"/>
          <cell r="D115"/>
          <cell r="E115">
            <v>226895.5</v>
          </cell>
          <cell r="F115">
            <v>126120</v>
          </cell>
          <cell r="G115">
            <v>98647</v>
          </cell>
          <cell r="H115">
            <v>174166</v>
          </cell>
          <cell r="I115">
            <v>24467</v>
          </cell>
          <cell r="J115">
            <v>1244</v>
          </cell>
          <cell r="K115">
            <v>651539.5</v>
          </cell>
          <cell r="L115"/>
        </row>
        <row r="116">
          <cell r="A116"/>
          <cell r="B116"/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</row>
        <row r="117">
          <cell r="A117"/>
          <cell r="B117"/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</row>
        <row r="118">
          <cell r="A118"/>
          <cell r="B118"/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</row>
        <row r="119">
          <cell r="A119"/>
          <cell r="B119"/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</row>
        <row r="120">
          <cell r="A120"/>
          <cell r="B120"/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</row>
        <row r="121">
          <cell r="A121"/>
          <cell r="B121"/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</row>
        <row r="122">
          <cell r="A122"/>
          <cell r="B122"/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</row>
        <row r="123">
          <cell r="A123"/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</row>
        <row r="124">
          <cell r="A124"/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</row>
        <row r="125">
          <cell r="A125"/>
          <cell r="B125"/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</row>
        <row r="126">
          <cell r="A126"/>
          <cell r="B126"/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</row>
        <row r="127">
          <cell r="A127"/>
          <cell r="B127"/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</row>
        <row r="128">
          <cell r="A128"/>
          <cell r="B128"/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</row>
        <row r="129">
          <cell r="A129"/>
          <cell r="B129"/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</row>
        <row r="130">
          <cell r="A130"/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</row>
        <row r="131">
          <cell r="A131"/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</row>
        <row r="132">
          <cell r="A132"/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</row>
        <row r="133">
          <cell r="A133"/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</row>
        <row r="134">
          <cell r="A134"/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</row>
        <row r="135">
          <cell r="A135"/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</row>
        <row r="136">
          <cell r="A136"/>
          <cell r="B136"/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</row>
        <row r="137">
          <cell r="A137"/>
          <cell r="B137"/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</row>
        <row r="138">
          <cell r="A138"/>
          <cell r="B138"/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</row>
        <row r="139">
          <cell r="A139"/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</row>
        <row r="140">
          <cell r="A140"/>
          <cell r="B140"/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</row>
        <row r="141">
          <cell r="A141"/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</row>
        <row r="142">
          <cell r="A142"/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A143"/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A144"/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</row>
        <row r="145">
          <cell r="A145"/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</row>
        <row r="146">
          <cell r="A146"/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</row>
        <row r="147">
          <cell r="A147"/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A148"/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A151"/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A152"/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A153"/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A154"/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A155"/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A156"/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A157"/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A158"/>
          <cell r="B158"/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A159"/>
          <cell r="B159"/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A160"/>
          <cell r="B160"/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</row>
        <row r="163">
          <cell r="A163"/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</row>
        <row r="164">
          <cell r="A164"/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</row>
        <row r="165">
          <cell r="A165"/>
          <cell r="B165"/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</row>
        <row r="166">
          <cell r="A166"/>
          <cell r="B166"/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</row>
        <row r="169">
          <cell r="A169"/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</row>
        <row r="170">
          <cell r="A170"/>
          <cell r="B170"/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</row>
        <row r="171">
          <cell r="A171"/>
          <cell r="B171"/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</row>
        <row r="174">
          <cell r="A174"/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</row>
        <row r="182">
          <cell r="A182"/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</row>
        <row r="185">
          <cell r="A185"/>
          <cell r="B185"/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</row>
        <row r="186">
          <cell r="A186"/>
          <cell r="B186"/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</row>
        <row r="187">
          <cell r="A187"/>
          <cell r="B187"/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</row>
        <row r="188">
          <cell r="A188"/>
          <cell r="B188"/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</row>
        <row r="189">
          <cell r="A189"/>
          <cell r="B189"/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</row>
        <row r="190">
          <cell r="A190"/>
          <cell r="B190"/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</row>
        <row r="191">
          <cell r="A191"/>
          <cell r="B191"/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</row>
        <row r="192">
          <cell r="A192"/>
          <cell r="B192"/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</row>
        <row r="193">
          <cell r="A193"/>
          <cell r="B193"/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</row>
        <row r="194">
          <cell r="A194"/>
          <cell r="B194"/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</row>
        <row r="195">
          <cell r="A195"/>
          <cell r="B195"/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</row>
        <row r="196">
          <cell r="A196"/>
          <cell r="B196"/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</row>
        <row r="197">
          <cell r="A197"/>
          <cell r="B197"/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</row>
        <row r="198">
          <cell r="A198"/>
          <cell r="B198"/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</row>
        <row r="199">
          <cell r="A199"/>
          <cell r="B199"/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</row>
        <row r="200">
          <cell r="A200"/>
          <cell r="B200"/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</row>
        <row r="201">
          <cell r="A201"/>
          <cell r="B201"/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</row>
        <row r="204">
          <cell r="A204"/>
          <cell r="B204"/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</row>
        <row r="205">
          <cell r="A205"/>
          <cell r="B205"/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</row>
        <row r="206">
          <cell r="A206"/>
          <cell r="B206"/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</row>
        <row r="207">
          <cell r="A207"/>
          <cell r="B207"/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</row>
        <row r="208">
          <cell r="A208"/>
          <cell r="B208"/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</row>
        <row r="209">
          <cell r="A209"/>
          <cell r="B209"/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</row>
        <row r="211">
          <cell r="D211"/>
          <cell r="L211"/>
        </row>
        <row r="213">
          <cell r="D213"/>
          <cell r="L213"/>
        </row>
        <row r="223">
          <cell r="D223"/>
          <cell r="L223"/>
        </row>
        <row r="225">
          <cell r="B225"/>
          <cell r="C225"/>
        </row>
        <row r="226">
          <cell r="B226"/>
          <cell r="C226"/>
        </row>
        <row r="227">
          <cell r="B227"/>
          <cell r="C227"/>
        </row>
        <row r="228">
          <cell r="B228"/>
          <cell r="C228"/>
          <cell r="D228"/>
          <cell r="L228"/>
        </row>
        <row r="229">
          <cell r="B229"/>
          <cell r="C229"/>
        </row>
        <row r="230">
          <cell r="B230"/>
          <cell r="C230"/>
        </row>
        <row r="231">
          <cell r="B231"/>
          <cell r="C231"/>
        </row>
        <row r="232">
          <cell r="B232"/>
          <cell r="C232"/>
        </row>
        <row r="233">
          <cell r="B233"/>
        </row>
        <row r="250">
          <cell r="D250"/>
          <cell r="L250"/>
        </row>
        <row r="262">
          <cell r="B262"/>
          <cell r="C262"/>
        </row>
        <row r="263">
          <cell r="B263"/>
          <cell r="C263"/>
        </row>
        <row r="264">
          <cell r="B264"/>
          <cell r="C264"/>
        </row>
        <row r="265">
          <cell r="B265"/>
          <cell r="C265"/>
        </row>
        <row r="266">
          <cell r="B266"/>
          <cell r="C266"/>
        </row>
        <row r="267">
          <cell r="B267"/>
          <cell r="C267"/>
        </row>
        <row r="268">
          <cell r="B268"/>
          <cell r="C268"/>
        </row>
        <row r="269">
          <cell r="B269"/>
          <cell r="C269"/>
        </row>
        <row r="270">
          <cell r="B270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oque Mamunul BDBG" id="{00628F1D-42E6-431C-A2EF-4EACA486905F}" userId="S::Mamunul.Hoque@syngenta.com::e7be9f93-f722-4770-bc78-75dd681dd3c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" dT="2026-02-19T06:34:28.59" personId="{00628F1D-42E6-431C-A2EF-4EACA486905F}" id="{6F896E37-BF27-4BF4-85BD-8895616AC96F}">
    <text>142 Sales Return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45A9-AB9D-4E16-8974-BDF4CDA59EFA}">
  <dimension ref="A1:O44"/>
  <sheetViews>
    <sheetView showGridLines="0" tabSelected="1" zoomScale="90" zoomScaleNormal="90" zoomScaleSheetLayoutView="90"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J6" sqref="J6:J14"/>
    </sheetView>
  </sheetViews>
  <sheetFormatPr defaultColWidth="9.1796875" defaultRowHeight="15" customHeight="1" x14ac:dyDescent="0.35"/>
  <cols>
    <col min="1" max="1" width="1.26953125" style="1" bestFit="1" customWidth="1"/>
    <col min="2" max="2" width="10.81640625" style="135" bestFit="1" customWidth="1"/>
    <col min="3" max="3" width="21.1796875" style="4" bestFit="1" customWidth="1"/>
    <col min="4" max="4" width="12.81640625" style="4" bestFit="1" customWidth="1"/>
    <col min="5" max="5" width="9.1796875" style="4" customWidth="1"/>
    <col min="6" max="6" width="9" style="201" customWidth="1"/>
    <col min="7" max="7" width="13.81640625" style="294" bestFit="1" customWidth="1"/>
    <col min="8" max="8" width="8.81640625" style="1" customWidth="1"/>
    <col min="9" max="9" width="15.1796875" style="1" customWidth="1"/>
    <col min="10" max="10" width="14.1796875" style="207" customWidth="1"/>
    <col min="11" max="11" width="14.26953125" style="270" bestFit="1" customWidth="1"/>
    <col min="12" max="12" width="8.453125" style="243" customWidth="1"/>
    <col min="13" max="13" width="49.26953125" style="1" customWidth="1"/>
    <col min="14" max="14" width="22.1796875" style="1" customWidth="1"/>
    <col min="15" max="15" width="11.54296875" style="1" customWidth="1"/>
    <col min="16" max="16384" width="9.1796875" style="1"/>
  </cols>
  <sheetData>
    <row r="1" spans="1:15" thickBot="1" x14ac:dyDescent="0.4">
      <c r="A1" s="163"/>
      <c r="B1" s="163"/>
      <c r="C1" s="163"/>
      <c r="D1" s="163"/>
      <c r="E1" s="163"/>
      <c r="F1" s="200"/>
      <c r="G1" s="293">
        <v>0</v>
      </c>
      <c r="H1" s="163"/>
      <c r="I1" s="163"/>
      <c r="J1" s="241"/>
      <c r="K1" s="268"/>
      <c r="L1" s="242"/>
      <c r="M1" s="163"/>
      <c r="N1" s="163"/>
      <c r="O1" s="163"/>
    </row>
    <row r="2" spans="1:15" ht="14.5" customHeight="1" x14ac:dyDescent="0.35">
      <c r="A2" s="163"/>
      <c r="B2" s="393" t="s">
        <v>0</v>
      </c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5"/>
      <c r="N2" s="163"/>
      <c r="O2" s="163"/>
    </row>
    <row r="3" spans="1:15" ht="14.5" customHeight="1" thickBot="1" x14ac:dyDescent="0.4">
      <c r="A3" s="163"/>
      <c r="B3" s="396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8"/>
      <c r="N3" s="163"/>
      <c r="O3" s="163"/>
    </row>
    <row r="4" spans="1:15" ht="41.25" customHeight="1" thickBot="1" x14ac:dyDescent="0.4">
      <c r="A4" s="1" t="s">
        <v>1</v>
      </c>
      <c r="B4" s="309" t="s">
        <v>2</v>
      </c>
      <c r="C4" s="310" t="s">
        <v>3</v>
      </c>
      <c r="D4" s="310" t="s">
        <v>4</v>
      </c>
      <c r="E4" s="310" t="s">
        <v>5</v>
      </c>
      <c r="F4" s="310" t="s">
        <v>6</v>
      </c>
      <c r="G4" s="311" t="s">
        <v>7</v>
      </c>
      <c r="H4" s="312" t="s">
        <v>8</v>
      </c>
      <c r="I4" s="313" t="s">
        <v>9</v>
      </c>
      <c r="J4" s="314" t="s">
        <v>10</v>
      </c>
      <c r="K4" s="315" t="s">
        <v>11</v>
      </c>
      <c r="L4" s="316" t="s">
        <v>4</v>
      </c>
      <c r="M4" s="317" t="s">
        <v>12</v>
      </c>
    </row>
    <row r="5" spans="1:15" ht="14.5" x14ac:dyDescent="0.35">
      <c r="A5" s="163"/>
      <c r="B5" s="360">
        <v>53924</v>
      </c>
      <c r="C5" s="368" t="s">
        <v>13</v>
      </c>
      <c r="D5" s="368" t="s">
        <v>14</v>
      </c>
      <c r="E5" s="289"/>
      <c r="F5" s="348">
        <v>21</v>
      </c>
      <c r="G5" s="301">
        <v>20</v>
      </c>
      <c r="H5" s="252">
        <v>14</v>
      </c>
      <c r="I5" s="304">
        <f t="shared" ref="I5:I43" si="0">SUM(E5:H5)</f>
        <v>55</v>
      </c>
      <c r="J5" s="305">
        <f t="shared" ref="J5:J43" si="1">I5*L5</f>
        <v>275</v>
      </c>
      <c r="K5" s="306">
        <v>46229</v>
      </c>
      <c r="L5" s="307">
        <f>VLOOKUP(B5,'[2]Stock Summary'!$A:$L,12,0)</f>
        <v>5</v>
      </c>
      <c r="M5" s="308"/>
      <c r="N5" s="163"/>
      <c r="O5" s="163"/>
    </row>
    <row r="6" spans="1:15" ht="14.5" x14ac:dyDescent="0.35">
      <c r="A6" s="163"/>
      <c r="B6" s="360">
        <v>85803</v>
      </c>
      <c r="C6" s="368" t="s">
        <v>15</v>
      </c>
      <c r="D6" s="368" t="s">
        <v>16</v>
      </c>
      <c r="E6" s="377"/>
      <c r="F6" s="348">
        <f>156-50+68</f>
        <v>174</v>
      </c>
      <c r="G6" s="351">
        <v>351</v>
      </c>
      <c r="H6" s="252">
        <v>196</v>
      </c>
      <c r="I6" s="304">
        <f t="shared" si="0"/>
        <v>721</v>
      </c>
      <c r="J6" s="305">
        <f t="shared" si="1"/>
        <v>1514.1000000000001</v>
      </c>
      <c r="K6" s="306">
        <v>46260</v>
      </c>
      <c r="L6" s="307">
        <f>VLOOKUP(B6,'[2]Stock Summary'!$A:$L,12,0)</f>
        <v>2.1</v>
      </c>
      <c r="M6" s="384"/>
      <c r="N6" s="163"/>
      <c r="O6" s="163"/>
    </row>
    <row r="7" spans="1:15" ht="14.5" x14ac:dyDescent="0.35">
      <c r="A7" s="163"/>
      <c r="B7" s="362">
        <v>80927</v>
      </c>
      <c r="C7" s="328" t="s">
        <v>17</v>
      </c>
      <c r="D7" s="368" t="s">
        <v>18</v>
      </c>
      <c r="E7" s="302"/>
      <c r="F7" s="348"/>
      <c r="G7" s="351">
        <v>126</v>
      </c>
      <c r="H7" s="252"/>
      <c r="I7" s="304">
        <f t="shared" si="0"/>
        <v>126</v>
      </c>
      <c r="J7" s="305">
        <f t="shared" si="1"/>
        <v>126</v>
      </c>
      <c r="K7" s="383">
        <v>46357</v>
      </c>
      <c r="L7" s="307">
        <f>VLOOKUP(B7,'[2]Stock Summary'!$A:$L,12,0)</f>
        <v>1</v>
      </c>
      <c r="M7" s="384"/>
      <c r="N7" s="163"/>
      <c r="O7" s="163"/>
    </row>
    <row r="8" spans="1:15" ht="14.5" x14ac:dyDescent="0.35">
      <c r="A8" s="163"/>
      <c r="B8" s="325">
        <v>87221</v>
      </c>
      <c r="C8" s="328" t="s">
        <v>19</v>
      </c>
      <c r="D8" s="327" t="s">
        <v>20</v>
      </c>
      <c r="E8" s="302"/>
      <c r="F8" s="348"/>
      <c r="G8" s="351">
        <v>3</v>
      </c>
      <c r="H8" s="252"/>
      <c r="I8" s="304">
        <f t="shared" si="0"/>
        <v>3</v>
      </c>
      <c r="J8" s="305">
        <f t="shared" si="1"/>
        <v>3.5999999999999996</v>
      </c>
      <c r="K8" s="306">
        <v>46388</v>
      </c>
      <c r="L8" s="307">
        <f>VLOOKUP(B8,'[2]Stock Summary'!$A:$L,12,0)</f>
        <v>1.2</v>
      </c>
      <c r="M8" s="308"/>
      <c r="N8" s="163"/>
      <c r="O8" s="163"/>
    </row>
    <row r="9" spans="1:15" ht="14.5" x14ac:dyDescent="0.35">
      <c r="A9" s="163"/>
      <c r="B9" s="325">
        <v>46652</v>
      </c>
      <c r="C9" s="328" t="s">
        <v>21</v>
      </c>
      <c r="D9" s="327" t="s">
        <v>22</v>
      </c>
      <c r="E9" s="302"/>
      <c r="F9" s="348"/>
      <c r="G9" s="351">
        <v>4</v>
      </c>
      <c r="H9" s="252"/>
      <c r="I9" s="304">
        <f t="shared" si="0"/>
        <v>4</v>
      </c>
      <c r="J9" s="305">
        <f t="shared" si="1"/>
        <v>8</v>
      </c>
      <c r="K9" s="306">
        <v>46388</v>
      </c>
      <c r="L9" s="307">
        <f>VLOOKUP(B9,'[2]Stock Summary'!$A:$L,12,0)</f>
        <v>2</v>
      </c>
      <c r="M9" s="308"/>
      <c r="N9" s="163"/>
      <c r="O9" s="163"/>
    </row>
    <row r="10" spans="1:15" ht="14.5" x14ac:dyDescent="0.35">
      <c r="A10" s="163"/>
      <c r="B10" s="360">
        <v>90521</v>
      </c>
      <c r="C10" s="368" t="s">
        <v>23</v>
      </c>
      <c r="D10" s="368" t="s">
        <v>24</v>
      </c>
      <c r="E10" s="302"/>
      <c r="F10" s="348"/>
      <c r="G10" s="351">
        <v>5</v>
      </c>
      <c r="H10" s="252"/>
      <c r="I10" s="304">
        <f t="shared" si="0"/>
        <v>5</v>
      </c>
      <c r="J10" s="305">
        <f t="shared" si="1"/>
        <v>50</v>
      </c>
      <c r="K10" s="383">
        <v>46388</v>
      </c>
      <c r="L10" s="307">
        <f>VLOOKUP(B10,'[2]Stock Summary'!$A:$L,12,0)</f>
        <v>10</v>
      </c>
      <c r="M10" s="308"/>
      <c r="N10" s="163"/>
      <c r="O10" s="163"/>
    </row>
    <row r="11" spans="1:15" s="4" customFormat="1" ht="14.5" x14ac:dyDescent="0.35">
      <c r="A11" s="163"/>
      <c r="B11" s="274">
        <v>53508</v>
      </c>
      <c r="C11" s="236" t="s">
        <v>13</v>
      </c>
      <c r="D11" s="236" t="s">
        <v>25</v>
      </c>
      <c r="E11" s="205">
        <v>0</v>
      </c>
      <c r="F11" s="205">
        <v>70</v>
      </c>
      <c r="G11" s="295">
        <v>209</v>
      </c>
      <c r="H11" s="202">
        <v>0</v>
      </c>
      <c r="I11" s="304">
        <f t="shared" si="0"/>
        <v>279</v>
      </c>
      <c r="J11" s="305">
        <f t="shared" si="1"/>
        <v>558</v>
      </c>
      <c r="K11" s="280">
        <v>46413</v>
      </c>
      <c r="L11" s="307">
        <f>VLOOKUP(B11,'[2]Stock Summary'!$A:$L,12,0)</f>
        <v>2</v>
      </c>
      <c r="M11" s="198" t="s">
        <v>26</v>
      </c>
      <c r="N11" s="163"/>
      <c r="O11" s="163"/>
    </row>
    <row r="12" spans="1:15" ht="14.5" x14ac:dyDescent="0.35">
      <c r="A12" s="163"/>
      <c r="B12" s="274">
        <v>29570</v>
      </c>
      <c r="C12" s="236" t="s">
        <v>27</v>
      </c>
      <c r="D12" s="236" t="s">
        <v>28</v>
      </c>
      <c r="E12" s="245"/>
      <c r="F12" s="205"/>
      <c r="G12" s="297">
        <v>3</v>
      </c>
      <c r="H12" s="202"/>
      <c r="I12" s="304">
        <f t="shared" si="0"/>
        <v>3</v>
      </c>
      <c r="J12" s="305">
        <f t="shared" si="1"/>
        <v>15</v>
      </c>
      <c r="K12" s="266">
        <v>46420</v>
      </c>
      <c r="L12" s="307">
        <f>VLOOKUP(B12,'[2]Stock Summary'!$A:$L,12,0)</f>
        <v>5</v>
      </c>
      <c r="M12" s="28"/>
      <c r="N12" s="163"/>
      <c r="O12" s="163"/>
    </row>
    <row r="13" spans="1:15" ht="14.5" x14ac:dyDescent="0.35">
      <c r="A13" s="163"/>
      <c r="B13" s="326">
        <v>46652</v>
      </c>
      <c r="C13" s="291" t="s">
        <v>21</v>
      </c>
      <c r="D13" s="281" t="s">
        <v>22</v>
      </c>
      <c r="E13" s="245"/>
      <c r="F13" s="205"/>
      <c r="G13" s="297">
        <v>16</v>
      </c>
      <c r="H13" s="202"/>
      <c r="I13" s="304">
        <f t="shared" si="0"/>
        <v>16</v>
      </c>
      <c r="J13" s="305">
        <f t="shared" si="1"/>
        <v>32</v>
      </c>
      <c r="K13" s="240">
        <v>46449</v>
      </c>
      <c r="L13" s="307">
        <f>VLOOKUP(B13,'[2]Stock Summary'!$A:$L,12,0)</f>
        <v>2</v>
      </c>
      <c r="M13" s="164"/>
      <c r="N13" s="163"/>
      <c r="O13" s="163"/>
    </row>
    <row r="14" spans="1:15" ht="14.5" x14ac:dyDescent="0.35">
      <c r="A14" s="163"/>
      <c r="B14" s="273">
        <v>87224</v>
      </c>
      <c r="C14" s="236" t="s">
        <v>29</v>
      </c>
      <c r="D14" s="236" t="s">
        <v>30</v>
      </c>
      <c r="E14" s="245">
        <v>65</v>
      </c>
      <c r="F14" s="245">
        <v>55</v>
      </c>
      <c r="G14" s="295">
        <v>240</v>
      </c>
      <c r="H14" s="202">
        <v>57</v>
      </c>
      <c r="I14" s="304">
        <f t="shared" si="0"/>
        <v>417</v>
      </c>
      <c r="J14" s="305">
        <f t="shared" si="1"/>
        <v>200.16</v>
      </c>
      <c r="K14" s="266">
        <v>46449</v>
      </c>
      <c r="L14" s="307">
        <f>VLOOKUP(B14,'[2]Stock Summary'!$A:$L,12,0)</f>
        <v>0.48</v>
      </c>
      <c r="M14" s="392" t="s">
        <v>31</v>
      </c>
      <c r="N14" s="200"/>
      <c r="O14" s="200"/>
    </row>
    <row r="15" spans="1:15" ht="14.5" x14ac:dyDescent="0.35">
      <c r="A15" s="163"/>
      <c r="B15" s="274">
        <v>57918</v>
      </c>
      <c r="C15" s="236" t="s">
        <v>32</v>
      </c>
      <c r="D15" s="236" t="s">
        <v>33</v>
      </c>
      <c r="E15" s="245"/>
      <c r="F15" s="205"/>
      <c r="G15" s="297">
        <v>17</v>
      </c>
      <c r="H15" s="202"/>
      <c r="I15" s="304">
        <f t="shared" si="0"/>
        <v>17</v>
      </c>
      <c r="J15" s="305">
        <f t="shared" si="1"/>
        <v>85</v>
      </c>
      <c r="K15" s="266">
        <v>46449</v>
      </c>
      <c r="L15" s="307">
        <f>VLOOKUP(B15,'[2]Stock Summary'!$A:$L,12,0)</f>
        <v>5</v>
      </c>
      <c r="M15" s="164"/>
      <c r="N15" s="163"/>
      <c r="O15" s="163"/>
    </row>
    <row r="16" spans="1:15" ht="14.5" x14ac:dyDescent="0.35">
      <c r="A16" s="163"/>
      <c r="B16" s="273">
        <v>55458</v>
      </c>
      <c r="C16" s="244" t="s">
        <v>34</v>
      </c>
      <c r="D16" s="198" t="s">
        <v>35</v>
      </c>
      <c r="E16" s="205">
        <v>3</v>
      </c>
      <c r="F16" s="205">
        <v>163</v>
      </c>
      <c r="G16" s="295">
        <v>589</v>
      </c>
      <c r="H16" s="202">
        <v>240</v>
      </c>
      <c r="I16" s="304">
        <f t="shared" si="0"/>
        <v>995</v>
      </c>
      <c r="J16" s="305">
        <f t="shared" si="1"/>
        <v>995</v>
      </c>
      <c r="K16" s="266">
        <v>46449</v>
      </c>
      <c r="L16" s="307">
        <f>VLOOKUP(B16,'[2]Stock Summary'!$A:$L,12,0)</f>
        <v>1</v>
      </c>
      <c r="M16" s="198" t="s">
        <v>36</v>
      </c>
      <c r="N16" s="163"/>
      <c r="O16" s="163"/>
    </row>
    <row r="17" spans="1:15" ht="14.5" x14ac:dyDescent="0.35">
      <c r="A17" s="163"/>
      <c r="B17" s="273">
        <v>87199</v>
      </c>
      <c r="C17" s="236" t="s">
        <v>37</v>
      </c>
      <c r="D17" s="236" t="s">
        <v>38</v>
      </c>
      <c r="E17" s="245">
        <v>691</v>
      </c>
      <c r="F17" s="205">
        <v>539</v>
      </c>
      <c r="G17" s="295">
        <v>450</v>
      </c>
      <c r="H17" s="202">
        <v>655</v>
      </c>
      <c r="I17" s="304">
        <f t="shared" si="0"/>
        <v>2335</v>
      </c>
      <c r="J17" s="305">
        <f t="shared" si="1"/>
        <v>1120.8</v>
      </c>
      <c r="K17" s="266">
        <v>46449</v>
      </c>
      <c r="L17" s="307">
        <f>VLOOKUP(B17,'[2]Stock Summary'!$A:$L,12,0)</f>
        <v>0.48</v>
      </c>
      <c r="M17" s="164"/>
      <c r="N17" s="163"/>
      <c r="O17" s="163"/>
    </row>
    <row r="18" spans="1:15" ht="14.5" x14ac:dyDescent="0.35">
      <c r="A18" s="163"/>
      <c r="B18" s="274">
        <v>70897</v>
      </c>
      <c r="C18" s="236" t="s">
        <v>37</v>
      </c>
      <c r="D18" s="236" t="s">
        <v>39</v>
      </c>
      <c r="E18" s="245">
        <v>550</v>
      </c>
      <c r="F18" s="205">
        <v>216</v>
      </c>
      <c r="G18" s="295">
        <v>446</v>
      </c>
      <c r="H18" s="202">
        <v>464</v>
      </c>
      <c r="I18" s="304">
        <f t="shared" si="0"/>
        <v>1676</v>
      </c>
      <c r="J18" s="305">
        <f t="shared" si="1"/>
        <v>1005.5999999999999</v>
      </c>
      <c r="K18" s="266">
        <v>46449</v>
      </c>
      <c r="L18" s="307">
        <f>VLOOKUP(B18,'[2]Stock Summary'!$A:$L,12,0)</f>
        <v>0.6</v>
      </c>
      <c r="M18" s="28"/>
      <c r="N18" s="163"/>
      <c r="O18" s="163"/>
    </row>
    <row r="19" spans="1:15" ht="14.5" x14ac:dyDescent="0.35">
      <c r="A19" s="163"/>
      <c r="B19" s="274">
        <v>53508</v>
      </c>
      <c r="C19" s="236" t="s">
        <v>13</v>
      </c>
      <c r="D19" s="236" t="s">
        <v>25</v>
      </c>
      <c r="E19" s="245">
        <v>239</v>
      </c>
      <c r="F19" s="378">
        <v>100</v>
      </c>
      <c r="G19" s="297">
        <v>0</v>
      </c>
      <c r="H19" s="288">
        <v>247</v>
      </c>
      <c r="I19" s="304">
        <f t="shared" si="0"/>
        <v>586</v>
      </c>
      <c r="J19" s="305">
        <f t="shared" si="1"/>
        <v>1172</v>
      </c>
      <c r="K19" s="266">
        <v>46449</v>
      </c>
      <c r="L19" s="307">
        <f>VLOOKUP(B19,'[2]Stock Summary'!$A:$L,12,0)</f>
        <v>2</v>
      </c>
      <c r="M19" s="253" t="s">
        <v>40</v>
      </c>
      <c r="N19" s="163"/>
      <c r="O19" s="163"/>
    </row>
    <row r="20" spans="1:15" ht="14.5" x14ac:dyDescent="0.35">
      <c r="A20" s="163"/>
      <c r="B20" s="274">
        <v>58513</v>
      </c>
      <c r="C20" s="236" t="s">
        <v>13</v>
      </c>
      <c r="D20" s="236" t="s">
        <v>35</v>
      </c>
      <c r="E20" s="245">
        <v>230</v>
      </c>
      <c r="F20" s="205">
        <v>285</v>
      </c>
      <c r="G20" s="295">
        <v>499</v>
      </c>
      <c r="H20" s="202">
        <v>503</v>
      </c>
      <c r="I20" s="304">
        <f t="shared" si="0"/>
        <v>1517</v>
      </c>
      <c r="J20" s="305">
        <f t="shared" si="1"/>
        <v>1517</v>
      </c>
      <c r="K20" s="266">
        <v>46449</v>
      </c>
      <c r="L20" s="307">
        <f>VLOOKUP(B20,'[2]Stock Summary'!$A:$L,12,0)</f>
        <v>1</v>
      </c>
      <c r="M20" s="253"/>
      <c r="N20" s="163"/>
      <c r="O20" s="163"/>
    </row>
    <row r="21" spans="1:15" ht="14.5" x14ac:dyDescent="0.35">
      <c r="A21" s="163"/>
      <c r="B21" s="326">
        <v>51574</v>
      </c>
      <c r="C21" s="291" t="s">
        <v>21</v>
      </c>
      <c r="D21" s="281" t="s">
        <v>41</v>
      </c>
      <c r="E21" s="245"/>
      <c r="F21" s="205"/>
      <c r="G21" s="297">
        <v>1</v>
      </c>
      <c r="H21" s="202"/>
      <c r="I21" s="304">
        <f t="shared" si="0"/>
        <v>1</v>
      </c>
      <c r="J21" s="305">
        <f t="shared" si="1"/>
        <v>5</v>
      </c>
      <c r="K21" s="240">
        <v>46481</v>
      </c>
      <c r="L21" s="307">
        <f>VLOOKUP(B21,'[2]Stock Summary'!$A:$L,12,0)</f>
        <v>5</v>
      </c>
      <c r="M21" s="164"/>
      <c r="N21" s="163"/>
      <c r="O21" s="163"/>
    </row>
    <row r="22" spans="1:15" ht="14.5" x14ac:dyDescent="0.35">
      <c r="A22" s="163"/>
      <c r="B22" s="283">
        <v>61124</v>
      </c>
      <c r="C22" s="236" t="s">
        <v>42</v>
      </c>
      <c r="D22" s="236" t="s">
        <v>43</v>
      </c>
      <c r="E22" s="205">
        <v>15</v>
      </c>
      <c r="F22" s="205">
        <v>52</v>
      </c>
      <c r="G22" s="295">
        <v>120</v>
      </c>
      <c r="H22" s="202">
        <v>25</v>
      </c>
      <c r="I22" s="304">
        <f t="shared" si="0"/>
        <v>212</v>
      </c>
      <c r="J22" s="305">
        <f t="shared" si="1"/>
        <v>424</v>
      </c>
      <c r="K22" s="303">
        <v>46481</v>
      </c>
      <c r="L22" s="307">
        <f>VLOOKUP(B22,'[2]Stock Summary'!$A:$L,12,0)</f>
        <v>2</v>
      </c>
      <c r="M22" s="198"/>
      <c r="N22" s="163"/>
      <c r="O22" s="163"/>
    </row>
    <row r="23" spans="1:15" ht="14.5" x14ac:dyDescent="0.35">
      <c r="A23" s="163"/>
      <c r="B23" s="275">
        <v>16238</v>
      </c>
      <c r="C23" s="281" t="s">
        <v>44</v>
      </c>
      <c r="D23" s="281" t="s">
        <v>45</v>
      </c>
      <c r="E23" s="203"/>
      <c r="F23" s="205">
        <v>246</v>
      </c>
      <c r="G23" s="295">
        <v>0</v>
      </c>
      <c r="H23" s="288">
        <v>41</v>
      </c>
      <c r="I23" s="304">
        <f t="shared" si="0"/>
        <v>287</v>
      </c>
      <c r="J23" s="305">
        <f t="shared" si="1"/>
        <v>1435</v>
      </c>
      <c r="K23" s="265">
        <v>46481</v>
      </c>
      <c r="L23" s="307">
        <f>VLOOKUP(B23,'[2]Stock Summary'!$A:$L,12,0)</f>
        <v>5</v>
      </c>
      <c r="M23" s="198"/>
      <c r="N23" s="163"/>
      <c r="O23" s="163"/>
    </row>
    <row r="24" spans="1:15" ht="14.5" x14ac:dyDescent="0.35">
      <c r="A24" s="163"/>
      <c r="B24" s="275">
        <v>85250</v>
      </c>
      <c r="C24" s="281" t="s">
        <v>46</v>
      </c>
      <c r="D24" s="281" t="s">
        <v>47</v>
      </c>
      <c r="E24" s="205">
        <v>162</v>
      </c>
      <c r="F24" s="349">
        <v>147</v>
      </c>
      <c r="G24" s="296">
        <v>226</v>
      </c>
      <c r="H24" s="282">
        <v>141</v>
      </c>
      <c r="I24" s="304">
        <f t="shared" si="0"/>
        <v>676</v>
      </c>
      <c r="J24" s="305">
        <f t="shared" si="1"/>
        <v>1352</v>
      </c>
      <c r="K24" s="382">
        <v>46503</v>
      </c>
      <c r="L24" s="307">
        <f>VLOOKUP(B24,'[2]Stock Summary'!$A:$L,12,0)</f>
        <v>2</v>
      </c>
      <c r="M24" s="164"/>
      <c r="N24" s="163"/>
      <c r="O24" s="163"/>
    </row>
    <row r="25" spans="1:15" ht="14.5" x14ac:dyDescent="0.35">
      <c r="A25" s="163"/>
      <c r="B25" s="367">
        <v>46652</v>
      </c>
      <c r="C25" s="372" t="s">
        <v>21</v>
      </c>
      <c r="D25" s="356" t="s">
        <v>22</v>
      </c>
      <c r="E25" s="331"/>
      <c r="F25" s="355"/>
      <c r="G25" s="379">
        <v>52</v>
      </c>
      <c r="H25" s="332"/>
      <c r="I25" s="304">
        <f t="shared" si="0"/>
        <v>52</v>
      </c>
      <c r="J25" s="305">
        <f t="shared" si="1"/>
        <v>104</v>
      </c>
      <c r="K25" s="382">
        <v>46512</v>
      </c>
      <c r="L25" s="307">
        <f>VLOOKUP(B25,'[2]Stock Summary'!$A:$L,12,0)</f>
        <v>2</v>
      </c>
      <c r="M25" s="164"/>
      <c r="N25" s="163"/>
      <c r="O25" s="163"/>
    </row>
    <row r="26" spans="1:15" ht="14.5" x14ac:dyDescent="0.35">
      <c r="A26" s="163"/>
      <c r="B26" s="365">
        <v>80927</v>
      </c>
      <c r="C26" s="370" t="s">
        <v>17</v>
      </c>
      <c r="D26" s="236" t="s">
        <v>18</v>
      </c>
      <c r="E26" s="245">
        <v>6427</v>
      </c>
      <c r="F26" s="205">
        <v>3766</v>
      </c>
      <c r="G26" s="297">
        <v>10833</v>
      </c>
      <c r="H26" s="202">
        <v>4405</v>
      </c>
      <c r="I26" s="304">
        <f t="shared" si="0"/>
        <v>25431</v>
      </c>
      <c r="J26" s="305">
        <f t="shared" si="1"/>
        <v>25431</v>
      </c>
      <c r="K26" s="354">
        <v>46512</v>
      </c>
      <c r="L26" s="307">
        <f>VLOOKUP(B26,'[2]Stock Summary'!$A:$L,12,0)</f>
        <v>1</v>
      </c>
      <c r="M26" s="198"/>
      <c r="N26" s="163"/>
      <c r="O26" s="163"/>
    </row>
    <row r="27" spans="1:15" ht="14.5" x14ac:dyDescent="0.35">
      <c r="A27" s="163"/>
      <c r="B27" s="365">
        <v>38776</v>
      </c>
      <c r="C27" s="357" t="s">
        <v>48</v>
      </c>
      <c r="D27" s="236" t="s">
        <v>45</v>
      </c>
      <c r="E27" s="245">
        <v>73</v>
      </c>
      <c r="F27" s="205">
        <v>139</v>
      </c>
      <c r="G27" s="295">
        <v>350</v>
      </c>
      <c r="H27" s="202">
        <v>236</v>
      </c>
      <c r="I27" s="304">
        <f t="shared" si="0"/>
        <v>798</v>
      </c>
      <c r="J27" s="305">
        <f t="shared" si="1"/>
        <v>3990</v>
      </c>
      <c r="K27" s="354">
        <v>46512</v>
      </c>
      <c r="L27" s="307">
        <f>VLOOKUP(B27,'[2]Stock Summary'!$A:$L,12,0)</f>
        <v>5</v>
      </c>
      <c r="M27" s="198"/>
      <c r="N27" s="163"/>
      <c r="O27" s="163"/>
    </row>
    <row r="28" spans="1:15" ht="14.5" x14ac:dyDescent="0.35">
      <c r="A28" s="163"/>
      <c r="B28" s="390">
        <v>29570</v>
      </c>
      <c r="C28" s="391" t="s">
        <v>27</v>
      </c>
      <c r="D28" s="236" t="s">
        <v>28</v>
      </c>
      <c r="E28" s="245"/>
      <c r="F28" s="205"/>
      <c r="G28" s="297">
        <v>2</v>
      </c>
      <c r="H28" s="202"/>
      <c r="I28" s="304">
        <f t="shared" si="0"/>
        <v>2</v>
      </c>
      <c r="J28" s="305">
        <f t="shared" si="1"/>
        <v>10</v>
      </c>
      <c r="K28" s="354">
        <v>46512</v>
      </c>
      <c r="L28" s="307">
        <f>VLOOKUP(B28,'[2]Stock Summary'!$A:$L,12,0)</f>
        <v>5</v>
      </c>
      <c r="M28" s="164"/>
      <c r="N28" s="163"/>
      <c r="O28" s="163"/>
    </row>
    <row r="29" spans="1:15" ht="14.5" x14ac:dyDescent="0.35">
      <c r="A29" s="163"/>
      <c r="B29" s="281">
        <v>42123</v>
      </c>
      <c r="C29" s="236" t="s">
        <v>27</v>
      </c>
      <c r="D29" s="318" t="s">
        <v>49</v>
      </c>
      <c r="E29" s="245"/>
      <c r="F29" s="205"/>
      <c r="G29" s="297">
        <v>3</v>
      </c>
      <c r="H29" s="202"/>
      <c r="I29" s="304">
        <f t="shared" si="0"/>
        <v>3</v>
      </c>
      <c r="J29" s="305">
        <f t="shared" si="1"/>
        <v>6</v>
      </c>
      <c r="K29" s="354">
        <v>46512</v>
      </c>
      <c r="L29" s="307">
        <f>VLOOKUP(B29,'[2]Stock Summary'!$A:$L,12,0)</f>
        <v>2</v>
      </c>
      <c r="M29" s="164"/>
      <c r="N29" s="163"/>
      <c r="O29" s="163"/>
    </row>
    <row r="30" spans="1:15" ht="14.5" x14ac:dyDescent="0.35">
      <c r="A30" s="163"/>
      <c r="B30" s="387">
        <v>87221</v>
      </c>
      <c r="C30" s="291" t="s">
        <v>19</v>
      </c>
      <c r="D30" s="388" t="s">
        <v>20</v>
      </c>
      <c r="E30" s="245">
        <v>758</v>
      </c>
      <c r="F30" s="205">
        <v>405</v>
      </c>
      <c r="G30" s="295">
        <v>422</v>
      </c>
      <c r="H30" s="202">
        <v>560</v>
      </c>
      <c r="I30" s="304">
        <f t="shared" si="0"/>
        <v>2145</v>
      </c>
      <c r="J30" s="305">
        <f t="shared" si="1"/>
        <v>2574</v>
      </c>
      <c r="K30" s="358">
        <v>46538</v>
      </c>
      <c r="L30" s="307">
        <f>VLOOKUP(B30,'[2]Stock Summary'!$A:$L,12,0)</f>
        <v>1.2</v>
      </c>
      <c r="M30" s="164"/>
      <c r="N30" s="163"/>
      <c r="O30" s="163"/>
    </row>
    <row r="31" spans="1:15" ht="14.5" x14ac:dyDescent="0.35">
      <c r="A31" s="163"/>
      <c r="B31" s="387">
        <v>43868</v>
      </c>
      <c r="C31" s="291" t="s">
        <v>50</v>
      </c>
      <c r="D31" s="389" t="s">
        <v>51</v>
      </c>
      <c r="E31" s="205"/>
      <c r="F31" s="205">
        <v>0</v>
      </c>
      <c r="G31" s="295">
        <v>106</v>
      </c>
      <c r="H31" s="202">
        <v>100</v>
      </c>
      <c r="I31" s="304">
        <f t="shared" si="0"/>
        <v>206</v>
      </c>
      <c r="J31" s="305">
        <f t="shared" si="1"/>
        <v>618</v>
      </c>
      <c r="K31" s="358">
        <v>46538</v>
      </c>
      <c r="L31" s="307">
        <f>VLOOKUP(B31,'[2]Stock Summary'!$A:$L,12,0)</f>
        <v>3</v>
      </c>
      <c r="M31" s="198"/>
      <c r="N31" s="163"/>
      <c r="O31" s="163"/>
    </row>
    <row r="32" spans="1:15" ht="14.5" x14ac:dyDescent="0.35">
      <c r="A32" s="163"/>
      <c r="B32" s="387">
        <v>38775</v>
      </c>
      <c r="C32" s="291" t="s">
        <v>52</v>
      </c>
      <c r="D32" s="253" t="s">
        <v>53</v>
      </c>
      <c r="E32" s="205">
        <v>405</v>
      </c>
      <c r="F32" s="205">
        <v>1576</v>
      </c>
      <c r="G32" s="295">
        <v>1819</v>
      </c>
      <c r="H32" s="202">
        <v>881</v>
      </c>
      <c r="I32" s="304">
        <f t="shared" si="0"/>
        <v>4681</v>
      </c>
      <c r="J32" s="305">
        <f t="shared" si="1"/>
        <v>14043</v>
      </c>
      <c r="K32" s="358">
        <v>46538</v>
      </c>
      <c r="L32" s="307">
        <f>VLOOKUP(B32,'[2]Stock Summary'!$A:$L,12,0)</f>
        <v>3</v>
      </c>
      <c r="M32" s="164"/>
      <c r="N32" s="163"/>
      <c r="O32" s="163"/>
    </row>
    <row r="33" spans="1:15" ht="14.5" x14ac:dyDescent="0.35">
      <c r="A33" s="163"/>
      <c r="B33" s="281">
        <v>35440</v>
      </c>
      <c r="C33" s="236" t="s">
        <v>54</v>
      </c>
      <c r="D33" s="318" t="s">
        <v>55</v>
      </c>
      <c r="E33" s="245"/>
      <c r="F33" s="205"/>
      <c r="G33" s="297">
        <v>10</v>
      </c>
      <c r="H33" s="202"/>
      <c r="I33" s="304">
        <f t="shared" si="0"/>
        <v>10</v>
      </c>
      <c r="J33" s="305">
        <f t="shared" si="1"/>
        <v>100</v>
      </c>
      <c r="K33" s="354">
        <v>46544</v>
      </c>
      <c r="L33" s="307">
        <f>VLOOKUP(B33,'[2]Stock Summary'!$A:$L,12,0)</f>
        <v>10</v>
      </c>
      <c r="M33" s="164"/>
      <c r="N33" s="163"/>
      <c r="O33" s="163"/>
    </row>
    <row r="34" spans="1:15" ht="14.5" x14ac:dyDescent="0.35">
      <c r="A34" s="163"/>
      <c r="B34" s="365">
        <v>92798</v>
      </c>
      <c r="C34" s="281" t="s">
        <v>44</v>
      </c>
      <c r="D34" s="388" t="s">
        <v>56</v>
      </c>
      <c r="E34" s="203"/>
      <c r="F34" s="205">
        <v>542</v>
      </c>
      <c r="G34" s="295">
        <v>616</v>
      </c>
      <c r="H34" s="288">
        <v>491</v>
      </c>
      <c r="I34" s="304">
        <f t="shared" si="0"/>
        <v>1649</v>
      </c>
      <c r="J34" s="305">
        <f t="shared" si="1"/>
        <v>19788</v>
      </c>
      <c r="K34" s="381">
        <v>46544</v>
      </c>
      <c r="L34" s="307">
        <f>VLOOKUP(B34,'[2]Stock Summary'!$A:$L,12,0)</f>
        <v>12</v>
      </c>
      <c r="M34" s="198"/>
      <c r="N34" s="163"/>
      <c r="O34" s="163"/>
    </row>
    <row r="35" spans="1:15" ht="14.5" x14ac:dyDescent="0.35">
      <c r="A35" s="163"/>
      <c r="B35" s="385">
        <v>43978</v>
      </c>
      <c r="C35" s="386" t="s">
        <v>57</v>
      </c>
      <c r="D35" s="281" t="s">
        <v>58</v>
      </c>
      <c r="E35" s="203">
        <v>465</v>
      </c>
      <c r="F35" s="205">
        <v>426</v>
      </c>
      <c r="G35" s="295">
        <v>0</v>
      </c>
      <c r="H35" s="288">
        <v>380</v>
      </c>
      <c r="I35" s="304">
        <f t="shared" si="0"/>
        <v>1271</v>
      </c>
      <c r="J35" s="305">
        <f t="shared" si="1"/>
        <v>1271</v>
      </c>
      <c r="K35" s="381">
        <v>46545</v>
      </c>
      <c r="L35" s="307">
        <f>VLOOKUP(B35,'[2]Stock Summary'!$A:$L,12,0)</f>
        <v>1</v>
      </c>
      <c r="M35" s="198" t="s">
        <v>59</v>
      </c>
      <c r="N35" s="163"/>
      <c r="O35" s="163"/>
    </row>
    <row r="36" spans="1:15" ht="14.5" x14ac:dyDescent="0.35">
      <c r="A36" s="163"/>
      <c r="B36" s="361">
        <v>52537</v>
      </c>
      <c r="C36" s="329" t="s">
        <v>60</v>
      </c>
      <c r="D36" s="352" t="s">
        <v>45</v>
      </c>
      <c r="E36" s="350"/>
      <c r="F36" s="350">
        <v>241</v>
      </c>
      <c r="G36" s="298">
        <v>350</v>
      </c>
      <c r="H36" s="359">
        <v>369</v>
      </c>
      <c r="I36" s="304">
        <f t="shared" si="0"/>
        <v>960</v>
      </c>
      <c r="J36" s="305">
        <f t="shared" si="1"/>
        <v>4800</v>
      </c>
      <c r="K36" s="353">
        <v>46565</v>
      </c>
      <c r="L36" s="307">
        <f>VLOOKUP(B36,'[2]Stock Summary'!$A:$L,12,0)</f>
        <v>5</v>
      </c>
      <c r="M36" s="198"/>
      <c r="N36" s="163"/>
      <c r="O36" s="163"/>
    </row>
    <row r="37" spans="1:15" ht="14.5" x14ac:dyDescent="0.35">
      <c r="A37" s="163"/>
      <c r="B37" s="366">
        <v>43868</v>
      </c>
      <c r="C37" s="371" t="s">
        <v>50</v>
      </c>
      <c r="D37" s="375" t="s">
        <v>51</v>
      </c>
      <c r="E37" s="376">
        <v>1247</v>
      </c>
      <c r="F37" s="376">
        <v>667</v>
      </c>
      <c r="G37" s="299">
        <v>1000</v>
      </c>
      <c r="H37" s="380">
        <v>651</v>
      </c>
      <c r="I37" s="304">
        <f t="shared" si="0"/>
        <v>3565</v>
      </c>
      <c r="J37" s="305">
        <f t="shared" si="1"/>
        <v>10695</v>
      </c>
      <c r="K37" s="267">
        <v>46565</v>
      </c>
      <c r="L37" s="307">
        <f>VLOOKUP(B37,'[2]Stock Summary'!$A:$L,12,0)</f>
        <v>3</v>
      </c>
      <c r="M37" s="253"/>
      <c r="N37" s="163"/>
      <c r="O37" s="163"/>
    </row>
    <row r="38" spans="1:15" ht="14.5" x14ac:dyDescent="0.35">
      <c r="A38" s="163"/>
      <c r="B38" s="363">
        <v>81359</v>
      </c>
      <c r="C38" s="369" t="s">
        <v>17</v>
      </c>
      <c r="D38" s="374" t="s">
        <v>61</v>
      </c>
      <c r="E38" s="350">
        <v>442</v>
      </c>
      <c r="F38" s="350">
        <v>178</v>
      </c>
      <c r="G38" s="300">
        <v>418</v>
      </c>
      <c r="H38" s="332">
        <v>149</v>
      </c>
      <c r="I38" s="304">
        <f t="shared" si="0"/>
        <v>1187</v>
      </c>
      <c r="J38" s="305">
        <f t="shared" si="1"/>
        <v>2374</v>
      </c>
      <c r="K38" s="333">
        <v>46565</v>
      </c>
      <c r="L38" s="307">
        <f>VLOOKUP(B38,'[2]Stock Summary'!$A:$L,12,0)</f>
        <v>2</v>
      </c>
      <c r="M38" s="198"/>
      <c r="N38" s="163"/>
      <c r="O38" s="163"/>
    </row>
    <row r="39" spans="1:15" ht="14.5" x14ac:dyDescent="0.35">
      <c r="A39" s="163"/>
      <c r="B39" s="287">
        <v>80927</v>
      </c>
      <c r="C39" s="271" t="s">
        <v>17</v>
      </c>
      <c r="D39" s="319" t="s">
        <v>18</v>
      </c>
      <c r="E39" s="245"/>
      <c r="F39" s="205">
        <v>500</v>
      </c>
      <c r="G39" s="297">
        <v>2371</v>
      </c>
      <c r="H39" s="202">
        <v>2383</v>
      </c>
      <c r="I39" s="304">
        <f t="shared" si="0"/>
        <v>5254</v>
      </c>
      <c r="J39" s="305">
        <f t="shared" si="1"/>
        <v>5254</v>
      </c>
      <c r="K39" s="266">
        <v>46565</v>
      </c>
      <c r="L39" s="307">
        <f>VLOOKUP(B39,'[2]Stock Summary'!$A:$L,12,0)</f>
        <v>1</v>
      </c>
      <c r="M39" s="198"/>
      <c r="N39" s="163"/>
      <c r="O39" s="163"/>
    </row>
    <row r="40" spans="1:15" ht="14.5" x14ac:dyDescent="0.35">
      <c r="A40" s="163"/>
      <c r="B40" s="364">
        <v>90556</v>
      </c>
      <c r="C40" s="318" t="s">
        <v>23</v>
      </c>
      <c r="D40" s="319" t="s">
        <v>62</v>
      </c>
      <c r="E40" s="245"/>
      <c r="F40" s="205"/>
      <c r="G40" s="297">
        <v>5</v>
      </c>
      <c r="H40" s="202"/>
      <c r="I40" s="304">
        <f t="shared" si="0"/>
        <v>5</v>
      </c>
      <c r="J40" s="305">
        <f t="shared" si="1"/>
        <v>50</v>
      </c>
      <c r="K40" s="266">
        <v>46575</v>
      </c>
      <c r="L40" s="307">
        <f>VLOOKUP(B40,'[2]Stock Summary'!$A:$L,12,0)</f>
        <v>10</v>
      </c>
      <c r="M40" s="164"/>
      <c r="N40" s="163"/>
      <c r="O40" s="163"/>
    </row>
    <row r="41" spans="1:15" ht="14.5" x14ac:dyDescent="0.35">
      <c r="A41" s="163"/>
      <c r="B41" s="292">
        <v>29570</v>
      </c>
      <c r="C41" s="318" t="s">
        <v>27</v>
      </c>
      <c r="D41" s="373" t="s">
        <v>28</v>
      </c>
      <c r="E41" s="245"/>
      <c r="F41" s="205"/>
      <c r="G41" s="297">
        <v>2</v>
      </c>
      <c r="H41" s="202"/>
      <c r="I41" s="304">
        <f t="shared" si="0"/>
        <v>2</v>
      </c>
      <c r="J41" s="305">
        <f t="shared" si="1"/>
        <v>10</v>
      </c>
      <c r="K41" s="266">
        <v>46575</v>
      </c>
      <c r="L41" s="307">
        <f>VLOOKUP(B41,'[2]Stock Summary'!$A:$L,12,0)</f>
        <v>5</v>
      </c>
      <c r="M41" s="164"/>
      <c r="N41" s="163"/>
      <c r="O41" s="163"/>
    </row>
    <row r="42" spans="1:15" ht="14.5" x14ac:dyDescent="0.35">
      <c r="A42" s="163"/>
      <c r="B42" s="292">
        <v>42123</v>
      </c>
      <c r="C42" s="330" t="s">
        <v>27</v>
      </c>
      <c r="D42" s="373" t="s">
        <v>49</v>
      </c>
      <c r="E42" s="302"/>
      <c r="F42" s="348"/>
      <c r="G42" s="351">
        <v>3</v>
      </c>
      <c r="H42" s="252"/>
      <c r="I42" s="304">
        <f t="shared" si="0"/>
        <v>3</v>
      </c>
      <c r="J42" s="305">
        <f t="shared" si="1"/>
        <v>6</v>
      </c>
      <c r="K42" s="266">
        <v>46575</v>
      </c>
      <c r="L42" s="307">
        <f>VLOOKUP(B42,'[2]Stock Summary'!$A:$L,12,0)</f>
        <v>2</v>
      </c>
      <c r="M42" s="164"/>
      <c r="N42" s="163"/>
      <c r="O42" s="163"/>
    </row>
    <row r="43" spans="1:15" ht="14.5" x14ac:dyDescent="0.35">
      <c r="A43" s="163"/>
      <c r="B43" s="290">
        <v>52537</v>
      </c>
      <c r="C43" s="330" t="s">
        <v>60</v>
      </c>
      <c r="D43" s="373" t="s">
        <v>45</v>
      </c>
      <c r="E43" s="348"/>
      <c r="F43" s="348">
        <v>577</v>
      </c>
      <c r="G43" s="301">
        <v>0</v>
      </c>
      <c r="H43" s="252"/>
      <c r="I43" s="304">
        <f t="shared" si="0"/>
        <v>577</v>
      </c>
      <c r="J43" s="305">
        <f t="shared" si="1"/>
        <v>2885</v>
      </c>
      <c r="K43" s="266">
        <v>46595</v>
      </c>
      <c r="L43" s="307">
        <f>VLOOKUP(B43,'[2]Stock Summary'!$A:$L,12,0)</f>
        <v>5</v>
      </c>
      <c r="M43" s="198"/>
      <c r="N43" s="163"/>
      <c r="O43" s="163"/>
    </row>
    <row r="44" spans="1:15" s="4" customFormat="1" ht="14.5" x14ac:dyDescent="0.35">
      <c r="A44" s="163"/>
      <c r="B44" s="237" t="s">
        <v>63</v>
      </c>
      <c r="C44" s="237"/>
      <c r="D44" s="237"/>
      <c r="E44" s="238">
        <f t="shared" ref="E44:J44" si="2">SUM(E5:E43)</f>
        <v>11772</v>
      </c>
      <c r="F44" s="238">
        <f t="shared" si="2"/>
        <v>11085</v>
      </c>
      <c r="G44" s="238">
        <f t="shared" si="2"/>
        <v>21687</v>
      </c>
      <c r="H44" s="238">
        <f t="shared" si="2"/>
        <v>13188</v>
      </c>
      <c r="I44" s="238">
        <f t="shared" si="2"/>
        <v>57732</v>
      </c>
      <c r="J44" s="238">
        <f t="shared" si="2"/>
        <v>105902.26000000001</v>
      </c>
      <c r="K44" s="269" t="s">
        <v>1</v>
      </c>
      <c r="L44" s="239" t="s">
        <v>1</v>
      </c>
      <c r="M44" s="163"/>
      <c r="N44" s="163"/>
      <c r="O44" s="163"/>
    </row>
  </sheetData>
  <autoFilter ref="A4:O4" xr:uid="{586445A9-AB9D-4E16-8974-BDF4CDA59EFA}">
    <sortState xmlns:xlrd2="http://schemas.microsoft.com/office/spreadsheetml/2017/richdata2" ref="A5:O44">
      <sortCondition ref="K4"/>
    </sortState>
  </autoFilter>
  <mergeCells count="1">
    <mergeCell ref="B2:M3"/>
  </mergeCells>
  <conditionalFormatting sqref="K4:K1048576 K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landscape" r:id="rId1"/>
  <customProperties>
    <customPr name="Ibp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2B9E-AC78-48C1-995C-26A9E430421F}">
  <dimension ref="D3:N5"/>
  <sheetViews>
    <sheetView workbookViewId="0">
      <selection activeCell="J7" sqref="J7"/>
    </sheetView>
  </sheetViews>
  <sheetFormatPr defaultRowHeight="14.5" x14ac:dyDescent="0.35"/>
  <cols>
    <col min="4" max="5" width="15.26953125" customWidth="1"/>
    <col min="13" max="13" width="12" customWidth="1"/>
  </cols>
  <sheetData>
    <row r="3" spans="4:14" ht="38.25" customHeight="1" x14ac:dyDescent="0.35">
      <c r="D3" s="9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64</v>
      </c>
      <c r="J3" s="10" t="s">
        <v>8</v>
      </c>
      <c r="K3" s="10" t="s">
        <v>65</v>
      </c>
      <c r="L3" s="10" t="s">
        <v>10</v>
      </c>
      <c r="M3" s="125" t="s">
        <v>11</v>
      </c>
      <c r="N3" s="126" t="s">
        <v>4</v>
      </c>
    </row>
    <row r="4" spans="4:14" x14ac:dyDescent="0.35">
      <c r="D4" s="143" t="s">
        <v>66</v>
      </c>
      <c r="E4" s="3" t="s">
        <v>67</v>
      </c>
      <c r="F4" s="138">
        <v>496</v>
      </c>
      <c r="G4" s="144">
        <v>1162</v>
      </c>
      <c r="H4" s="142">
        <v>271</v>
      </c>
      <c r="I4" s="145">
        <v>1286</v>
      </c>
      <c r="J4" s="129">
        <v>247</v>
      </c>
      <c r="K4" s="129"/>
      <c r="L4" s="130" t="s">
        <v>68</v>
      </c>
      <c r="M4" s="130" t="s">
        <v>68</v>
      </c>
      <c r="N4" s="127"/>
    </row>
    <row r="5" spans="4:14" x14ac:dyDescent="0.35">
      <c r="D5" s="146" t="s">
        <v>66</v>
      </c>
      <c r="E5" s="147" t="s">
        <v>67</v>
      </c>
      <c r="F5" s="148">
        <v>55</v>
      </c>
      <c r="G5" s="149">
        <v>0</v>
      </c>
      <c r="H5" s="131">
        <v>0</v>
      </c>
      <c r="I5" s="148">
        <v>150</v>
      </c>
      <c r="J5" s="132"/>
      <c r="K5" s="132"/>
      <c r="L5" s="133" t="s">
        <v>69</v>
      </c>
      <c r="M5" s="133" t="s">
        <v>69</v>
      </c>
      <c r="N5" s="1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65BB-1821-457A-81BA-0FBFD6629650}">
  <dimension ref="A2:K9"/>
  <sheetViews>
    <sheetView workbookViewId="0">
      <selection activeCell="F13" sqref="F13"/>
    </sheetView>
  </sheetViews>
  <sheetFormatPr defaultRowHeight="14.5" x14ac:dyDescent="0.35"/>
  <cols>
    <col min="3" max="3" width="14.81640625" customWidth="1"/>
    <col min="10" max="10" width="14.26953125" customWidth="1"/>
  </cols>
  <sheetData>
    <row r="2" spans="1:11" x14ac:dyDescent="0.35">
      <c r="A2" s="399" t="s">
        <v>70</v>
      </c>
      <c r="B2" s="399"/>
      <c r="C2" s="399"/>
      <c r="D2" s="399"/>
      <c r="E2" s="399"/>
      <c r="F2" s="399"/>
      <c r="G2" s="399"/>
      <c r="H2" s="399"/>
      <c r="I2" s="399"/>
      <c r="J2" s="399"/>
      <c r="K2" s="399"/>
    </row>
    <row r="3" spans="1:11" x14ac:dyDescent="0.35">
      <c r="A3" s="399"/>
      <c r="B3" s="399"/>
      <c r="C3" s="399"/>
      <c r="D3" s="399"/>
      <c r="E3" s="399"/>
      <c r="F3" s="399"/>
      <c r="G3" s="399"/>
      <c r="H3" s="399"/>
      <c r="I3" s="399"/>
      <c r="J3" s="399"/>
      <c r="K3" s="399"/>
    </row>
    <row r="4" spans="1:11" ht="36.75" customHeight="1" x14ac:dyDescent="0.35">
      <c r="A4" s="123" t="s">
        <v>2</v>
      </c>
      <c r="B4" s="123" t="s">
        <v>3</v>
      </c>
      <c r="C4" s="123" t="s">
        <v>4</v>
      </c>
      <c r="D4" s="123" t="s">
        <v>5</v>
      </c>
      <c r="E4" s="123" t="s">
        <v>6</v>
      </c>
      <c r="F4" s="123" t="s">
        <v>64</v>
      </c>
      <c r="G4" s="123" t="s">
        <v>8</v>
      </c>
      <c r="H4" s="123" t="s">
        <v>65</v>
      </c>
      <c r="I4" s="123" t="s">
        <v>10</v>
      </c>
      <c r="J4" s="123" t="s">
        <v>11</v>
      </c>
      <c r="K4" s="124" t="s">
        <v>4</v>
      </c>
    </row>
    <row r="5" spans="1:11" x14ac:dyDescent="0.35">
      <c r="A5" s="115">
        <v>70887</v>
      </c>
      <c r="B5" s="116" t="s">
        <v>71</v>
      </c>
      <c r="C5" s="116" t="s">
        <v>72</v>
      </c>
      <c r="D5" s="118">
        <v>0</v>
      </c>
      <c r="E5" s="119">
        <v>0</v>
      </c>
      <c r="F5" s="117">
        <v>860</v>
      </c>
      <c r="G5" s="118">
        <v>842</v>
      </c>
      <c r="H5" s="118">
        <f t="shared" ref="H5" si="0">SUM(D5:G5)</f>
        <v>1702</v>
      </c>
      <c r="I5" s="118">
        <f t="shared" ref="I5:I7" si="1">H5*K5</f>
        <v>680.80000000000007</v>
      </c>
      <c r="J5" s="120" t="s">
        <v>73</v>
      </c>
      <c r="K5" s="121">
        <v>0.4</v>
      </c>
    </row>
    <row r="6" spans="1:11" x14ac:dyDescent="0.35">
      <c r="A6" s="118">
        <v>70887</v>
      </c>
      <c r="B6" s="116" t="s">
        <v>71</v>
      </c>
      <c r="C6" s="116" t="s">
        <v>72</v>
      </c>
      <c r="D6" s="118">
        <v>227</v>
      </c>
      <c r="E6" s="118">
        <v>638</v>
      </c>
      <c r="F6" s="118"/>
      <c r="G6" s="118">
        <v>1288</v>
      </c>
      <c r="H6" s="118">
        <f>SUM(D6:G6)</f>
        <v>2153</v>
      </c>
      <c r="I6" s="118">
        <f t="shared" si="1"/>
        <v>861.2</v>
      </c>
      <c r="J6" s="122">
        <v>46023</v>
      </c>
      <c r="K6" s="121">
        <v>0.4</v>
      </c>
    </row>
    <row r="7" spans="1:11" x14ac:dyDescent="0.35">
      <c r="A7" s="118">
        <v>70887</v>
      </c>
      <c r="B7" s="116" t="s">
        <v>71</v>
      </c>
      <c r="C7" s="116" t="s">
        <v>72</v>
      </c>
      <c r="D7" s="118">
        <v>3074</v>
      </c>
      <c r="E7" s="118">
        <v>895</v>
      </c>
      <c r="F7" s="118">
        <v>3174</v>
      </c>
      <c r="G7" s="118"/>
      <c r="H7" s="118">
        <f>SUM(D7:G7)</f>
        <v>7143</v>
      </c>
      <c r="I7" s="118">
        <f t="shared" si="1"/>
        <v>2857.2000000000003</v>
      </c>
      <c r="J7" s="120">
        <v>46055</v>
      </c>
      <c r="K7" s="121">
        <v>0.4</v>
      </c>
    </row>
    <row r="8" spans="1:11" x14ac:dyDescent="0.35">
      <c r="A8" s="118"/>
      <c r="B8" s="116"/>
      <c r="C8" s="116"/>
      <c r="D8" s="118">
        <v>1698</v>
      </c>
      <c r="E8" s="118"/>
      <c r="F8" s="118"/>
      <c r="G8" s="118"/>
      <c r="H8" s="118">
        <f>SUM(D8:G8)</f>
        <v>1698</v>
      </c>
      <c r="I8" s="118"/>
      <c r="J8" s="120"/>
      <c r="K8" s="121"/>
    </row>
    <row r="9" spans="1:11" x14ac:dyDescent="0.35">
      <c r="A9" s="114"/>
      <c r="B9" s="114"/>
      <c r="C9" s="114"/>
      <c r="D9" s="114">
        <f>SUM(D5:D8)</f>
        <v>4999</v>
      </c>
      <c r="E9" s="114">
        <f>SUM(E5:E8)</f>
        <v>1533</v>
      </c>
      <c r="F9" s="114">
        <f>SUM(F5:F8)</f>
        <v>4034</v>
      </c>
      <c r="G9" s="114">
        <f>SUM(G5:G8)</f>
        <v>2130</v>
      </c>
      <c r="H9" s="114">
        <f>SUM(D9:G9)</f>
        <v>12696</v>
      </c>
      <c r="I9" s="114"/>
      <c r="J9" s="114"/>
      <c r="K9" s="114"/>
    </row>
  </sheetData>
  <mergeCells count="1">
    <mergeCell ref="A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9B31-18FB-49EB-B68F-D12C00F3E898}">
  <dimension ref="A1:R220"/>
  <sheetViews>
    <sheetView topLeftCell="B1" zoomScaleNormal="100" workbookViewId="0">
      <pane ySplit="4" topLeftCell="A17" activePane="bottomLeft" state="frozen"/>
      <selection pane="bottomLeft" activeCell="B17" sqref="B17:D17"/>
    </sheetView>
  </sheetViews>
  <sheetFormatPr defaultColWidth="9.1796875" defaultRowHeight="14.5" x14ac:dyDescent="0.35"/>
  <cols>
    <col min="1" max="1" width="6.1796875" style="1" hidden="1" customWidth="1"/>
    <col min="2" max="2" width="9.453125" style="136" bestFit="1" customWidth="1"/>
    <col min="3" max="3" width="20.81640625" style="4" bestFit="1" customWidth="1"/>
    <col min="4" max="4" width="12.54296875" style="4" bestFit="1" customWidth="1"/>
    <col min="5" max="5" width="8.7265625" style="4" bestFit="1" customWidth="1"/>
    <col min="6" max="6" width="9" style="4" bestFit="1" customWidth="1"/>
    <col min="7" max="7" width="10.81640625" style="40" bestFit="1" customWidth="1"/>
    <col min="8" max="8" width="10.81640625" style="1" bestFit="1" customWidth="1"/>
    <col min="9" max="9" width="11.81640625" style="207" bestFit="1" customWidth="1"/>
    <col min="10" max="10" width="11.81640625" style="207" customWidth="1"/>
    <col min="11" max="11" width="11.54296875" style="1" customWidth="1"/>
    <col min="12" max="12" width="9.26953125" style="1" bestFit="1" customWidth="1"/>
    <col min="13" max="13" width="45.54296875" style="1" bestFit="1" customWidth="1"/>
    <col min="14" max="14" width="19.1796875" style="1" customWidth="1"/>
    <col min="15" max="16384" width="9.1796875" style="1"/>
  </cols>
  <sheetData>
    <row r="1" spans="1:16" ht="15" thickBot="1" x14ac:dyDescent="0.4"/>
    <row r="2" spans="1:16" ht="15" customHeight="1" x14ac:dyDescent="0.35">
      <c r="B2" s="399" t="s">
        <v>74</v>
      </c>
      <c r="C2" s="400"/>
      <c r="D2" s="400"/>
      <c r="E2" s="400"/>
      <c r="F2" s="400"/>
      <c r="G2" s="400"/>
      <c r="H2" s="400"/>
      <c r="I2" s="400"/>
      <c r="J2" s="400"/>
      <c r="K2" s="400"/>
      <c r="L2" s="400"/>
      <c r="O2" s="14"/>
      <c r="P2" s="14"/>
    </row>
    <row r="3" spans="1:16" ht="15" customHeight="1" thickBot="1" x14ac:dyDescent="0.4">
      <c r="B3" s="401"/>
      <c r="C3" s="402"/>
      <c r="D3" s="402"/>
      <c r="E3" s="402"/>
      <c r="F3" s="402"/>
      <c r="G3" s="402"/>
      <c r="H3" s="402"/>
      <c r="I3" s="402"/>
      <c r="J3" s="402"/>
      <c r="K3" s="402"/>
      <c r="L3" s="402"/>
      <c r="O3" s="14"/>
      <c r="P3" s="14"/>
    </row>
    <row r="4" spans="1:16" ht="43.5" customHeight="1" x14ac:dyDescent="0.35">
      <c r="A4" s="13">
        <v>16238</v>
      </c>
      <c r="B4" s="9" t="s">
        <v>2</v>
      </c>
      <c r="C4" s="196" t="s">
        <v>3</v>
      </c>
      <c r="D4" s="196" t="s">
        <v>4</v>
      </c>
      <c r="E4" s="10" t="s">
        <v>5</v>
      </c>
      <c r="F4" s="10" t="s">
        <v>6</v>
      </c>
      <c r="G4" s="10" t="s">
        <v>64</v>
      </c>
      <c r="H4" s="10" t="s">
        <v>8</v>
      </c>
      <c r="I4" s="208" t="s">
        <v>75</v>
      </c>
      <c r="J4" s="208" t="s">
        <v>76</v>
      </c>
      <c r="K4" s="10" t="s">
        <v>11</v>
      </c>
      <c r="L4" s="11" t="s">
        <v>4</v>
      </c>
      <c r="M4" s="11" t="s">
        <v>77</v>
      </c>
      <c r="O4" s="14"/>
      <c r="P4" s="14"/>
    </row>
    <row r="5" spans="1:16" x14ac:dyDescent="0.35">
      <c r="A5" s="40"/>
      <c r="B5" s="248">
        <v>34779</v>
      </c>
      <c r="C5" s="342" t="s">
        <v>19</v>
      </c>
      <c r="D5" s="3" t="s">
        <v>78</v>
      </c>
      <c r="E5" s="257"/>
      <c r="F5" s="256">
        <v>407</v>
      </c>
      <c r="G5" s="254">
        <v>0</v>
      </c>
      <c r="H5" s="258"/>
      <c r="I5" s="209">
        <f t="shared" ref="I5:I50" si="0">SUM(E5:H5)</f>
        <v>407</v>
      </c>
      <c r="J5" s="262">
        <f t="shared" ref="J5:J50" si="1">I5*L5</f>
        <v>407</v>
      </c>
      <c r="K5" s="206">
        <v>46538</v>
      </c>
      <c r="L5" s="21">
        <f>VLOOKUP(B5,'[2]Stock Summary'!$A:$L,12,0)</f>
        <v>1</v>
      </c>
      <c r="O5" s="14"/>
      <c r="P5" s="14"/>
    </row>
    <row r="6" spans="1:16" x14ac:dyDescent="0.35">
      <c r="A6" s="2"/>
      <c r="B6" s="248">
        <v>46652</v>
      </c>
      <c r="C6" s="342" t="s">
        <v>21</v>
      </c>
      <c r="D6" s="3" t="s">
        <v>49</v>
      </c>
      <c r="E6" s="257"/>
      <c r="F6" s="256">
        <v>0</v>
      </c>
      <c r="G6" s="254">
        <v>5441</v>
      </c>
      <c r="H6" s="258"/>
      <c r="I6" s="209">
        <f t="shared" si="0"/>
        <v>5441</v>
      </c>
      <c r="J6" s="262">
        <f t="shared" si="1"/>
        <v>10882</v>
      </c>
      <c r="K6" s="272">
        <v>46638</v>
      </c>
      <c r="L6" s="21">
        <f>VLOOKUP(B6,'[2]Stock Summary'!$A:$L,12,0)</f>
        <v>2</v>
      </c>
      <c r="O6" s="14"/>
      <c r="P6" s="14"/>
    </row>
    <row r="7" spans="1:16" x14ac:dyDescent="0.35">
      <c r="A7" s="2"/>
      <c r="B7" s="246">
        <v>53294</v>
      </c>
      <c r="C7" s="343" t="s">
        <v>21</v>
      </c>
      <c r="D7" s="3" t="s">
        <v>79</v>
      </c>
      <c r="E7" s="257"/>
      <c r="F7" s="256">
        <v>0</v>
      </c>
      <c r="G7" s="254">
        <v>0</v>
      </c>
      <c r="H7" s="258">
        <v>0</v>
      </c>
      <c r="I7" s="209">
        <f t="shared" si="0"/>
        <v>0</v>
      </c>
      <c r="J7" s="262">
        <f t="shared" si="1"/>
        <v>0</v>
      </c>
      <c r="K7" s="272">
        <v>46638</v>
      </c>
      <c r="L7" s="21">
        <f>VLOOKUP(B7,'[2]Stock Summary'!$A:$L,12,0)</f>
        <v>1</v>
      </c>
      <c r="O7" s="14"/>
      <c r="P7" s="14"/>
    </row>
    <row r="8" spans="1:16" x14ac:dyDescent="0.35">
      <c r="A8" s="2"/>
      <c r="B8" s="246">
        <v>51574</v>
      </c>
      <c r="C8" s="343" t="s">
        <v>21</v>
      </c>
      <c r="D8" s="3" t="s">
        <v>80</v>
      </c>
      <c r="E8" s="257">
        <v>143</v>
      </c>
      <c r="F8" s="256">
        <v>0</v>
      </c>
      <c r="G8" s="254">
        <v>450</v>
      </c>
      <c r="H8" s="258"/>
      <c r="I8" s="209">
        <f t="shared" si="0"/>
        <v>593</v>
      </c>
      <c r="J8" s="262">
        <f t="shared" si="1"/>
        <v>2965</v>
      </c>
      <c r="K8" s="206">
        <v>46724</v>
      </c>
      <c r="L8" s="21">
        <f>VLOOKUP(B8,'[2]Stock Summary'!$A:$L,12,0)</f>
        <v>5</v>
      </c>
      <c r="P8" s="14"/>
    </row>
    <row r="9" spans="1:16" x14ac:dyDescent="0.35">
      <c r="A9" s="2"/>
      <c r="B9" s="248">
        <v>46652</v>
      </c>
      <c r="C9" s="342" t="s">
        <v>21</v>
      </c>
      <c r="D9" s="3" t="s">
        <v>49</v>
      </c>
      <c r="E9" s="257">
        <v>2265</v>
      </c>
      <c r="F9" s="256">
        <v>1882</v>
      </c>
      <c r="G9" s="254"/>
      <c r="H9" s="258">
        <v>800</v>
      </c>
      <c r="I9" s="209">
        <f t="shared" si="0"/>
        <v>4947</v>
      </c>
      <c r="J9" s="262">
        <f t="shared" si="1"/>
        <v>9894</v>
      </c>
      <c r="K9" s="206">
        <v>46724</v>
      </c>
      <c r="L9" s="21">
        <v>2</v>
      </c>
      <c r="P9" s="14"/>
    </row>
    <row r="10" spans="1:16" x14ac:dyDescent="0.35">
      <c r="A10" s="2"/>
      <c r="B10" s="246">
        <v>53294</v>
      </c>
      <c r="C10" s="343" t="s">
        <v>21</v>
      </c>
      <c r="D10" s="3" t="s">
        <v>79</v>
      </c>
      <c r="E10" s="257">
        <v>7201</v>
      </c>
      <c r="F10" s="256">
        <v>8628</v>
      </c>
      <c r="G10" s="254"/>
      <c r="H10" s="258">
        <v>5918</v>
      </c>
      <c r="I10" s="209">
        <f t="shared" si="0"/>
        <v>21747</v>
      </c>
      <c r="J10" s="262">
        <f t="shared" si="1"/>
        <v>21747</v>
      </c>
      <c r="K10" s="206">
        <v>46724</v>
      </c>
      <c r="L10" s="21">
        <f>VLOOKUP(B10,'[2]Stock Summary'!$A:$L,12,0)</f>
        <v>1</v>
      </c>
      <c r="O10" s="14"/>
      <c r="P10" s="14"/>
    </row>
    <row r="11" spans="1:16" x14ac:dyDescent="0.35">
      <c r="A11" s="2"/>
      <c r="B11" s="246">
        <v>87269</v>
      </c>
      <c r="C11" s="343" t="s">
        <v>81</v>
      </c>
      <c r="D11" s="3" t="s">
        <v>53</v>
      </c>
      <c r="E11" s="257">
        <v>8</v>
      </c>
      <c r="F11" s="256">
        <v>267</v>
      </c>
      <c r="G11" s="254"/>
      <c r="H11" s="258"/>
      <c r="I11" s="209">
        <f t="shared" si="0"/>
        <v>275</v>
      </c>
      <c r="J11" s="262">
        <f t="shared" si="1"/>
        <v>825</v>
      </c>
      <c r="K11" s="206">
        <v>46724</v>
      </c>
      <c r="L11" s="21">
        <v>3</v>
      </c>
      <c r="O11" s="14"/>
      <c r="P11" s="14"/>
    </row>
    <row r="12" spans="1:16" x14ac:dyDescent="0.35">
      <c r="A12" s="2"/>
      <c r="B12" s="246">
        <v>63913</v>
      </c>
      <c r="C12" s="343" t="s">
        <v>82</v>
      </c>
      <c r="D12" s="3" t="s">
        <v>83</v>
      </c>
      <c r="E12" s="257">
        <v>3</v>
      </c>
      <c r="F12" s="256"/>
      <c r="G12" s="254"/>
      <c r="H12" s="258"/>
      <c r="I12" s="209"/>
      <c r="J12" s="262"/>
      <c r="K12" s="206">
        <v>46715</v>
      </c>
      <c r="L12" s="21"/>
      <c r="O12" s="14"/>
      <c r="P12" s="14"/>
    </row>
    <row r="13" spans="1:16" x14ac:dyDescent="0.35">
      <c r="A13" s="2">
        <v>69037</v>
      </c>
      <c r="B13" s="8">
        <v>69037</v>
      </c>
      <c r="C13" s="344" t="s">
        <v>84</v>
      </c>
      <c r="D13" s="3" t="s">
        <v>85</v>
      </c>
      <c r="E13" s="257">
        <v>215</v>
      </c>
      <c r="F13" s="256">
        <v>100</v>
      </c>
      <c r="G13" s="255"/>
      <c r="H13" s="259">
        <v>317</v>
      </c>
      <c r="I13" s="209">
        <f t="shared" si="0"/>
        <v>632</v>
      </c>
      <c r="J13" s="262">
        <f t="shared" si="1"/>
        <v>1896</v>
      </c>
      <c r="K13" s="206">
        <v>46716</v>
      </c>
      <c r="L13" s="21">
        <v>3</v>
      </c>
      <c r="O13" s="14"/>
      <c r="P13" s="14"/>
    </row>
    <row r="14" spans="1:16" x14ac:dyDescent="0.35">
      <c r="A14" s="2"/>
      <c r="B14" s="8">
        <v>87913</v>
      </c>
      <c r="C14" s="344" t="s">
        <v>86</v>
      </c>
      <c r="D14" s="3" t="s">
        <v>87</v>
      </c>
      <c r="E14" s="257">
        <v>1729</v>
      </c>
      <c r="F14" s="256"/>
      <c r="G14" s="255"/>
      <c r="H14" s="259"/>
      <c r="I14" s="209"/>
      <c r="J14" s="262"/>
      <c r="K14" s="206">
        <v>46632</v>
      </c>
      <c r="L14" s="21"/>
      <c r="O14" s="14"/>
      <c r="P14" s="14"/>
    </row>
    <row r="15" spans="1:16" x14ac:dyDescent="0.35">
      <c r="A15" s="2"/>
      <c r="B15" s="8">
        <v>35440</v>
      </c>
      <c r="C15" s="343" t="s">
        <v>88</v>
      </c>
      <c r="D15" s="3" t="s">
        <v>89</v>
      </c>
      <c r="E15" s="257">
        <v>792</v>
      </c>
      <c r="F15" s="256">
        <v>0</v>
      </c>
      <c r="G15" s="255">
        <v>0</v>
      </c>
      <c r="H15" s="259"/>
      <c r="I15" s="209">
        <f t="shared" si="0"/>
        <v>792</v>
      </c>
      <c r="J15" s="262">
        <f t="shared" si="1"/>
        <v>7920</v>
      </c>
      <c r="K15" s="206">
        <v>46670</v>
      </c>
      <c r="L15" s="21">
        <f>VLOOKUP(B15,'[2]Stock Summary'!$A:$L,12,0)</f>
        <v>10</v>
      </c>
      <c r="O15" s="14"/>
      <c r="P15" s="14"/>
    </row>
    <row r="16" spans="1:16" x14ac:dyDescent="0.35">
      <c r="A16" s="2"/>
      <c r="B16" s="8">
        <v>35440</v>
      </c>
      <c r="C16" s="343" t="s">
        <v>54</v>
      </c>
      <c r="D16" s="3" t="s">
        <v>55</v>
      </c>
      <c r="E16" s="257"/>
      <c r="F16" s="256">
        <v>0</v>
      </c>
      <c r="G16" s="255">
        <v>2120</v>
      </c>
      <c r="H16" s="259"/>
      <c r="I16" s="209">
        <f t="shared" si="0"/>
        <v>2120</v>
      </c>
      <c r="J16" s="262">
        <f t="shared" si="1"/>
        <v>21200</v>
      </c>
      <c r="K16" s="206">
        <v>46632</v>
      </c>
      <c r="L16" s="21">
        <f>VLOOKUP(B16,'[2]Stock Summary'!$A:$L,12,0)</f>
        <v>10</v>
      </c>
      <c r="O16" s="14"/>
      <c r="P16" s="14"/>
    </row>
    <row r="17" spans="1:16" x14ac:dyDescent="0.35">
      <c r="A17" s="2"/>
      <c r="B17" s="8">
        <v>35440</v>
      </c>
      <c r="C17" s="343" t="s">
        <v>54</v>
      </c>
      <c r="D17" s="3" t="s">
        <v>55</v>
      </c>
      <c r="E17" s="257"/>
      <c r="F17" s="256">
        <v>0</v>
      </c>
      <c r="G17" s="255">
        <v>3659</v>
      </c>
      <c r="H17" s="259"/>
      <c r="I17" s="209">
        <f t="shared" si="0"/>
        <v>3659</v>
      </c>
      <c r="J17" s="262">
        <f t="shared" si="1"/>
        <v>36590</v>
      </c>
      <c r="K17" s="206">
        <v>46694</v>
      </c>
      <c r="L17" s="21">
        <f>VLOOKUP(B17,'[2]Stock Summary'!$A:$L,12,0)</f>
        <v>10</v>
      </c>
      <c r="O17" s="14"/>
      <c r="P17" s="14"/>
    </row>
    <row r="18" spans="1:16" x14ac:dyDescent="0.35">
      <c r="A18" s="2"/>
      <c r="B18" s="8">
        <v>56655</v>
      </c>
      <c r="C18" s="345" t="s">
        <v>54</v>
      </c>
      <c r="D18" s="3" t="s">
        <v>90</v>
      </c>
      <c r="E18" s="257" t="s">
        <v>91</v>
      </c>
      <c r="F18" s="256">
        <v>891</v>
      </c>
      <c r="G18" s="255">
        <v>3623</v>
      </c>
      <c r="H18" s="259"/>
      <c r="I18" s="209">
        <f t="shared" si="0"/>
        <v>4514</v>
      </c>
      <c r="J18" s="262">
        <f t="shared" si="1"/>
        <v>45140</v>
      </c>
      <c r="K18" s="206">
        <v>46716</v>
      </c>
      <c r="L18" s="21">
        <f>VLOOKUP(B18,'[2]Stock Summary'!$A:$L,12,0)</f>
        <v>10</v>
      </c>
      <c r="O18" s="14"/>
      <c r="P18" s="14"/>
    </row>
    <row r="19" spans="1:16" x14ac:dyDescent="0.35">
      <c r="A19" s="2"/>
      <c r="B19" s="8">
        <v>87913</v>
      </c>
      <c r="C19" s="343" t="s">
        <v>86</v>
      </c>
      <c r="D19" s="3" t="s">
        <v>92</v>
      </c>
      <c r="E19" s="257"/>
      <c r="F19" s="256">
        <v>0</v>
      </c>
      <c r="G19" s="255">
        <v>2488</v>
      </c>
      <c r="H19" s="259">
        <v>600</v>
      </c>
      <c r="I19" s="209">
        <f t="shared" si="0"/>
        <v>3088</v>
      </c>
      <c r="J19" s="262">
        <f t="shared" si="1"/>
        <v>3088</v>
      </c>
      <c r="K19" s="206">
        <v>46607</v>
      </c>
      <c r="L19" s="21">
        <f>VLOOKUP(B19,'[2]Stock Summary'!$A:$L,12,0)</f>
        <v>1</v>
      </c>
      <c r="O19" s="14"/>
      <c r="P19" s="14"/>
    </row>
    <row r="20" spans="1:16" x14ac:dyDescent="0.35">
      <c r="A20" s="2"/>
      <c r="B20" s="8">
        <v>87913</v>
      </c>
      <c r="C20" s="343" t="s">
        <v>86</v>
      </c>
      <c r="D20" s="3" t="s">
        <v>92</v>
      </c>
      <c r="E20" s="257">
        <v>1729</v>
      </c>
      <c r="F20" s="256">
        <v>2219</v>
      </c>
      <c r="G20" s="255">
        <v>7800</v>
      </c>
      <c r="H20" s="259">
        <v>1855</v>
      </c>
      <c r="I20" s="209">
        <f t="shared" si="0"/>
        <v>13603</v>
      </c>
      <c r="J20" s="262">
        <f t="shared" si="1"/>
        <v>13603</v>
      </c>
      <c r="K20" s="206">
        <v>46639</v>
      </c>
      <c r="L20" s="21">
        <f>VLOOKUP(B20,'[2]Stock Summary'!$A:$L,12,0)</f>
        <v>1</v>
      </c>
      <c r="O20" s="14"/>
      <c r="P20" s="14"/>
    </row>
    <row r="21" spans="1:16" x14ac:dyDescent="0.35">
      <c r="A21" s="2"/>
      <c r="B21" s="8">
        <v>52537</v>
      </c>
      <c r="C21" s="343" t="s">
        <v>93</v>
      </c>
      <c r="D21" s="3" t="s">
        <v>94</v>
      </c>
      <c r="E21" s="257"/>
      <c r="F21" s="256">
        <v>241</v>
      </c>
      <c r="G21" s="255"/>
      <c r="H21" s="259">
        <v>562</v>
      </c>
      <c r="I21" s="209">
        <f t="shared" si="0"/>
        <v>803</v>
      </c>
      <c r="J21" s="262">
        <f t="shared" si="1"/>
        <v>4015</v>
      </c>
      <c r="K21" s="206">
        <v>46565</v>
      </c>
      <c r="L21" s="21">
        <f>VLOOKUP(B21,'[2]Stock Summary'!$A:$L,12,0)</f>
        <v>5</v>
      </c>
      <c r="M21" s="264" t="s">
        <v>95</v>
      </c>
      <c r="O21" s="14"/>
      <c r="P21" s="14"/>
    </row>
    <row r="22" spans="1:16" x14ac:dyDescent="0.35">
      <c r="A22" s="2"/>
      <c r="B22" s="8">
        <v>52537</v>
      </c>
      <c r="C22" s="343" t="s">
        <v>93</v>
      </c>
      <c r="D22" s="3" t="s">
        <v>94</v>
      </c>
      <c r="E22" s="257">
        <v>335</v>
      </c>
      <c r="F22" s="256">
        <v>577</v>
      </c>
      <c r="G22" s="255">
        <v>2018</v>
      </c>
      <c r="H22" s="259">
        <v>300</v>
      </c>
      <c r="I22" s="209">
        <f t="shared" si="0"/>
        <v>3230</v>
      </c>
      <c r="J22" s="262">
        <f t="shared" si="1"/>
        <v>16150</v>
      </c>
      <c r="K22" s="206">
        <v>46575</v>
      </c>
      <c r="L22" s="21">
        <f>VLOOKUP(B22,'[2]Stock Summary'!$A:$L,12,0)</f>
        <v>5</v>
      </c>
      <c r="M22" s="264"/>
      <c r="O22" s="14"/>
      <c r="P22" s="14"/>
    </row>
    <row r="23" spans="1:16" x14ac:dyDescent="0.35">
      <c r="A23" s="2"/>
      <c r="B23" s="8">
        <v>52537</v>
      </c>
      <c r="C23" s="343" t="s">
        <v>93</v>
      </c>
      <c r="D23" s="3" t="s">
        <v>94</v>
      </c>
      <c r="E23" s="257">
        <v>1700</v>
      </c>
      <c r="F23" s="256">
        <v>0</v>
      </c>
      <c r="G23" s="255"/>
      <c r="H23" s="259"/>
      <c r="I23" s="209">
        <f t="shared" si="0"/>
        <v>1700</v>
      </c>
      <c r="J23" s="262">
        <f t="shared" si="1"/>
        <v>8500</v>
      </c>
      <c r="K23" s="206">
        <v>46640</v>
      </c>
      <c r="L23" s="21">
        <f>VLOOKUP(B23,'[2]Stock Summary'!$A:$L,12,0)</f>
        <v>5</v>
      </c>
      <c r="M23" s="264"/>
      <c r="O23" s="14"/>
      <c r="P23" s="14"/>
    </row>
    <row r="24" spans="1:16" s="339" customFormat="1" x14ac:dyDescent="0.35">
      <c r="A24" s="233"/>
      <c r="B24" s="334">
        <v>58890</v>
      </c>
      <c r="C24" s="346" t="s">
        <v>96</v>
      </c>
      <c r="D24" s="335" t="s">
        <v>97</v>
      </c>
      <c r="E24" s="257">
        <v>226</v>
      </c>
      <c r="F24" s="256"/>
      <c r="G24" s="255"/>
      <c r="H24" s="259"/>
      <c r="I24" s="209">
        <f t="shared" si="0"/>
        <v>226</v>
      </c>
      <c r="J24" s="262">
        <f t="shared" si="1"/>
        <v>1130</v>
      </c>
      <c r="K24" s="336">
        <v>46724</v>
      </c>
      <c r="L24" s="337">
        <v>5</v>
      </c>
      <c r="M24" s="338"/>
      <c r="O24" s="340"/>
      <c r="P24" s="340"/>
    </row>
    <row r="25" spans="1:16" x14ac:dyDescent="0.35">
      <c r="A25" s="2"/>
      <c r="B25" s="8">
        <v>43868</v>
      </c>
      <c r="C25" s="343" t="s">
        <v>50</v>
      </c>
      <c r="D25" s="3" t="s">
        <v>98</v>
      </c>
      <c r="E25" s="257"/>
      <c r="F25" s="256">
        <v>0</v>
      </c>
      <c r="G25" s="255">
        <v>0</v>
      </c>
      <c r="H25" s="259"/>
      <c r="I25" s="209">
        <f t="shared" si="0"/>
        <v>0</v>
      </c>
      <c r="J25" s="262">
        <f t="shared" si="1"/>
        <v>0</v>
      </c>
      <c r="K25" s="206">
        <v>46535</v>
      </c>
      <c r="L25" s="21">
        <f>VLOOKUP(B25,'[2]Stock Summary'!$A:$L,12,0)</f>
        <v>3</v>
      </c>
      <c r="M25" s="264"/>
      <c r="O25" s="14"/>
      <c r="P25" s="14"/>
    </row>
    <row r="26" spans="1:16" x14ac:dyDescent="0.35">
      <c r="A26" s="2"/>
      <c r="B26" s="8">
        <v>43868</v>
      </c>
      <c r="C26" s="343" t="s">
        <v>50</v>
      </c>
      <c r="D26" s="3" t="s">
        <v>98</v>
      </c>
      <c r="E26" s="257">
        <v>5</v>
      </c>
      <c r="F26" s="256">
        <v>672</v>
      </c>
      <c r="G26" s="255">
        <v>1000</v>
      </c>
      <c r="H26" s="259">
        <v>956</v>
      </c>
      <c r="I26" s="209">
        <f t="shared" si="0"/>
        <v>2633</v>
      </c>
      <c r="J26" s="262">
        <f t="shared" si="1"/>
        <v>7899</v>
      </c>
      <c r="K26" s="206">
        <v>46539</v>
      </c>
      <c r="L26" s="21">
        <f>VLOOKUP(B26,'[2]Stock Summary'!$A:$L,12,0)</f>
        <v>3</v>
      </c>
      <c r="M26" s="264"/>
      <c r="O26" s="14"/>
      <c r="P26" s="14"/>
    </row>
    <row r="27" spans="1:16" x14ac:dyDescent="0.35">
      <c r="A27" s="2"/>
      <c r="B27" s="8">
        <v>90556</v>
      </c>
      <c r="C27" s="343" t="s">
        <v>23</v>
      </c>
      <c r="D27" s="3" t="s">
        <v>90</v>
      </c>
      <c r="E27" s="257">
        <v>534</v>
      </c>
      <c r="F27" s="256">
        <v>0</v>
      </c>
      <c r="G27" s="255">
        <v>2300</v>
      </c>
      <c r="H27" s="259"/>
      <c r="I27" s="209">
        <f t="shared" si="0"/>
        <v>2834</v>
      </c>
      <c r="J27" s="262">
        <f t="shared" si="1"/>
        <v>28340</v>
      </c>
      <c r="K27" s="206">
        <v>46719</v>
      </c>
      <c r="L27" s="21">
        <f>VLOOKUP(B27,'[2]Stock Summary'!$A:$L,12,0)</f>
        <v>10</v>
      </c>
      <c r="M27" s="264"/>
      <c r="O27" s="14"/>
      <c r="P27" s="14"/>
    </row>
    <row r="28" spans="1:16" x14ac:dyDescent="0.35">
      <c r="A28" s="2"/>
      <c r="B28" s="8">
        <v>90521</v>
      </c>
      <c r="C28" s="343" t="s">
        <v>23</v>
      </c>
      <c r="D28" s="3" t="s">
        <v>24</v>
      </c>
      <c r="E28" s="257">
        <v>1910</v>
      </c>
      <c r="F28" s="256">
        <v>0</v>
      </c>
      <c r="G28" s="255">
        <v>900</v>
      </c>
      <c r="H28" s="323"/>
      <c r="I28" s="209">
        <f t="shared" si="0"/>
        <v>2810</v>
      </c>
      <c r="J28" s="262">
        <f t="shared" si="1"/>
        <v>28100</v>
      </c>
      <c r="K28" s="277" t="s">
        <v>99</v>
      </c>
      <c r="L28" s="21">
        <f>VLOOKUP(B28,'[2]Stock Summary'!$A:$L,12,0)</f>
        <v>10</v>
      </c>
      <c r="M28" s="264"/>
      <c r="O28" s="14"/>
      <c r="P28" s="14"/>
    </row>
    <row r="29" spans="1:16" x14ac:dyDescent="0.35">
      <c r="A29" s="2"/>
      <c r="B29" s="8">
        <v>90521</v>
      </c>
      <c r="C29" s="343" t="s">
        <v>23</v>
      </c>
      <c r="D29" s="3" t="s">
        <v>24</v>
      </c>
      <c r="E29" s="257">
        <v>629</v>
      </c>
      <c r="F29" s="256"/>
      <c r="G29" s="255"/>
      <c r="H29" s="323"/>
      <c r="I29" s="209">
        <f t="shared" ref="I29" si="2">SUM(E29:H29)</f>
        <v>629</v>
      </c>
      <c r="J29" s="262">
        <f t="shared" ref="J29" si="3">I29*L29</f>
        <v>0</v>
      </c>
      <c r="K29" s="336">
        <v>46724</v>
      </c>
      <c r="L29" s="21"/>
      <c r="M29" s="264"/>
      <c r="O29" s="14"/>
      <c r="P29" s="14"/>
    </row>
    <row r="30" spans="1:16" x14ac:dyDescent="0.35">
      <c r="A30" s="2"/>
      <c r="B30" s="8">
        <v>80927</v>
      </c>
      <c r="C30" s="343" t="s">
        <v>100</v>
      </c>
      <c r="D30" s="3" t="s">
        <v>101</v>
      </c>
      <c r="E30" s="257"/>
      <c r="F30" s="256">
        <v>3769</v>
      </c>
      <c r="G30" s="255">
        <v>0</v>
      </c>
      <c r="H30" s="323"/>
      <c r="I30" s="209">
        <f t="shared" si="0"/>
        <v>3769</v>
      </c>
      <c r="J30" s="262">
        <f t="shared" si="1"/>
        <v>3769</v>
      </c>
      <c r="K30" s="206">
        <v>46508</v>
      </c>
      <c r="L30" s="21">
        <f>VLOOKUP(B30,'[2]Stock Summary'!$A:$L,12,0)</f>
        <v>1</v>
      </c>
      <c r="M30" s="264"/>
      <c r="O30" s="14"/>
      <c r="P30" s="14"/>
    </row>
    <row r="31" spans="1:16" x14ac:dyDescent="0.35">
      <c r="A31" s="2"/>
      <c r="B31" s="8">
        <v>81359</v>
      </c>
      <c r="C31" s="343" t="s">
        <v>100</v>
      </c>
      <c r="D31" s="3" t="s">
        <v>61</v>
      </c>
      <c r="E31" s="257">
        <v>492</v>
      </c>
      <c r="F31" s="256">
        <v>178</v>
      </c>
      <c r="G31" s="255">
        <v>419</v>
      </c>
      <c r="H31" s="259">
        <v>171</v>
      </c>
      <c r="I31" s="209">
        <f t="shared" si="0"/>
        <v>1260</v>
      </c>
      <c r="J31" s="262">
        <f t="shared" si="1"/>
        <v>2520</v>
      </c>
      <c r="K31" s="206">
        <v>46544</v>
      </c>
      <c r="L31" s="21">
        <f>VLOOKUP(B31,'[2]Stock Summary'!$A:$L,12,0)</f>
        <v>2</v>
      </c>
      <c r="M31" s="264"/>
      <c r="O31" s="14"/>
      <c r="P31" s="14"/>
    </row>
    <row r="32" spans="1:16" x14ac:dyDescent="0.35">
      <c r="A32" s="2"/>
      <c r="B32" s="8">
        <v>80927</v>
      </c>
      <c r="C32" s="343" t="s">
        <v>100</v>
      </c>
      <c r="D32" s="3" t="s">
        <v>101</v>
      </c>
      <c r="E32" s="257"/>
      <c r="F32" s="256">
        <v>500</v>
      </c>
      <c r="G32" s="255">
        <v>2371</v>
      </c>
      <c r="H32" s="259">
        <v>2383</v>
      </c>
      <c r="I32" s="209">
        <f t="shared" si="0"/>
        <v>5254</v>
      </c>
      <c r="J32" s="262">
        <f t="shared" si="1"/>
        <v>5254</v>
      </c>
      <c r="K32" s="206">
        <v>46544</v>
      </c>
      <c r="L32" s="21">
        <f>VLOOKUP(B32,'[2]Stock Summary'!$A:$L,12,0)</f>
        <v>1</v>
      </c>
      <c r="M32" s="264"/>
      <c r="O32" s="14"/>
      <c r="P32" s="14"/>
    </row>
    <row r="33" spans="1:16" x14ac:dyDescent="0.35">
      <c r="A33" s="2"/>
      <c r="B33" s="8">
        <v>38776</v>
      </c>
      <c r="C33" s="343" t="s">
        <v>102</v>
      </c>
      <c r="D33" s="3" t="s">
        <v>94</v>
      </c>
      <c r="E33" s="257"/>
      <c r="F33" s="256">
        <v>154</v>
      </c>
      <c r="G33" s="255">
        <v>0</v>
      </c>
      <c r="H33" s="258"/>
      <c r="I33" s="209">
        <f t="shared" si="0"/>
        <v>154</v>
      </c>
      <c r="J33" s="262">
        <f t="shared" si="1"/>
        <v>770</v>
      </c>
      <c r="K33" s="199">
        <v>46512</v>
      </c>
      <c r="L33" s="21">
        <f>VLOOKUP(B33,'[2]Stock Summary'!$A:$L,12,0)</f>
        <v>5</v>
      </c>
      <c r="M33" s="264"/>
      <c r="O33" s="14"/>
      <c r="P33" s="14"/>
    </row>
    <row r="34" spans="1:16" x14ac:dyDescent="0.35">
      <c r="A34" s="2"/>
      <c r="B34" s="8">
        <v>38775</v>
      </c>
      <c r="C34" s="343" t="s">
        <v>102</v>
      </c>
      <c r="D34" s="3" t="s">
        <v>103</v>
      </c>
      <c r="E34" s="257"/>
      <c r="F34" s="256">
        <v>663</v>
      </c>
      <c r="G34" s="254">
        <v>0</v>
      </c>
      <c r="H34" s="258"/>
      <c r="I34" s="209">
        <f t="shared" si="0"/>
        <v>663</v>
      </c>
      <c r="J34" s="262">
        <f t="shared" si="1"/>
        <v>1989</v>
      </c>
      <c r="K34" s="199">
        <v>46535</v>
      </c>
      <c r="L34" s="21">
        <f>VLOOKUP(B34,'[2]Stock Summary'!$A:$L,12,0)</f>
        <v>3</v>
      </c>
      <c r="M34" s="264"/>
      <c r="O34" s="14"/>
      <c r="P34" s="14"/>
    </row>
    <row r="35" spans="1:16" x14ac:dyDescent="0.35">
      <c r="A35" s="2"/>
      <c r="B35" s="8">
        <v>30688</v>
      </c>
      <c r="C35" s="343" t="s">
        <v>104</v>
      </c>
      <c r="D35" s="3" t="s">
        <v>33</v>
      </c>
      <c r="E35" s="257"/>
      <c r="F35" s="256">
        <v>0</v>
      </c>
      <c r="G35" s="254">
        <v>0</v>
      </c>
      <c r="H35" s="322"/>
      <c r="I35" s="209">
        <f t="shared" si="0"/>
        <v>0</v>
      </c>
      <c r="J35" s="262">
        <f t="shared" si="1"/>
        <v>0</v>
      </c>
      <c r="K35" s="199">
        <v>46544</v>
      </c>
      <c r="L35" s="21">
        <f>VLOOKUP(B35,'[2]Stock Summary'!$A:$L,12,0)</f>
        <v>5</v>
      </c>
      <c r="M35" s="264" t="s">
        <v>105</v>
      </c>
      <c r="O35" s="14"/>
      <c r="P35" s="14"/>
    </row>
    <row r="36" spans="1:16" x14ac:dyDescent="0.35">
      <c r="A36" s="2"/>
      <c r="B36" s="8">
        <v>30688</v>
      </c>
      <c r="C36" s="343" t="s">
        <v>104</v>
      </c>
      <c r="D36" s="3" t="s">
        <v>33</v>
      </c>
      <c r="E36" s="257"/>
      <c r="F36" s="256">
        <v>0</v>
      </c>
      <c r="G36" s="254">
        <v>0</v>
      </c>
      <c r="H36" s="322"/>
      <c r="I36" s="209">
        <f t="shared" si="0"/>
        <v>0</v>
      </c>
      <c r="J36" s="262">
        <f t="shared" si="1"/>
        <v>0</v>
      </c>
      <c r="K36" s="199">
        <v>46575</v>
      </c>
      <c r="L36" s="21">
        <f>VLOOKUP(B36,'[2]Stock Summary'!$A:$L,12,0)</f>
        <v>5</v>
      </c>
      <c r="M36" s="264"/>
      <c r="O36" s="14"/>
      <c r="P36" s="14"/>
    </row>
    <row r="37" spans="1:16" x14ac:dyDescent="0.35">
      <c r="A37" s="2"/>
      <c r="B37" s="167">
        <v>35348</v>
      </c>
      <c r="C37" s="342" t="s">
        <v>104</v>
      </c>
      <c r="D37" s="3" t="s">
        <v>106</v>
      </c>
      <c r="E37" s="257"/>
      <c r="F37" s="256">
        <v>0</v>
      </c>
      <c r="G37" s="254">
        <v>213</v>
      </c>
      <c r="H37" s="322"/>
      <c r="I37" s="209">
        <f t="shared" si="0"/>
        <v>213</v>
      </c>
      <c r="J37" s="262">
        <f t="shared" si="1"/>
        <v>426</v>
      </c>
      <c r="K37" s="199">
        <v>46600</v>
      </c>
      <c r="L37" s="21">
        <f>VLOOKUP(B37,'[2]Stock Summary'!$A:$L,12,0)</f>
        <v>2</v>
      </c>
      <c r="M37" s="264"/>
      <c r="O37" s="14"/>
      <c r="P37" s="14"/>
    </row>
    <row r="38" spans="1:16" x14ac:dyDescent="0.35">
      <c r="A38" s="2"/>
      <c r="B38" s="167">
        <v>30688</v>
      </c>
      <c r="C38" s="342" t="s">
        <v>104</v>
      </c>
      <c r="D38" s="3" t="s">
        <v>33</v>
      </c>
      <c r="E38" s="257"/>
      <c r="F38" s="256">
        <v>0</v>
      </c>
      <c r="G38" s="255"/>
      <c r="H38" s="278"/>
      <c r="I38" s="209">
        <f t="shared" si="0"/>
        <v>0</v>
      </c>
      <c r="J38" s="262">
        <f t="shared" si="1"/>
        <v>0</v>
      </c>
      <c r="K38" s="199">
        <v>46627</v>
      </c>
      <c r="L38" s="21">
        <f>VLOOKUP(B38,'[2]Stock Summary'!$A:$L,12,0)</f>
        <v>5</v>
      </c>
      <c r="M38" s="264"/>
      <c r="O38" s="14"/>
      <c r="P38" s="14"/>
    </row>
    <row r="39" spans="1:16" x14ac:dyDescent="0.35">
      <c r="A39" s="2"/>
      <c r="B39" s="8">
        <v>35348</v>
      </c>
      <c r="C39" s="343" t="s">
        <v>104</v>
      </c>
      <c r="D39" s="3" t="s">
        <v>106</v>
      </c>
      <c r="E39" s="257">
        <v>99</v>
      </c>
      <c r="F39" s="256">
        <v>0</v>
      </c>
      <c r="G39" s="254">
        <v>2403</v>
      </c>
      <c r="H39" s="322">
        <v>10</v>
      </c>
      <c r="I39" s="209">
        <f t="shared" si="0"/>
        <v>2512</v>
      </c>
      <c r="J39" s="262">
        <f t="shared" si="1"/>
        <v>5024</v>
      </c>
      <c r="K39" s="199">
        <v>46702</v>
      </c>
      <c r="L39" s="21">
        <f>VLOOKUP(B39,'[2]Stock Summary'!$A:$L,12,0)</f>
        <v>2</v>
      </c>
      <c r="M39" s="264"/>
      <c r="O39" s="14"/>
      <c r="P39" s="14"/>
    </row>
    <row r="40" spans="1:16" x14ac:dyDescent="0.35">
      <c r="A40" s="2"/>
      <c r="B40" s="8">
        <v>34002</v>
      </c>
      <c r="C40" s="343" t="s">
        <v>107</v>
      </c>
      <c r="D40" s="3" t="s">
        <v>108</v>
      </c>
      <c r="E40" s="257"/>
      <c r="F40" s="256">
        <v>0</v>
      </c>
      <c r="G40" s="255">
        <v>109</v>
      </c>
      <c r="H40" s="278"/>
      <c r="I40" s="209">
        <f t="shared" si="0"/>
        <v>109</v>
      </c>
      <c r="J40" s="262">
        <f t="shared" si="1"/>
        <v>109</v>
      </c>
      <c r="K40" s="199">
        <v>46631</v>
      </c>
      <c r="L40" s="21">
        <f>VLOOKUP(B40,'[2]Stock Summary'!$A:$L,12,0)</f>
        <v>1</v>
      </c>
      <c r="M40" s="264" t="s">
        <v>109</v>
      </c>
      <c r="O40" s="14"/>
      <c r="P40" s="14"/>
    </row>
    <row r="41" spans="1:16" x14ac:dyDescent="0.35">
      <c r="A41" s="2"/>
      <c r="B41" s="8">
        <v>29568</v>
      </c>
      <c r="C41" s="343" t="s">
        <v>27</v>
      </c>
      <c r="D41" s="3" t="s">
        <v>79</v>
      </c>
      <c r="E41" s="257">
        <v>1909</v>
      </c>
      <c r="F41" s="256">
        <v>0</v>
      </c>
      <c r="G41" s="254"/>
      <c r="H41" s="258"/>
      <c r="I41" s="209">
        <f t="shared" si="0"/>
        <v>1909</v>
      </c>
      <c r="J41" s="262">
        <f t="shared" si="1"/>
        <v>1909</v>
      </c>
      <c r="K41" s="199">
        <v>46722</v>
      </c>
      <c r="L41" s="21">
        <f>VLOOKUP(B41,'[2]Stock Summary'!$A:$L,12,0)</f>
        <v>1</v>
      </c>
      <c r="M41" s="264" t="s">
        <v>110</v>
      </c>
      <c r="O41" s="14"/>
      <c r="P41" s="14"/>
    </row>
    <row r="42" spans="1:16" x14ac:dyDescent="0.35">
      <c r="A42" s="2"/>
      <c r="B42" s="8">
        <v>42123</v>
      </c>
      <c r="C42" s="343" t="s">
        <v>27</v>
      </c>
      <c r="D42" s="3" t="s">
        <v>49</v>
      </c>
      <c r="E42" s="257"/>
      <c r="F42" s="256">
        <v>292</v>
      </c>
      <c r="G42" s="255">
        <v>981</v>
      </c>
      <c r="H42" s="278"/>
      <c r="I42" s="209">
        <f t="shared" si="0"/>
        <v>1273</v>
      </c>
      <c r="J42" s="262">
        <f t="shared" si="1"/>
        <v>2546</v>
      </c>
      <c r="K42" s="199">
        <v>46610</v>
      </c>
      <c r="L42" s="21">
        <f>VLOOKUP(B42,'[2]Stock Summary'!$A:$L,12,0)</f>
        <v>2</v>
      </c>
      <c r="M42" s="264"/>
      <c r="O42" s="14"/>
      <c r="P42" s="14"/>
    </row>
    <row r="43" spans="1:16" x14ac:dyDescent="0.35">
      <c r="A43" s="2"/>
      <c r="B43" s="8">
        <v>42123</v>
      </c>
      <c r="C43" s="343" t="s">
        <v>27</v>
      </c>
      <c r="D43" s="3" t="s">
        <v>49</v>
      </c>
      <c r="E43" s="257">
        <v>923</v>
      </c>
      <c r="F43" s="256"/>
      <c r="G43" s="254"/>
      <c r="H43" s="278"/>
      <c r="I43" s="209"/>
      <c r="J43" s="262"/>
      <c r="K43" s="199">
        <v>46722</v>
      </c>
      <c r="L43" s="21"/>
      <c r="M43" s="264"/>
      <c r="O43" s="14"/>
      <c r="P43" s="14"/>
    </row>
    <row r="44" spans="1:16" x14ac:dyDescent="0.35">
      <c r="A44" s="2"/>
      <c r="B44" s="8">
        <v>29570</v>
      </c>
      <c r="C44" s="343" t="s">
        <v>27</v>
      </c>
      <c r="D44" s="3" t="s">
        <v>28</v>
      </c>
      <c r="E44" s="257">
        <v>288</v>
      </c>
      <c r="F44" s="286">
        <v>0</v>
      </c>
      <c r="G44" s="254"/>
      <c r="H44" s="258"/>
      <c r="I44" s="209">
        <f t="shared" si="0"/>
        <v>288</v>
      </c>
      <c r="J44" s="262">
        <f t="shared" si="1"/>
        <v>1440</v>
      </c>
      <c r="K44" s="199">
        <v>46722</v>
      </c>
      <c r="L44" s="21">
        <f>VLOOKUP(B44,'[2]Stock Summary'!$A:$L,12,0)</f>
        <v>5</v>
      </c>
      <c r="M44" s="264" t="s">
        <v>111</v>
      </c>
      <c r="O44" s="14"/>
      <c r="P44" s="14"/>
    </row>
    <row r="45" spans="1:16" x14ac:dyDescent="0.35">
      <c r="A45" s="2"/>
      <c r="B45" s="8">
        <v>92798</v>
      </c>
      <c r="C45" s="343" t="s">
        <v>112</v>
      </c>
      <c r="D45" s="3" t="s">
        <v>113</v>
      </c>
      <c r="E45" s="257">
        <v>455</v>
      </c>
      <c r="F45" s="284">
        <v>0</v>
      </c>
      <c r="G45" s="276"/>
      <c r="H45" s="324"/>
      <c r="I45" s="209">
        <f t="shared" si="0"/>
        <v>455</v>
      </c>
      <c r="J45" s="262">
        <f t="shared" si="1"/>
        <v>5460</v>
      </c>
      <c r="K45" s="199">
        <v>46671</v>
      </c>
      <c r="L45" s="21">
        <f>VLOOKUP(B45,'[2]Stock Summary'!$A:$L,12,0)</f>
        <v>12</v>
      </c>
      <c r="M45" s="264"/>
      <c r="O45" s="14"/>
      <c r="P45" s="14"/>
    </row>
    <row r="46" spans="1:16" x14ac:dyDescent="0.35">
      <c r="A46" s="2"/>
      <c r="B46" s="8">
        <v>92795</v>
      </c>
      <c r="C46" s="51" t="s">
        <v>112</v>
      </c>
      <c r="D46" s="3" t="s">
        <v>114</v>
      </c>
      <c r="E46" s="257">
        <v>2269</v>
      </c>
      <c r="F46" s="284">
        <v>0</v>
      </c>
      <c r="G46" s="276"/>
      <c r="H46" s="321">
        <v>5</v>
      </c>
      <c r="I46" s="209">
        <f t="shared" si="0"/>
        <v>2274</v>
      </c>
      <c r="J46" s="262">
        <f t="shared" si="1"/>
        <v>27288</v>
      </c>
      <c r="K46" s="199">
        <v>46672</v>
      </c>
      <c r="L46" s="21">
        <f>VLOOKUP(B46,'[2]Stock Summary'!$A:$L,12,0)</f>
        <v>12</v>
      </c>
      <c r="M46" s="264"/>
      <c r="O46" s="14"/>
      <c r="P46" s="14"/>
    </row>
    <row r="47" spans="1:16" x14ac:dyDescent="0.35">
      <c r="A47" s="2"/>
      <c r="B47" s="8">
        <v>58889</v>
      </c>
      <c r="C47" s="66" t="s">
        <v>115</v>
      </c>
      <c r="D47" s="3" t="s">
        <v>116</v>
      </c>
      <c r="E47" s="257"/>
      <c r="F47" s="256">
        <v>0</v>
      </c>
      <c r="G47" s="255">
        <v>404</v>
      </c>
      <c r="H47" s="279">
        <v>278</v>
      </c>
      <c r="I47" s="209">
        <f t="shared" si="0"/>
        <v>682</v>
      </c>
      <c r="J47" s="262">
        <f t="shared" si="1"/>
        <v>1364</v>
      </c>
      <c r="K47" s="199">
        <v>46671</v>
      </c>
      <c r="L47" s="21">
        <f>VLOOKUP(B47,'[2]Stock Summary'!$A:$L,12,0)</f>
        <v>2</v>
      </c>
      <c r="M47" s="264"/>
      <c r="O47" s="14"/>
      <c r="P47" s="14"/>
    </row>
    <row r="48" spans="1:16" x14ac:dyDescent="0.35">
      <c r="A48" s="2"/>
      <c r="B48" s="8">
        <v>58889</v>
      </c>
      <c r="C48" s="66" t="s">
        <v>115</v>
      </c>
      <c r="D48" s="3" t="s">
        <v>116</v>
      </c>
      <c r="E48" s="257">
        <v>63</v>
      </c>
      <c r="F48" s="256"/>
      <c r="G48" s="255"/>
      <c r="H48" s="279"/>
      <c r="I48" s="209"/>
      <c r="J48" s="262"/>
      <c r="K48" s="199">
        <v>46722</v>
      </c>
      <c r="L48" s="21"/>
      <c r="M48" s="264"/>
      <c r="O48" s="14"/>
      <c r="P48" s="14"/>
    </row>
    <row r="49" spans="1:18" x14ac:dyDescent="0.35">
      <c r="A49" s="2"/>
      <c r="B49" s="166">
        <v>84793</v>
      </c>
      <c r="C49" s="66" t="s">
        <v>117</v>
      </c>
      <c r="D49" s="3" t="s">
        <v>118</v>
      </c>
      <c r="E49" s="257"/>
      <c r="F49" s="256">
        <v>159</v>
      </c>
      <c r="G49" s="255">
        <v>313</v>
      </c>
      <c r="H49" s="279"/>
      <c r="I49" s="209">
        <f t="shared" si="0"/>
        <v>472</v>
      </c>
      <c r="J49" s="262">
        <f t="shared" si="1"/>
        <v>177</v>
      </c>
      <c r="K49" s="199">
        <v>46670</v>
      </c>
      <c r="L49" s="21" t="str">
        <f>VLOOKUP(B49,'[2]Stock Summary'!$A:$L,12,0)</f>
        <v>0.375</v>
      </c>
      <c r="M49" s="264"/>
      <c r="O49" s="14"/>
      <c r="P49" s="14"/>
    </row>
    <row r="50" spans="1:18" x14ac:dyDescent="0.35">
      <c r="A50" s="2"/>
      <c r="B50" s="320">
        <v>43978</v>
      </c>
      <c r="C50" s="47" t="s">
        <v>57</v>
      </c>
      <c r="D50" s="3" t="s">
        <v>119</v>
      </c>
      <c r="E50" s="257"/>
      <c r="F50" s="285">
        <v>932</v>
      </c>
      <c r="G50" s="255">
        <v>347</v>
      </c>
      <c r="H50" s="261">
        <v>450</v>
      </c>
      <c r="I50" s="209">
        <f t="shared" si="0"/>
        <v>1729</v>
      </c>
      <c r="J50" s="262">
        <f t="shared" si="1"/>
        <v>1729</v>
      </c>
      <c r="K50" s="206">
        <v>46550</v>
      </c>
      <c r="L50" s="21">
        <f>VLOOKUP(B50,'[2]Stock Summary'!$A:$L,12,0)</f>
        <v>1</v>
      </c>
      <c r="M50" s="264"/>
      <c r="O50" s="14"/>
      <c r="P50" s="14"/>
    </row>
    <row r="51" spans="1:18" x14ac:dyDescent="0.35">
      <c r="A51" s="2"/>
      <c r="B51" s="320">
        <v>43979</v>
      </c>
      <c r="C51" s="47" t="s">
        <v>57</v>
      </c>
      <c r="D51" s="3" t="s">
        <v>120</v>
      </c>
      <c r="E51" s="260">
        <v>1438</v>
      </c>
      <c r="F51" s="285"/>
      <c r="G51" s="254"/>
      <c r="H51" s="261"/>
      <c r="I51" s="262"/>
      <c r="J51" s="262"/>
      <c r="K51" s="199">
        <v>46722</v>
      </c>
      <c r="L51" s="341"/>
      <c r="O51" s="14"/>
      <c r="P51" s="14"/>
    </row>
    <row r="52" spans="1:18" ht="15.5" x14ac:dyDescent="0.35">
      <c r="A52" s="2"/>
      <c r="B52" s="247" t="s">
        <v>63</v>
      </c>
      <c r="C52" s="249"/>
      <c r="D52" s="347"/>
      <c r="E52" s="251">
        <f>SUM(E1:E50)</f>
        <v>25922</v>
      </c>
      <c r="F52" s="251">
        <f>SUM(F1:F50)</f>
        <v>22531</v>
      </c>
      <c r="G52" s="251">
        <f>SUM(G1:G50)</f>
        <v>39359</v>
      </c>
      <c r="H52" s="251">
        <f>SUM(H1:H50)</f>
        <v>14605</v>
      </c>
      <c r="I52" s="251">
        <f>SUM(I1:I50)</f>
        <v>99699</v>
      </c>
      <c r="J52" s="251">
        <f>SUM(J5:J50)</f>
        <v>332065</v>
      </c>
      <c r="K52" s="250"/>
      <c r="L52" s="263"/>
      <c r="O52" s="14"/>
      <c r="P52" s="14"/>
    </row>
    <row r="53" spans="1:18" s="4" customFormat="1" x14ac:dyDescent="0.35">
      <c r="A53" s="2"/>
      <c r="B53" s="13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s="4" customFormat="1" x14ac:dyDescent="0.35">
      <c r="A54" s="2"/>
      <c r="B54" s="136"/>
      <c r="G54" s="4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s="4" customFormat="1" x14ac:dyDescent="0.35">
      <c r="A55" s="2"/>
      <c r="B55" s="136"/>
      <c r="G55" s="4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s="4" customFormat="1" x14ac:dyDescent="0.35">
      <c r="A56" s="2"/>
      <c r="B56" s="136"/>
      <c r="G56" s="4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s="4" customFormat="1" x14ac:dyDescent="0.35">
      <c r="A57" s="2"/>
      <c r="B57" s="136"/>
      <c r="G57" s="4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s="4" customFormat="1" x14ac:dyDescent="0.35">
      <c r="A58" s="2"/>
      <c r="B58" s="136"/>
      <c r="G58" s="4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s="4" customFormat="1" x14ac:dyDescent="0.35">
      <c r="A59" s="2"/>
      <c r="B59" s="136"/>
      <c r="G59" s="4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s="4" customFormat="1" x14ac:dyDescent="0.35">
      <c r="A60" s="2"/>
      <c r="B60" s="136"/>
      <c r="G60" s="4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s="4" customFormat="1" x14ac:dyDescent="0.35">
      <c r="A61" s="2"/>
      <c r="B61" s="136"/>
      <c r="G61" s="4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s="4" customFormat="1" x14ac:dyDescent="0.35">
      <c r="A62" s="2"/>
      <c r="B62" s="136"/>
      <c r="G62" s="4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s="4" customFormat="1" x14ac:dyDescent="0.35">
      <c r="A63" s="2"/>
      <c r="B63" s="136"/>
      <c r="G63" s="4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s="4" customFormat="1" x14ac:dyDescent="0.35">
      <c r="A64" s="2"/>
      <c r="B64" s="136"/>
      <c r="G64" s="4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s="4" customFormat="1" x14ac:dyDescent="0.35">
      <c r="A65" s="2"/>
      <c r="B65" s="136"/>
      <c r="G65" s="4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s="4" customFormat="1" x14ac:dyDescent="0.35">
      <c r="A66" s="2"/>
      <c r="B66" s="136"/>
      <c r="G66" s="4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s="4" customFormat="1" x14ac:dyDescent="0.35">
      <c r="A67" s="2"/>
      <c r="B67" s="136"/>
      <c r="G67" s="4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s="4" customFormat="1" x14ac:dyDescent="0.35">
      <c r="A68" s="2"/>
      <c r="B68" s="136"/>
      <c r="G68" s="4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s="4" customFormat="1" x14ac:dyDescent="0.35">
      <c r="A69" s="2"/>
      <c r="B69" s="136"/>
      <c r="G69" s="4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s="4" customFormat="1" x14ac:dyDescent="0.35">
      <c r="A70" s="2"/>
      <c r="B70" s="136"/>
      <c r="G70" s="4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s="4" customFormat="1" x14ac:dyDescent="0.35">
      <c r="A71" s="2"/>
      <c r="B71" s="136"/>
      <c r="G71" s="4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s="4" customFormat="1" x14ac:dyDescent="0.35">
      <c r="A72" s="2"/>
      <c r="B72" s="136"/>
      <c r="G72" s="4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s="4" customFormat="1" x14ac:dyDescent="0.35">
      <c r="A73" s="2"/>
      <c r="B73" s="136"/>
      <c r="G73" s="4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s="4" customFormat="1" x14ac:dyDescent="0.35">
      <c r="A74" s="2"/>
      <c r="B74" s="136"/>
      <c r="G74" s="4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s="4" customFormat="1" x14ac:dyDescent="0.35">
      <c r="A75" s="2"/>
      <c r="B75" s="136"/>
      <c r="G75" s="4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s="4" customFormat="1" x14ac:dyDescent="0.35">
      <c r="A76" s="2"/>
      <c r="B76" s="136"/>
      <c r="G76" s="4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s="4" customFormat="1" x14ac:dyDescent="0.35">
      <c r="A77" s="2"/>
      <c r="B77" s="136"/>
      <c r="G77" s="4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s="4" customFormat="1" x14ac:dyDescent="0.35">
      <c r="A78" s="2"/>
      <c r="B78" s="136"/>
      <c r="G78" s="4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s="4" customFormat="1" x14ac:dyDescent="0.35">
      <c r="A79" s="2"/>
      <c r="B79" s="136"/>
      <c r="G79" s="4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s="4" customFormat="1" x14ac:dyDescent="0.35">
      <c r="A80" s="2"/>
      <c r="B80" s="136"/>
      <c r="G80" s="4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s="4" customFormat="1" x14ac:dyDescent="0.35">
      <c r="A81" s="2"/>
      <c r="B81" s="136"/>
      <c r="G81" s="4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s="4" customFormat="1" x14ac:dyDescent="0.35">
      <c r="A82" s="2"/>
      <c r="B82" s="136"/>
      <c r="G82" s="4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s="4" customFormat="1" x14ac:dyDescent="0.35">
      <c r="A83" s="2"/>
      <c r="B83" s="136"/>
      <c r="G83" s="4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s="4" customFormat="1" x14ac:dyDescent="0.35">
      <c r="A84" s="2"/>
      <c r="B84" s="136"/>
      <c r="G84" s="4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s="4" customFormat="1" x14ac:dyDescent="0.35">
      <c r="A85" s="2"/>
      <c r="B85" s="136"/>
      <c r="G85" s="4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s="4" customFormat="1" x14ac:dyDescent="0.35">
      <c r="A86" s="2"/>
      <c r="B86" s="136"/>
      <c r="G86" s="4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s="4" customFormat="1" x14ac:dyDescent="0.35">
      <c r="A87" s="2"/>
      <c r="B87" s="136"/>
      <c r="G87" s="4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s="4" customFormat="1" x14ac:dyDescent="0.35">
      <c r="A88" s="2"/>
      <c r="B88" s="136"/>
      <c r="G88" s="4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s="4" customFormat="1" x14ac:dyDescent="0.35">
      <c r="A89" s="2"/>
      <c r="B89" s="136"/>
      <c r="G89" s="4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s="4" customFormat="1" x14ac:dyDescent="0.35">
      <c r="A90" s="2"/>
      <c r="B90" s="136"/>
      <c r="G90" s="4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s="4" customFormat="1" x14ac:dyDescent="0.35">
      <c r="A91" s="2"/>
      <c r="B91" s="136"/>
      <c r="G91" s="4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s="4" customFormat="1" x14ac:dyDescent="0.35">
      <c r="A92" s="2"/>
      <c r="B92" s="136"/>
      <c r="G92" s="4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s="4" customFormat="1" x14ac:dyDescent="0.35">
      <c r="A93" s="2"/>
      <c r="B93" s="136"/>
      <c r="G93" s="4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s="4" customFormat="1" x14ac:dyDescent="0.35">
      <c r="A94" s="2"/>
      <c r="B94" s="136"/>
      <c r="G94" s="4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s="4" customFormat="1" x14ac:dyDescent="0.35">
      <c r="A95" s="2"/>
      <c r="B95" s="136"/>
      <c r="G95" s="4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s="4" customFormat="1" x14ac:dyDescent="0.35">
      <c r="A96" s="2"/>
      <c r="B96" s="136"/>
      <c r="G96" s="4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s="4" customFormat="1" x14ac:dyDescent="0.35">
      <c r="A97" s="2"/>
      <c r="B97" s="136"/>
      <c r="G97" s="4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s="4" customFormat="1" x14ac:dyDescent="0.35">
      <c r="A98" s="2"/>
      <c r="B98" s="136"/>
      <c r="G98" s="4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s="4" customFormat="1" x14ac:dyDescent="0.35">
      <c r="A99" s="2"/>
      <c r="B99" s="136"/>
      <c r="G99" s="4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s="4" customFormat="1" x14ac:dyDescent="0.35">
      <c r="A100" s="2"/>
      <c r="B100" s="136"/>
      <c r="G100" s="4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s="4" customFormat="1" x14ac:dyDescent="0.35">
      <c r="A101" s="2"/>
      <c r="B101" s="136"/>
      <c r="G101" s="4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s="4" customFormat="1" x14ac:dyDescent="0.35">
      <c r="A102" s="2"/>
      <c r="B102" s="136"/>
      <c r="G102" s="4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s="4" customFormat="1" x14ac:dyDescent="0.35">
      <c r="A103" s="2"/>
      <c r="B103" s="136"/>
      <c r="G103" s="4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s="4" customFormat="1" x14ac:dyDescent="0.35">
      <c r="A104" s="2"/>
      <c r="B104" s="136"/>
      <c r="G104" s="4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s="4" customFormat="1" x14ac:dyDescent="0.35">
      <c r="A105" s="2"/>
      <c r="B105" s="136"/>
      <c r="G105" s="4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s="4" customFormat="1" x14ac:dyDescent="0.35">
      <c r="A106" s="2"/>
      <c r="B106" s="136"/>
      <c r="G106" s="4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s="4" customFormat="1" x14ac:dyDescent="0.35">
      <c r="A107" s="2"/>
      <c r="B107" s="136"/>
      <c r="G107" s="4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s="4" customFormat="1" x14ac:dyDescent="0.35">
      <c r="A108" s="2"/>
      <c r="B108" s="136"/>
      <c r="G108" s="4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s="4" customFormat="1" x14ac:dyDescent="0.35">
      <c r="A109" s="2"/>
      <c r="B109" s="136"/>
      <c r="G109" s="4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s="4" customFormat="1" x14ac:dyDescent="0.35">
      <c r="A110" s="2"/>
      <c r="B110" s="136"/>
      <c r="G110" s="4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s="4" customFormat="1" x14ac:dyDescent="0.35">
      <c r="A111" s="2"/>
      <c r="B111" s="136"/>
      <c r="G111" s="4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s="4" customFormat="1" x14ac:dyDescent="0.35">
      <c r="A112" s="2"/>
      <c r="B112" s="136"/>
      <c r="G112" s="4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s="4" customFormat="1" x14ac:dyDescent="0.35">
      <c r="A113" s="2"/>
      <c r="B113" s="136"/>
      <c r="G113" s="4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s="4" customFormat="1" x14ac:dyDescent="0.35">
      <c r="A114" s="2"/>
      <c r="B114" s="136"/>
      <c r="G114" s="4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s="4" customFormat="1" x14ac:dyDescent="0.35">
      <c r="A115" s="2"/>
      <c r="B115" s="136"/>
      <c r="G115" s="4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s="4" customFormat="1" x14ac:dyDescent="0.35">
      <c r="A116" s="2"/>
      <c r="B116" s="136"/>
      <c r="G116" s="4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s="4" customFormat="1" x14ac:dyDescent="0.35">
      <c r="A117" s="2"/>
      <c r="B117" s="136"/>
      <c r="G117" s="4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s="4" customFormat="1" x14ac:dyDescent="0.35">
      <c r="A118" s="2"/>
      <c r="B118" s="136"/>
      <c r="G118" s="4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s="4" customFormat="1" x14ac:dyDescent="0.35">
      <c r="A119" s="2"/>
      <c r="B119" s="136"/>
      <c r="G119" s="4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s="4" customFormat="1" x14ac:dyDescent="0.35">
      <c r="A120" s="2"/>
      <c r="B120" s="136"/>
      <c r="G120" s="4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s="4" customFormat="1" x14ac:dyDescent="0.35">
      <c r="A121" s="2"/>
      <c r="B121" s="136"/>
      <c r="G121" s="4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s="4" customFormat="1" x14ac:dyDescent="0.35">
      <c r="A122" s="2"/>
      <c r="B122" s="136"/>
      <c r="G122" s="4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s="4" customFormat="1" x14ac:dyDescent="0.35">
      <c r="A123" s="2"/>
      <c r="B123" s="136"/>
      <c r="G123" s="4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s="4" customFormat="1" x14ac:dyDescent="0.35">
      <c r="A124" s="2"/>
      <c r="B124" s="136"/>
      <c r="G124" s="4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s="4" customFormat="1" x14ac:dyDescent="0.35">
      <c r="A125" s="2"/>
      <c r="B125" s="136"/>
      <c r="G125" s="4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s="4" customFormat="1" x14ac:dyDescent="0.35">
      <c r="A126" s="2"/>
      <c r="B126" s="136"/>
      <c r="G126" s="4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s="4" customFormat="1" x14ac:dyDescent="0.35">
      <c r="A127" s="2"/>
      <c r="B127" s="136"/>
      <c r="G127" s="4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s="4" customFormat="1" x14ac:dyDescent="0.35">
      <c r="A128" s="2"/>
      <c r="B128" s="136"/>
      <c r="G128" s="4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s="4" customFormat="1" x14ac:dyDescent="0.35">
      <c r="A129" s="2"/>
      <c r="B129" s="136"/>
      <c r="G129" s="4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s="4" customFormat="1" x14ac:dyDescent="0.35">
      <c r="A130" s="2"/>
      <c r="B130" s="136"/>
      <c r="G130" s="4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s="4" customFormat="1" x14ac:dyDescent="0.35">
      <c r="A131" s="2"/>
      <c r="B131" s="136"/>
      <c r="G131" s="4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s="4" customFormat="1" x14ac:dyDescent="0.35">
      <c r="A132" s="2"/>
      <c r="B132" s="136"/>
      <c r="G132" s="4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s="4" customFormat="1" x14ac:dyDescent="0.35">
      <c r="A133" s="2"/>
      <c r="B133" s="136"/>
      <c r="G133" s="4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s="4" customFormat="1" x14ac:dyDescent="0.35">
      <c r="A134" s="2"/>
      <c r="B134" s="136"/>
      <c r="G134" s="4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s="4" customFormat="1" x14ac:dyDescent="0.35">
      <c r="A135" s="2"/>
      <c r="B135" s="136"/>
      <c r="G135" s="4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s="4" customFormat="1" x14ac:dyDescent="0.35">
      <c r="A136" s="2"/>
      <c r="B136" s="136"/>
      <c r="G136" s="4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s="4" customFormat="1" x14ac:dyDescent="0.35">
      <c r="A137" s="2"/>
      <c r="B137" s="136"/>
      <c r="G137" s="4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s="4" customFormat="1" x14ac:dyDescent="0.35">
      <c r="A138" s="2"/>
      <c r="B138" s="136"/>
      <c r="G138" s="4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s="4" customFormat="1" x14ac:dyDescent="0.35">
      <c r="A139" s="2"/>
      <c r="B139" s="136"/>
      <c r="G139" s="4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s="4" customFormat="1" x14ac:dyDescent="0.35">
      <c r="A140" s="2"/>
      <c r="B140" s="136"/>
      <c r="G140" s="4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s="4" customFormat="1" x14ac:dyDescent="0.35">
      <c r="A141" s="2"/>
      <c r="B141" s="136"/>
      <c r="G141" s="4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s="4" customFormat="1" x14ac:dyDescent="0.35">
      <c r="A142" s="2"/>
      <c r="B142" s="136"/>
      <c r="G142" s="4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s="4" customFormat="1" x14ac:dyDescent="0.35">
      <c r="A143" s="2"/>
      <c r="B143" s="136"/>
      <c r="G143" s="4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s="4" customFormat="1" x14ac:dyDescent="0.35">
      <c r="A144" s="2"/>
      <c r="B144" s="136"/>
      <c r="G144" s="4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s="4" customFormat="1" x14ac:dyDescent="0.35">
      <c r="A145" s="2"/>
      <c r="B145" s="136"/>
      <c r="G145" s="4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s="4" customFormat="1" x14ac:dyDescent="0.35">
      <c r="A146" s="2"/>
      <c r="B146" s="136"/>
      <c r="G146" s="4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s="4" customFormat="1" x14ac:dyDescent="0.35">
      <c r="A147" s="2"/>
      <c r="B147" s="136"/>
      <c r="G147" s="4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s="4" customFormat="1" x14ac:dyDescent="0.35">
      <c r="A148" s="2"/>
      <c r="B148" s="136"/>
      <c r="G148" s="4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s="4" customFormat="1" x14ac:dyDescent="0.35">
      <c r="A149" s="2"/>
      <c r="B149" s="136"/>
      <c r="G149" s="4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s="4" customFormat="1" x14ac:dyDescent="0.35">
      <c r="A150" s="2"/>
      <c r="B150" s="136"/>
      <c r="G150" s="4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s="4" customFormat="1" x14ac:dyDescent="0.35">
      <c r="A151" s="2"/>
      <c r="B151" s="136"/>
      <c r="G151" s="4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s="4" customFormat="1" x14ac:dyDescent="0.35">
      <c r="A152" s="2"/>
      <c r="B152" s="136"/>
      <c r="G152" s="4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s="4" customFormat="1" x14ac:dyDescent="0.35">
      <c r="A153" s="2"/>
      <c r="B153" s="136"/>
      <c r="G153" s="4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s="4" customFormat="1" x14ac:dyDescent="0.35">
      <c r="A154" s="2"/>
      <c r="B154" s="136"/>
      <c r="G154" s="4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s="4" customFormat="1" x14ac:dyDescent="0.35">
      <c r="A155" s="2"/>
      <c r="B155" s="136"/>
      <c r="G155" s="40"/>
      <c r="H155" s="1"/>
      <c r="I155" s="207"/>
      <c r="J155" s="207"/>
      <c r="K155" s="1"/>
      <c r="L155" s="1"/>
      <c r="M155" s="1"/>
      <c r="N155" s="1"/>
      <c r="O155" s="1"/>
      <c r="P155" s="1"/>
      <c r="Q155" s="1"/>
      <c r="R155" s="1"/>
    </row>
    <row r="156" spans="1:18" s="4" customFormat="1" x14ac:dyDescent="0.35">
      <c r="A156" s="2"/>
      <c r="B156" s="136"/>
      <c r="G156" s="40"/>
      <c r="H156" s="1"/>
      <c r="I156" s="207"/>
      <c r="J156" s="207"/>
      <c r="K156" s="1"/>
      <c r="L156" s="1"/>
      <c r="M156" s="1"/>
      <c r="N156" s="1"/>
      <c r="O156" s="1"/>
      <c r="P156" s="1"/>
      <c r="Q156" s="1"/>
      <c r="R156" s="1"/>
    </row>
    <row r="157" spans="1:18" s="4" customFormat="1" x14ac:dyDescent="0.35">
      <c r="A157" s="2"/>
      <c r="B157" s="136"/>
      <c r="G157" s="40"/>
      <c r="H157" s="1"/>
      <c r="I157" s="207"/>
      <c r="J157" s="207"/>
      <c r="K157" s="1"/>
      <c r="L157" s="1"/>
      <c r="M157" s="1"/>
      <c r="N157" s="1"/>
      <c r="O157" s="1"/>
      <c r="P157" s="1"/>
      <c r="Q157" s="1"/>
      <c r="R157" s="1"/>
    </row>
    <row r="158" spans="1:18" s="4" customFormat="1" x14ac:dyDescent="0.35">
      <c r="A158" s="2"/>
      <c r="B158" s="136"/>
      <c r="G158" s="40"/>
      <c r="H158" s="1"/>
      <c r="I158" s="207"/>
      <c r="J158" s="207"/>
      <c r="K158" s="1"/>
      <c r="L158" s="1"/>
      <c r="M158" s="1"/>
      <c r="N158" s="1"/>
      <c r="O158" s="1"/>
      <c r="P158" s="1"/>
      <c r="Q158" s="1"/>
      <c r="R158" s="1"/>
    </row>
    <row r="159" spans="1:18" s="4" customFormat="1" x14ac:dyDescent="0.35">
      <c r="A159" s="2"/>
      <c r="B159" s="136"/>
      <c r="G159" s="40"/>
      <c r="H159" s="1"/>
      <c r="I159" s="207"/>
      <c r="J159" s="207"/>
      <c r="K159" s="1"/>
      <c r="L159" s="1"/>
      <c r="M159" s="1"/>
      <c r="N159" s="1"/>
      <c r="O159" s="1"/>
      <c r="P159" s="1"/>
      <c r="Q159" s="1"/>
      <c r="R159" s="1"/>
    </row>
    <row r="160" spans="1:18" s="4" customFormat="1" x14ac:dyDescent="0.35">
      <c r="A160" s="2"/>
      <c r="B160" s="136"/>
      <c r="G160" s="40"/>
      <c r="H160" s="1"/>
      <c r="I160" s="207"/>
      <c r="J160" s="207"/>
      <c r="K160" s="1"/>
      <c r="L160" s="1"/>
      <c r="M160" s="1"/>
      <c r="N160" s="1"/>
      <c r="O160" s="1"/>
      <c r="P160" s="1"/>
      <c r="Q160" s="1"/>
      <c r="R160" s="1"/>
    </row>
    <row r="161" spans="1:18" s="4" customFormat="1" x14ac:dyDescent="0.35">
      <c r="A161" s="2"/>
      <c r="B161" s="136"/>
      <c r="G161" s="40"/>
      <c r="H161" s="1"/>
      <c r="I161" s="207"/>
      <c r="J161" s="207"/>
      <c r="K161" s="1"/>
      <c r="L161" s="1"/>
      <c r="M161" s="1"/>
      <c r="N161" s="1"/>
      <c r="O161" s="1"/>
      <c r="P161" s="1"/>
      <c r="Q161" s="1"/>
      <c r="R161" s="1"/>
    </row>
    <row r="162" spans="1:18" s="4" customFormat="1" x14ac:dyDescent="0.35">
      <c r="A162" s="2"/>
      <c r="B162" s="136"/>
      <c r="G162" s="40"/>
      <c r="H162" s="1"/>
      <c r="I162" s="207"/>
      <c r="J162" s="207"/>
      <c r="K162" s="1"/>
      <c r="L162" s="1"/>
      <c r="M162" s="1"/>
      <c r="N162" s="1"/>
      <c r="O162" s="1"/>
      <c r="P162" s="1"/>
      <c r="Q162" s="1"/>
      <c r="R162" s="1"/>
    </row>
    <row r="163" spans="1:18" s="4" customFormat="1" x14ac:dyDescent="0.35">
      <c r="A163" s="2"/>
      <c r="B163" s="136"/>
      <c r="G163" s="40"/>
      <c r="H163" s="1"/>
      <c r="I163" s="207"/>
      <c r="J163" s="207"/>
      <c r="K163" s="1"/>
      <c r="L163" s="1"/>
      <c r="M163" s="1"/>
      <c r="N163" s="1"/>
      <c r="O163" s="1"/>
      <c r="P163" s="1"/>
      <c r="Q163" s="1"/>
      <c r="R163" s="1"/>
    </row>
    <row r="164" spans="1:18" s="4" customFormat="1" x14ac:dyDescent="0.35">
      <c r="A164" s="2"/>
      <c r="B164" s="136"/>
      <c r="G164" s="40"/>
      <c r="H164" s="1"/>
      <c r="I164" s="207"/>
      <c r="J164" s="207"/>
      <c r="K164" s="1"/>
      <c r="L164" s="1"/>
      <c r="M164" s="1"/>
      <c r="N164" s="1"/>
      <c r="O164" s="1"/>
      <c r="P164" s="1"/>
      <c r="Q164" s="1"/>
      <c r="R164" s="1"/>
    </row>
    <row r="165" spans="1:18" s="4" customFormat="1" x14ac:dyDescent="0.35">
      <c r="A165" s="2"/>
      <c r="B165" s="136"/>
      <c r="G165" s="40"/>
      <c r="H165" s="1"/>
      <c r="I165" s="207"/>
      <c r="J165" s="207"/>
      <c r="K165" s="1"/>
      <c r="L165" s="1"/>
      <c r="M165" s="1"/>
      <c r="N165" s="1"/>
      <c r="O165" s="1"/>
      <c r="P165" s="1"/>
      <c r="Q165" s="1"/>
      <c r="R165" s="1"/>
    </row>
    <row r="166" spans="1:18" s="4" customFormat="1" x14ac:dyDescent="0.35">
      <c r="A166" s="2"/>
      <c r="B166" s="136"/>
      <c r="G166" s="40"/>
      <c r="H166" s="1"/>
      <c r="I166" s="207"/>
      <c r="J166" s="207"/>
      <c r="K166" s="1"/>
      <c r="L166" s="1"/>
      <c r="M166" s="1"/>
      <c r="N166" s="1"/>
      <c r="O166" s="1"/>
      <c r="P166" s="1"/>
      <c r="Q166" s="1"/>
      <c r="R166" s="1"/>
    </row>
    <row r="167" spans="1:18" s="4" customFormat="1" x14ac:dyDescent="0.35">
      <c r="A167" s="2"/>
      <c r="B167" s="136"/>
      <c r="G167" s="40"/>
      <c r="H167" s="1"/>
      <c r="I167" s="207"/>
      <c r="J167" s="207"/>
      <c r="K167" s="1"/>
      <c r="L167" s="1"/>
      <c r="M167" s="1"/>
      <c r="N167" s="1"/>
      <c r="O167" s="1"/>
      <c r="P167" s="1"/>
      <c r="Q167" s="1"/>
      <c r="R167" s="1"/>
    </row>
    <row r="168" spans="1:18" s="4" customFormat="1" x14ac:dyDescent="0.35">
      <c r="A168" s="2"/>
      <c r="B168" s="136"/>
      <c r="G168" s="40"/>
      <c r="H168" s="1"/>
      <c r="I168" s="207"/>
      <c r="J168" s="207"/>
      <c r="K168" s="1"/>
      <c r="L168" s="1"/>
      <c r="M168" s="1"/>
      <c r="N168" s="1"/>
      <c r="O168" s="1"/>
      <c r="P168" s="1"/>
      <c r="Q168" s="1"/>
      <c r="R168" s="1"/>
    </row>
    <row r="169" spans="1:18" s="4" customFormat="1" x14ac:dyDescent="0.35">
      <c r="A169" s="2"/>
      <c r="B169" s="136"/>
      <c r="G169" s="40"/>
      <c r="H169" s="1"/>
      <c r="I169" s="207"/>
      <c r="J169" s="207"/>
      <c r="K169" s="1"/>
      <c r="L169" s="1"/>
      <c r="M169" s="1"/>
      <c r="N169" s="1"/>
      <c r="O169" s="1"/>
      <c r="P169" s="1"/>
      <c r="Q169" s="1"/>
      <c r="R169" s="1"/>
    </row>
    <row r="170" spans="1:18" s="4" customFormat="1" x14ac:dyDescent="0.35">
      <c r="A170" s="2"/>
      <c r="B170" s="136"/>
      <c r="G170" s="40"/>
      <c r="H170" s="1"/>
      <c r="I170" s="207"/>
      <c r="J170" s="207"/>
      <c r="K170" s="1"/>
      <c r="L170" s="1"/>
      <c r="M170" s="1"/>
      <c r="N170" s="1"/>
      <c r="O170" s="1"/>
      <c r="P170" s="1"/>
      <c r="Q170" s="1"/>
      <c r="R170" s="1"/>
    </row>
    <row r="171" spans="1:18" s="4" customFormat="1" x14ac:dyDescent="0.35">
      <c r="A171" s="2"/>
      <c r="B171" s="136"/>
      <c r="G171" s="40"/>
      <c r="H171" s="1"/>
      <c r="I171" s="207"/>
      <c r="J171" s="207"/>
      <c r="K171" s="1"/>
      <c r="L171" s="1"/>
      <c r="M171" s="1"/>
      <c r="N171" s="1"/>
      <c r="O171" s="1"/>
      <c r="P171" s="1"/>
      <c r="Q171" s="1"/>
      <c r="R171" s="1"/>
    </row>
    <row r="172" spans="1:18" s="4" customFormat="1" x14ac:dyDescent="0.35">
      <c r="A172" s="2"/>
      <c r="B172" s="136"/>
      <c r="G172" s="40"/>
      <c r="H172" s="1"/>
      <c r="I172" s="207"/>
      <c r="J172" s="207"/>
      <c r="K172" s="1"/>
      <c r="L172" s="1"/>
      <c r="M172" s="1"/>
      <c r="N172" s="1"/>
      <c r="O172" s="1"/>
      <c r="P172" s="1"/>
      <c r="Q172" s="1"/>
      <c r="R172" s="1"/>
    </row>
    <row r="173" spans="1:18" s="4" customFormat="1" x14ac:dyDescent="0.35">
      <c r="A173" s="2"/>
      <c r="B173" s="136"/>
      <c r="G173" s="40"/>
      <c r="H173" s="1"/>
      <c r="I173" s="207"/>
      <c r="J173" s="207"/>
      <c r="K173" s="1"/>
      <c r="L173" s="1"/>
      <c r="M173" s="1"/>
      <c r="N173" s="1"/>
      <c r="O173" s="1"/>
      <c r="P173" s="1"/>
      <c r="Q173" s="1"/>
      <c r="R173" s="1"/>
    </row>
    <row r="174" spans="1:18" s="4" customFormat="1" x14ac:dyDescent="0.35">
      <c r="A174" s="2"/>
      <c r="B174" s="136"/>
      <c r="G174" s="40"/>
      <c r="H174" s="1"/>
      <c r="I174" s="207"/>
      <c r="J174" s="207"/>
      <c r="K174" s="1"/>
      <c r="L174" s="1"/>
      <c r="M174" s="1"/>
      <c r="N174" s="1"/>
      <c r="O174" s="1"/>
      <c r="P174" s="1"/>
      <c r="Q174" s="1"/>
      <c r="R174" s="1"/>
    </row>
    <row r="175" spans="1:18" s="4" customFormat="1" x14ac:dyDescent="0.35">
      <c r="A175" s="2"/>
      <c r="B175" s="136"/>
      <c r="G175" s="40"/>
      <c r="H175" s="1"/>
      <c r="I175" s="207"/>
      <c r="J175" s="207"/>
      <c r="K175" s="1"/>
      <c r="L175" s="1"/>
      <c r="M175" s="1"/>
      <c r="N175" s="1"/>
      <c r="O175" s="1"/>
      <c r="P175" s="1"/>
      <c r="Q175" s="1"/>
      <c r="R175" s="1"/>
    </row>
    <row r="176" spans="1:18" s="4" customFormat="1" x14ac:dyDescent="0.35">
      <c r="A176" s="2"/>
      <c r="B176" s="136"/>
      <c r="G176" s="40"/>
      <c r="H176" s="1"/>
      <c r="I176" s="207"/>
      <c r="J176" s="207"/>
      <c r="K176" s="1"/>
      <c r="L176" s="1"/>
      <c r="M176" s="1"/>
      <c r="N176" s="1"/>
      <c r="O176" s="1"/>
      <c r="P176" s="1"/>
      <c r="Q176" s="1"/>
      <c r="R176" s="1"/>
    </row>
    <row r="177" spans="1:18" s="4" customFormat="1" x14ac:dyDescent="0.35">
      <c r="A177" s="2"/>
      <c r="B177" s="136"/>
      <c r="G177" s="40"/>
      <c r="H177" s="1"/>
      <c r="I177" s="207"/>
      <c r="J177" s="207"/>
      <c r="K177" s="1"/>
      <c r="L177" s="1"/>
      <c r="M177" s="1"/>
      <c r="N177" s="1"/>
      <c r="O177" s="1"/>
      <c r="P177" s="1"/>
      <c r="Q177" s="1"/>
      <c r="R177" s="1"/>
    </row>
    <row r="178" spans="1:18" s="4" customFormat="1" x14ac:dyDescent="0.35">
      <c r="A178" s="2"/>
      <c r="B178" s="136"/>
      <c r="G178" s="40"/>
      <c r="H178" s="1"/>
      <c r="I178" s="207"/>
      <c r="J178" s="207"/>
      <c r="K178" s="1"/>
      <c r="L178" s="1"/>
      <c r="M178" s="1"/>
      <c r="N178" s="1"/>
      <c r="O178" s="1"/>
      <c r="P178" s="1"/>
      <c r="Q178" s="1"/>
      <c r="R178" s="1"/>
    </row>
    <row r="179" spans="1:18" s="4" customFormat="1" x14ac:dyDescent="0.35">
      <c r="A179" s="2"/>
      <c r="B179" s="136"/>
      <c r="G179" s="40"/>
      <c r="H179" s="1"/>
      <c r="I179" s="207"/>
      <c r="J179" s="207"/>
      <c r="K179" s="1"/>
      <c r="L179" s="1"/>
      <c r="M179" s="1"/>
      <c r="N179" s="1"/>
      <c r="O179" s="1"/>
      <c r="P179" s="1"/>
      <c r="Q179" s="1"/>
      <c r="R179" s="1"/>
    </row>
    <row r="180" spans="1:18" s="4" customFormat="1" x14ac:dyDescent="0.35">
      <c r="A180" s="2"/>
      <c r="B180" s="136"/>
      <c r="G180" s="40"/>
      <c r="H180" s="1"/>
      <c r="I180" s="207"/>
      <c r="J180" s="207"/>
      <c r="K180" s="1"/>
      <c r="L180" s="1"/>
      <c r="M180" s="1"/>
      <c r="N180" s="1"/>
      <c r="O180" s="1"/>
      <c r="P180" s="1"/>
      <c r="Q180" s="1"/>
      <c r="R180" s="1"/>
    </row>
    <row r="181" spans="1:18" s="4" customFormat="1" x14ac:dyDescent="0.35">
      <c r="A181" s="2"/>
      <c r="B181" s="136"/>
      <c r="G181" s="40"/>
      <c r="H181" s="1"/>
      <c r="I181" s="207"/>
      <c r="J181" s="207"/>
      <c r="K181" s="1"/>
      <c r="L181" s="1"/>
      <c r="M181" s="1"/>
      <c r="N181" s="1"/>
      <c r="O181" s="1"/>
      <c r="P181" s="1"/>
      <c r="Q181" s="1"/>
      <c r="R181" s="1"/>
    </row>
    <row r="182" spans="1:18" s="4" customFormat="1" x14ac:dyDescent="0.35">
      <c r="A182" s="2"/>
      <c r="B182" s="136"/>
      <c r="G182" s="40"/>
      <c r="H182" s="1"/>
      <c r="I182" s="207"/>
      <c r="J182" s="207"/>
      <c r="K182" s="1"/>
      <c r="L182" s="1"/>
      <c r="M182" s="1"/>
      <c r="N182" s="1"/>
      <c r="O182" s="1"/>
      <c r="P182" s="1"/>
      <c r="Q182" s="1"/>
      <c r="R182" s="1"/>
    </row>
    <row r="183" spans="1:18" s="4" customFormat="1" x14ac:dyDescent="0.35">
      <c r="A183" s="2"/>
      <c r="B183" s="136"/>
      <c r="G183" s="40"/>
      <c r="H183" s="1"/>
      <c r="I183" s="207"/>
      <c r="J183" s="207"/>
      <c r="K183" s="1"/>
      <c r="L183" s="1"/>
      <c r="M183" s="1"/>
      <c r="N183" s="1"/>
      <c r="O183" s="1"/>
      <c r="P183" s="1"/>
      <c r="Q183" s="1"/>
      <c r="R183" s="1"/>
    </row>
    <row r="184" spans="1:18" s="4" customFormat="1" x14ac:dyDescent="0.35">
      <c r="A184" s="2"/>
      <c r="B184" s="136"/>
      <c r="G184" s="40"/>
      <c r="H184" s="1"/>
      <c r="I184" s="207"/>
      <c r="J184" s="207"/>
      <c r="K184" s="1"/>
      <c r="L184" s="1"/>
      <c r="M184" s="1"/>
      <c r="N184" s="1"/>
      <c r="O184" s="1"/>
      <c r="P184" s="1"/>
      <c r="Q184" s="1"/>
      <c r="R184" s="1"/>
    </row>
    <row r="185" spans="1:18" s="4" customFormat="1" x14ac:dyDescent="0.35">
      <c r="A185" s="2"/>
      <c r="B185" s="136"/>
      <c r="G185" s="40"/>
      <c r="H185" s="1"/>
      <c r="I185" s="207"/>
      <c r="J185" s="207"/>
      <c r="K185" s="1"/>
      <c r="L185" s="1"/>
      <c r="M185" s="1"/>
      <c r="N185" s="1"/>
      <c r="O185" s="1"/>
      <c r="P185" s="1"/>
      <c r="Q185" s="1"/>
      <c r="R185" s="1"/>
    </row>
    <row r="186" spans="1:18" s="4" customFormat="1" x14ac:dyDescent="0.35">
      <c r="A186" s="2"/>
      <c r="B186" s="136"/>
      <c r="G186" s="40"/>
      <c r="H186" s="1"/>
      <c r="I186" s="207"/>
      <c r="J186" s="207"/>
      <c r="K186" s="1"/>
      <c r="L186" s="1"/>
      <c r="M186" s="1"/>
      <c r="N186" s="1"/>
      <c r="O186" s="1"/>
      <c r="P186" s="1"/>
      <c r="Q186" s="1"/>
      <c r="R186" s="1"/>
    </row>
    <row r="187" spans="1:18" s="4" customFormat="1" x14ac:dyDescent="0.35">
      <c r="A187" s="2"/>
      <c r="B187" s="136"/>
      <c r="G187" s="40"/>
      <c r="H187" s="1"/>
      <c r="I187" s="207"/>
      <c r="J187" s="207"/>
      <c r="K187" s="1"/>
      <c r="L187" s="1"/>
      <c r="M187" s="1"/>
      <c r="N187" s="1"/>
      <c r="O187" s="1"/>
      <c r="P187" s="1"/>
      <c r="Q187" s="1"/>
      <c r="R187" s="1"/>
    </row>
    <row r="188" spans="1:18" s="4" customFormat="1" x14ac:dyDescent="0.35">
      <c r="A188" s="2"/>
      <c r="B188" s="136"/>
      <c r="G188" s="40"/>
      <c r="H188" s="1"/>
      <c r="I188" s="207"/>
      <c r="J188" s="207"/>
      <c r="K188" s="1"/>
      <c r="L188" s="1"/>
      <c r="M188" s="1"/>
      <c r="N188" s="1"/>
      <c r="O188" s="1"/>
      <c r="P188" s="1"/>
      <c r="Q188" s="1"/>
      <c r="R188" s="1"/>
    </row>
    <row r="189" spans="1:18" s="4" customFormat="1" x14ac:dyDescent="0.35">
      <c r="A189" s="2"/>
      <c r="B189" s="136"/>
      <c r="G189" s="40"/>
      <c r="H189" s="1"/>
      <c r="I189" s="207"/>
      <c r="J189" s="207"/>
      <c r="K189" s="1"/>
      <c r="L189" s="1"/>
      <c r="M189" s="1"/>
      <c r="N189" s="1"/>
      <c r="O189" s="1"/>
      <c r="P189" s="1"/>
      <c r="Q189" s="1"/>
      <c r="R189" s="1"/>
    </row>
    <row r="190" spans="1:18" s="4" customFormat="1" x14ac:dyDescent="0.35">
      <c r="A190" s="2"/>
      <c r="B190" s="136"/>
      <c r="G190" s="40"/>
      <c r="H190" s="1"/>
      <c r="I190" s="207"/>
      <c r="J190" s="207"/>
      <c r="K190" s="1"/>
      <c r="L190" s="1"/>
      <c r="M190" s="1"/>
      <c r="N190" s="1"/>
      <c r="O190" s="1"/>
      <c r="P190" s="1"/>
      <c r="Q190" s="1"/>
      <c r="R190" s="1"/>
    </row>
    <row r="191" spans="1:18" s="4" customFormat="1" x14ac:dyDescent="0.35">
      <c r="A191" s="2"/>
      <c r="B191" s="136"/>
      <c r="G191" s="40"/>
      <c r="H191" s="1"/>
      <c r="I191" s="207"/>
      <c r="J191" s="207"/>
      <c r="K191" s="1"/>
      <c r="L191" s="1"/>
      <c r="M191" s="1"/>
      <c r="N191" s="1"/>
      <c r="O191" s="1"/>
      <c r="P191" s="1"/>
      <c r="Q191" s="1"/>
      <c r="R191" s="1"/>
    </row>
    <row r="192" spans="1:18" s="4" customFormat="1" x14ac:dyDescent="0.35">
      <c r="A192" s="2"/>
      <c r="B192" s="136"/>
      <c r="G192" s="40"/>
      <c r="H192" s="1"/>
      <c r="I192" s="207"/>
      <c r="J192" s="207"/>
      <c r="K192" s="1"/>
      <c r="L192" s="1"/>
      <c r="M192" s="1"/>
      <c r="N192" s="1"/>
      <c r="O192" s="1"/>
      <c r="P192" s="1"/>
      <c r="Q192" s="1"/>
      <c r="R192" s="1"/>
    </row>
    <row r="193" spans="1:18" s="4" customFormat="1" x14ac:dyDescent="0.35">
      <c r="A193" s="2"/>
      <c r="B193" s="136"/>
      <c r="G193" s="40"/>
      <c r="H193" s="1"/>
      <c r="I193" s="207"/>
      <c r="J193" s="207"/>
      <c r="K193" s="1"/>
      <c r="L193" s="1"/>
      <c r="M193" s="1"/>
      <c r="N193" s="1"/>
      <c r="O193" s="1"/>
      <c r="P193" s="1"/>
      <c r="Q193" s="1"/>
      <c r="R193" s="1"/>
    </row>
    <row r="194" spans="1:18" s="4" customFormat="1" x14ac:dyDescent="0.35">
      <c r="A194" s="2"/>
      <c r="B194" s="136"/>
      <c r="G194" s="40"/>
      <c r="H194" s="1"/>
      <c r="I194" s="207"/>
      <c r="J194" s="207"/>
      <c r="K194" s="1"/>
      <c r="L194" s="1"/>
      <c r="M194" s="1"/>
      <c r="N194" s="1"/>
      <c r="O194" s="1"/>
      <c r="P194" s="1"/>
      <c r="Q194" s="1"/>
      <c r="R194" s="1"/>
    </row>
    <row r="195" spans="1:18" s="4" customFormat="1" x14ac:dyDescent="0.35">
      <c r="A195" s="2"/>
      <c r="B195" s="136"/>
      <c r="G195" s="40"/>
      <c r="H195" s="1"/>
      <c r="I195" s="207"/>
      <c r="J195" s="207"/>
      <c r="K195" s="1"/>
      <c r="L195" s="1"/>
      <c r="M195" s="1"/>
      <c r="N195" s="1"/>
      <c r="O195" s="1"/>
      <c r="P195" s="1"/>
      <c r="Q195" s="1"/>
      <c r="R195" s="1"/>
    </row>
    <row r="196" spans="1:18" s="4" customFormat="1" x14ac:dyDescent="0.35">
      <c r="A196" s="2"/>
      <c r="B196" s="136"/>
      <c r="G196" s="40"/>
      <c r="H196" s="1"/>
      <c r="I196" s="207"/>
      <c r="J196" s="207"/>
      <c r="K196" s="1"/>
      <c r="L196" s="1"/>
      <c r="M196" s="1"/>
      <c r="N196" s="1"/>
      <c r="O196" s="1"/>
      <c r="P196" s="1"/>
      <c r="Q196" s="1"/>
      <c r="R196" s="1"/>
    </row>
    <row r="197" spans="1:18" s="4" customFormat="1" x14ac:dyDescent="0.35">
      <c r="A197" s="2"/>
      <c r="B197" s="136"/>
      <c r="G197" s="40"/>
      <c r="H197" s="1"/>
      <c r="I197" s="207"/>
      <c r="J197" s="207"/>
      <c r="K197" s="1"/>
      <c r="L197" s="1"/>
      <c r="M197" s="1"/>
      <c r="N197" s="1"/>
      <c r="O197" s="1"/>
      <c r="P197" s="1"/>
      <c r="Q197" s="1"/>
      <c r="R197" s="1"/>
    </row>
    <row r="198" spans="1:18" s="4" customFormat="1" x14ac:dyDescent="0.35">
      <c r="A198" s="2"/>
      <c r="B198" s="136"/>
      <c r="G198" s="40"/>
      <c r="H198" s="1"/>
      <c r="I198" s="207"/>
      <c r="J198" s="207"/>
      <c r="K198" s="1"/>
      <c r="L198" s="1"/>
      <c r="M198" s="1"/>
      <c r="N198" s="1"/>
      <c r="O198" s="1"/>
      <c r="P198" s="1"/>
      <c r="Q198" s="1"/>
      <c r="R198" s="1"/>
    </row>
    <row r="199" spans="1:18" s="4" customFormat="1" x14ac:dyDescent="0.35">
      <c r="A199" s="2"/>
      <c r="B199" s="136"/>
      <c r="G199" s="40"/>
      <c r="H199" s="1"/>
      <c r="I199" s="207"/>
      <c r="J199" s="207"/>
      <c r="K199" s="1"/>
      <c r="L199" s="1"/>
      <c r="M199" s="1"/>
      <c r="N199" s="1"/>
      <c r="O199" s="1"/>
      <c r="P199" s="1"/>
      <c r="Q199" s="1"/>
      <c r="R199" s="1"/>
    </row>
    <row r="200" spans="1:18" s="4" customFormat="1" x14ac:dyDescent="0.35">
      <c r="A200" s="2"/>
      <c r="B200" s="136"/>
      <c r="G200" s="40"/>
      <c r="H200" s="1"/>
      <c r="I200" s="207"/>
      <c r="J200" s="207"/>
      <c r="K200" s="1"/>
      <c r="L200" s="1"/>
      <c r="M200" s="1"/>
      <c r="N200" s="1"/>
      <c r="O200" s="1"/>
      <c r="P200" s="1"/>
      <c r="Q200" s="1"/>
      <c r="R200" s="1"/>
    </row>
    <row r="201" spans="1:18" s="4" customFormat="1" x14ac:dyDescent="0.35">
      <c r="A201" s="2"/>
      <c r="B201" s="136"/>
      <c r="G201" s="40"/>
      <c r="H201" s="1"/>
      <c r="I201" s="207"/>
      <c r="J201" s="207"/>
      <c r="K201" s="1"/>
      <c r="L201" s="1"/>
      <c r="M201" s="1"/>
      <c r="N201" s="1"/>
      <c r="O201" s="1"/>
      <c r="P201" s="1"/>
      <c r="Q201" s="1"/>
      <c r="R201" s="1"/>
    </row>
    <row r="202" spans="1:18" s="4" customFormat="1" x14ac:dyDescent="0.35">
      <c r="A202" s="2"/>
      <c r="B202" s="136"/>
      <c r="G202" s="40"/>
      <c r="H202" s="1"/>
      <c r="I202" s="207"/>
      <c r="J202" s="207"/>
      <c r="K202" s="1"/>
      <c r="L202" s="1"/>
      <c r="M202" s="1"/>
      <c r="N202" s="1"/>
      <c r="O202" s="1"/>
      <c r="P202" s="1"/>
      <c r="Q202" s="1"/>
      <c r="R202" s="1"/>
    </row>
    <row r="203" spans="1:18" s="4" customFormat="1" x14ac:dyDescent="0.35">
      <c r="A203" s="2"/>
      <c r="B203" s="136"/>
      <c r="G203" s="40"/>
      <c r="H203" s="1"/>
      <c r="I203" s="207"/>
      <c r="J203" s="207"/>
      <c r="K203" s="1"/>
      <c r="L203" s="1"/>
      <c r="M203" s="1"/>
      <c r="N203" s="1"/>
      <c r="O203" s="1"/>
      <c r="P203" s="1"/>
      <c r="Q203" s="1"/>
      <c r="R203" s="1"/>
    </row>
    <row r="204" spans="1:18" s="4" customFormat="1" x14ac:dyDescent="0.35">
      <c r="A204" s="2"/>
      <c r="B204" s="136"/>
      <c r="G204" s="40"/>
      <c r="H204" s="1"/>
      <c r="I204" s="207"/>
      <c r="J204" s="207"/>
      <c r="K204" s="1"/>
      <c r="L204" s="1"/>
      <c r="M204" s="1"/>
      <c r="N204" s="1"/>
      <c r="O204" s="1"/>
      <c r="P204" s="1"/>
      <c r="Q204" s="1"/>
      <c r="R204" s="1"/>
    </row>
    <row r="205" spans="1:18" s="4" customFormat="1" x14ac:dyDescent="0.35">
      <c r="A205" s="2"/>
      <c r="B205" s="136"/>
      <c r="G205" s="40"/>
      <c r="H205" s="1"/>
      <c r="I205" s="207"/>
      <c r="J205" s="207"/>
      <c r="K205" s="1"/>
      <c r="L205" s="1"/>
      <c r="M205" s="1"/>
      <c r="N205" s="1"/>
      <c r="O205" s="1"/>
      <c r="P205" s="1"/>
      <c r="Q205" s="1"/>
      <c r="R205" s="1"/>
    </row>
    <row r="206" spans="1:18" s="4" customFormat="1" x14ac:dyDescent="0.35">
      <c r="A206" s="2"/>
      <c r="B206" s="136"/>
      <c r="G206" s="40"/>
      <c r="H206" s="1"/>
      <c r="I206" s="207"/>
      <c r="J206" s="207"/>
      <c r="K206" s="1"/>
      <c r="L206" s="1"/>
      <c r="M206" s="1"/>
      <c r="N206" s="1"/>
      <c r="O206" s="1"/>
      <c r="P206" s="1"/>
      <c r="Q206" s="1"/>
      <c r="R206" s="1"/>
    </row>
    <row r="207" spans="1:18" s="4" customFormat="1" x14ac:dyDescent="0.35">
      <c r="A207" s="2"/>
      <c r="B207" s="136"/>
      <c r="G207" s="40"/>
      <c r="H207" s="1"/>
      <c r="I207" s="207"/>
      <c r="J207" s="207"/>
      <c r="K207" s="1"/>
      <c r="L207" s="1"/>
      <c r="M207" s="1"/>
      <c r="N207" s="1"/>
      <c r="O207" s="1"/>
      <c r="P207" s="1"/>
      <c r="Q207" s="1"/>
      <c r="R207" s="1"/>
    </row>
    <row r="208" spans="1:18" s="4" customFormat="1" x14ac:dyDescent="0.35">
      <c r="A208" s="2"/>
      <c r="B208" s="136"/>
      <c r="G208" s="40"/>
      <c r="H208" s="1"/>
      <c r="I208" s="207"/>
      <c r="J208" s="207"/>
      <c r="K208" s="1"/>
      <c r="L208" s="1"/>
      <c r="M208" s="1"/>
      <c r="N208" s="1"/>
      <c r="O208" s="1"/>
      <c r="P208" s="1"/>
      <c r="Q208" s="1"/>
      <c r="R208" s="1"/>
    </row>
    <row r="209" spans="1:18" s="4" customFormat="1" x14ac:dyDescent="0.35">
      <c r="A209" s="2"/>
      <c r="B209" s="136"/>
      <c r="G209" s="40"/>
      <c r="H209" s="1"/>
      <c r="I209" s="207"/>
      <c r="J209" s="207"/>
      <c r="K209" s="1"/>
      <c r="L209" s="1"/>
      <c r="M209" s="1"/>
      <c r="N209" s="1"/>
      <c r="O209" s="1"/>
      <c r="P209" s="1"/>
      <c r="Q209" s="1"/>
      <c r="R209" s="1"/>
    </row>
    <row r="210" spans="1:18" s="4" customFormat="1" x14ac:dyDescent="0.35">
      <c r="A210" s="2"/>
      <c r="B210" s="136"/>
      <c r="G210" s="40"/>
      <c r="H210" s="1"/>
      <c r="I210" s="207"/>
      <c r="J210" s="207"/>
      <c r="K210" s="1"/>
      <c r="L210" s="1"/>
      <c r="M210" s="1"/>
      <c r="N210" s="1"/>
      <c r="O210" s="1"/>
      <c r="P210" s="1"/>
      <c r="Q210" s="1"/>
      <c r="R210" s="1"/>
    </row>
    <row r="211" spans="1:18" s="4" customFormat="1" x14ac:dyDescent="0.35">
      <c r="A211" s="2"/>
      <c r="B211" s="136"/>
      <c r="G211" s="40"/>
      <c r="H211" s="1"/>
      <c r="I211" s="207"/>
      <c r="J211" s="207"/>
      <c r="K211" s="1"/>
      <c r="L211" s="1"/>
      <c r="M211" s="1"/>
      <c r="N211" s="1"/>
      <c r="O211" s="1"/>
      <c r="P211" s="1"/>
      <c r="Q211" s="1"/>
      <c r="R211" s="1"/>
    </row>
    <row r="212" spans="1:18" s="4" customFormat="1" x14ac:dyDescent="0.35">
      <c r="A212" s="2"/>
      <c r="B212" s="136"/>
      <c r="G212" s="40"/>
      <c r="H212" s="1"/>
      <c r="I212" s="207"/>
      <c r="J212" s="207"/>
      <c r="K212" s="1"/>
      <c r="L212" s="1"/>
      <c r="M212" s="1"/>
      <c r="N212" s="1"/>
      <c r="O212" s="1"/>
      <c r="P212" s="1"/>
      <c r="Q212" s="1"/>
      <c r="R212" s="1"/>
    </row>
    <row r="213" spans="1:18" s="4" customFormat="1" x14ac:dyDescent="0.35">
      <c r="A213" s="2"/>
      <c r="B213" s="136"/>
      <c r="G213" s="40"/>
      <c r="H213" s="1"/>
      <c r="I213" s="207"/>
      <c r="J213" s="207"/>
      <c r="K213" s="1"/>
      <c r="L213" s="1"/>
      <c r="M213" s="1"/>
      <c r="N213" s="1"/>
      <c r="O213" s="1"/>
      <c r="P213" s="1"/>
      <c r="Q213" s="1"/>
      <c r="R213" s="1"/>
    </row>
    <row r="214" spans="1:18" s="4" customFormat="1" x14ac:dyDescent="0.35">
      <c r="A214" s="2"/>
      <c r="B214" s="136"/>
      <c r="G214" s="40"/>
      <c r="H214" s="1"/>
      <c r="I214" s="207"/>
      <c r="J214" s="207"/>
      <c r="K214" s="1"/>
      <c r="L214" s="1"/>
      <c r="M214" s="1"/>
      <c r="N214" s="1"/>
      <c r="O214" s="1"/>
      <c r="P214" s="1"/>
      <c r="Q214" s="1"/>
      <c r="R214" s="1"/>
    </row>
    <row r="215" spans="1:18" s="4" customFormat="1" x14ac:dyDescent="0.35">
      <c r="A215" s="2"/>
      <c r="B215" s="136"/>
      <c r="G215" s="40"/>
      <c r="H215" s="1"/>
      <c r="I215" s="207"/>
      <c r="J215" s="207"/>
      <c r="K215" s="1"/>
      <c r="L215" s="1"/>
      <c r="M215" s="1"/>
      <c r="N215" s="1"/>
      <c r="O215" s="1"/>
      <c r="P215" s="1"/>
      <c r="Q215" s="1"/>
      <c r="R215" s="1"/>
    </row>
    <row r="216" spans="1:18" s="4" customFormat="1" x14ac:dyDescent="0.35">
      <c r="A216" s="2"/>
      <c r="B216" s="136"/>
      <c r="G216" s="40"/>
      <c r="H216" s="1"/>
      <c r="I216" s="207"/>
      <c r="J216" s="207"/>
      <c r="K216" s="1"/>
      <c r="L216" s="1"/>
      <c r="M216" s="1"/>
      <c r="N216" s="1"/>
      <c r="O216" s="1"/>
      <c r="P216" s="1"/>
      <c r="Q216" s="1"/>
      <c r="R216" s="1"/>
    </row>
    <row r="217" spans="1:18" s="4" customFormat="1" x14ac:dyDescent="0.35">
      <c r="A217" s="2"/>
      <c r="B217" s="136"/>
      <c r="G217" s="40"/>
      <c r="H217" s="1"/>
      <c r="I217" s="207"/>
      <c r="J217" s="207"/>
      <c r="K217" s="1"/>
      <c r="L217" s="1"/>
      <c r="M217" s="1"/>
      <c r="N217" s="1"/>
      <c r="O217" s="1"/>
      <c r="P217" s="1"/>
      <c r="Q217" s="1"/>
      <c r="R217" s="1"/>
    </row>
    <row r="218" spans="1:18" s="4" customFormat="1" x14ac:dyDescent="0.35">
      <c r="A218" s="2"/>
      <c r="B218" s="136"/>
      <c r="G218" s="40"/>
      <c r="H218" s="1"/>
      <c r="I218" s="207"/>
      <c r="J218" s="207"/>
      <c r="K218" s="1"/>
      <c r="L218" s="1"/>
      <c r="M218" s="1"/>
      <c r="N218" s="1"/>
      <c r="O218" s="1"/>
      <c r="P218" s="1"/>
      <c r="Q218" s="1"/>
      <c r="R218" s="1"/>
    </row>
    <row r="219" spans="1:18" s="4" customFormat="1" x14ac:dyDescent="0.35">
      <c r="A219" s="2"/>
      <c r="B219" s="136"/>
      <c r="G219" s="40"/>
      <c r="H219" s="1"/>
      <c r="I219" s="207"/>
      <c r="J219" s="207"/>
      <c r="K219" s="1"/>
      <c r="L219" s="1"/>
      <c r="M219" s="1"/>
      <c r="N219" s="1"/>
      <c r="O219" s="1"/>
      <c r="P219" s="1"/>
      <c r="Q219" s="1"/>
      <c r="R219" s="1"/>
    </row>
    <row r="220" spans="1:18" s="4" customFormat="1" x14ac:dyDescent="0.35">
      <c r="A220" s="2"/>
      <c r="B220" s="136"/>
      <c r="G220" s="40"/>
      <c r="H220" s="1"/>
      <c r="I220" s="207"/>
      <c r="J220" s="207"/>
      <c r="K220" s="1"/>
      <c r="L220" s="1"/>
      <c r="M220" s="1"/>
      <c r="N220" s="1"/>
      <c r="O220" s="1"/>
      <c r="P220" s="1"/>
      <c r="Q220" s="1"/>
      <c r="R220" s="1"/>
    </row>
  </sheetData>
  <autoFilter ref="A4:R49" xr:uid="{F2C69B31-18FB-49EB-B68F-D12C00F3E898}">
    <sortState xmlns:xlrd2="http://schemas.microsoft.com/office/spreadsheetml/2017/richdata2" ref="A5:R49">
      <sortCondition ref="C4:C49"/>
    </sortState>
  </autoFilter>
  <mergeCells count="1">
    <mergeCell ref="B2:L3"/>
  </mergeCells>
  <phoneticPr fontId="45" type="noConversion"/>
  <conditionalFormatting sqref="K5:K5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2677-F22D-47A7-A701-9A5BCE71C9B7}">
  <sheetPr filterMode="1"/>
  <dimension ref="A1:O319"/>
  <sheetViews>
    <sheetView zoomScaleNormal="100" workbookViewId="0">
      <pane ySplit="4" topLeftCell="A5" activePane="bottomLeft" state="frozen"/>
      <selection pane="bottomLeft" activeCell="L151" sqref="L151"/>
    </sheetView>
  </sheetViews>
  <sheetFormatPr defaultRowHeight="15.5" x14ac:dyDescent="0.35"/>
  <cols>
    <col min="2" max="2" width="11.453125" style="41" bestFit="1" customWidth="1"/>
    <col min="3" max="3" width="28.81640625" style="217" bestFit="1" customWidth="1"/>
    <col min="4" max="4" width="12.81640625" bestFit="1" customWidth="1"/>
    <col min="5" max="6" width="8.7265625" hidden="1" customWidth="1"/>
    <col min="7" max="8" width="9.1796875" style="232" customWidth="1"/>
    <col min="9" max="9" width="8.7265625" customWidth="1"/>
    <col min="10" max="11" width="9.1796875" customWidth="1"/>
    <col min="12" max="12" width="13.26953125" customWidth="1"/>
    <col min="14" max="14" width="11.54296875" customWidth="1"/>
    <col min="15" max="15" width="12.453125" customWidth="1"/>
  </cols>
  <sheetData>
    <row r="1" spans="1:15" x14ac:dyDescent="0.35">
      <c r="B1" s="40"/>
      <c r="C1" s="201"/>
      <c r="D1" s="4"/>
      <c r="E1" s="4"/>
      <c r="F1" s="4"/>
      <c r="G1" s="229"/>
      <c r="H1" s="229"/>
      <c r="I1" s="1"/>
      <c r="J1" s="1"/>
      <c r="K1" s="1"/>
      <c r="L1" s="1"/>
      <c r="M1" s="1"/>
      <c r="N1" s="1"/>
      <c r="O1" s="1"/>
    </row>
    <row r="2" spans="1:15" ht="23.5" customHeight="1" x14ac:dyDescent="0.35">
      <c r="A2" s="403" t="s">
        <v>121</v>
      </c>
      <c r="B2" s="403"/>
      <c r="C2" s="403"/>
      <c r="D2" s="403"/>
      <c r="E2" s="403"/>
      <c r="F2" s="403"/>
      <c r="G2" s="404"/>
      <c r="H2" s="404"/>
      <c r="I2" s="403"/>
      <c r="J2" s="403"/>
      <c r="K2" s="403"/>
      <c r="L2" s="403"/>
      <c r="M2" s="403"/>
      <c r="N2" s="405"/>
      <c r="O2" s="218"/>
    </row>
    <row r="3" spans="1:15" ht="23.5" customHeight="1" x14ac:dyDescent="0.35">
      <c r="A3" s="406"/>
      <c r="B3" s="406"/>
      <c r="C3" s="406"/>
      <c r="D3" s="406"/>
      <c r="E3" s="406"/>
      <c r="F3" s="406"/>
      <c r="G3" s="407"/>
      <c r="H3" s="407"/>
      <c r="I3" s="406"/>
      <c r="J3" s="406"/>
      <c r="K3" s="406"/>
      <c r="L3" s="406"/>
      <c r="M3" s="406"/>
      <c r="N3" s="408"/>
      <c r="O3" s="218"/>
    </row>
    <row r="4" spans="1:15" ht="29" x14ac:dyDescent="0.35">
      <c r="A4" s="210" t="s">
        <v>122</v>
      </c>
      <c r="B4" s="210" t="s">
        <v>2</v>
      </c>
      <c r="C4" s="211" t="s">
        <v>3</v>
      </c>
      <c r="D4" s="211" t="s">
        <v>4</v>
      </c>
      <c r="E4" s="210" t="s">
        <v>5</v>
      </c>
      <c r="F4" s="210" t="s">
        <v>6</v>
      </c>
      <c r="G4" s="230" t="s">
        <v>64</v>
      </c>
      <c r="H4" s="230" t="s">
        <v>123</v>
      </c>
      <c r="I4" s="210" t="s">
        <v>8</v>
      </c>
      <c r="J4" s="210" t="s">
        <v>63</v>
      </c>
      <c r="K4" s="210" t="s">
        <v>10</v>
      </c>
      <c r="L4" s="212" t="s">
        <v>11</v>
      </c>
      <c r="M4" s="213" t="s">
        <v>4</v>
      </c>
      <c r="N4" s="213" t="s">
        <v>12</v>
      </c>
      <c r="O4" s="235" t="s">
        <v>124</v>
      </c>
    </row>
    <row r="5" spans="1:15" hidden="1" x14ac:dyDescent="0.35">
      <c r="A5" s="204" t="s">
        <v>125</v>
      </c>
      <c r="B5" s="195">
        <v>4137319</v>
      </c>
      <c r="C5" s="198" t="s">
        <v>126</v>
      </c>
      <c r="D5" s="194" t="s">
        <v>127</v>
      </c>
      <c r="E5" s="134"/>
      <c r="F5" s="140"/>
      <c r="G5" s="215">
        <v>2</v>
      </c>
      <c r="H5" s="215"/>
      <c r="I5" s="197"/>
      <c r="J5" s="7">
        <f t="shared" ref="J5" si="0">SUM(E5:I5)</f>
        <v>2</v>
      </c>
      <c r="K5" s="7">
        <f t="shared" ref="K5" si="1">J5*M5</f>
        <v>40</v>
      </c>
      <c r="L5" s="199">
        <v>45275</v>
      </c>
      <c r="M5" s="137">
        <v>20</v>
      </c>
      <c r="N5" s="216" t="s">
        <v>128</v>
      </c>
      <c r="O5" s="216"/>
    </row>
    <row r="6" spans="1:15" x14ac:dyDescent="0.35">
      <c r="A6" s="204" t="s">
        <v>129</v>
      </c>
      <c r="B6" s="195">
        <v>4101765</v>
      </c>
      <c r="C6" s="198" t="s">
        <v>130</v>
      </c>
      <c r="D6" s="194" t="s">
        <v>131</v>
      </c>
      <c r="E6" s="134"/>
      <c r="F6" s="140"/>
      <c r="G6" s="215">
        <v>152</v>
      </c>
      <c r="H6" s="215"/>
      <c r="I6" s="197"/>
      <c r="J6" s="7">
        <f t="shared" ref="J6:J37" si="2">SUM(E6:I6)</f>
        <v>152</v>
      </c>
      <c r="K6" s="7">
        <f t="shared" ref="K6:K37" si="3">J6*M6</f>
        <v>152</v>
      </c>
      <c r="L6" s="199">
        <v>45368</v>
      </c>
      <c r="M6" s="141">
        <v>1</v>
      </c>
      <c r="N6" s="216" t="s">
        <v>128</v>
      </c>
      <c r="O6" s="216"/>
    </row>
    <row r="7" spans="1:15" x14ac:dyDescent="0.35">
      <c r="A7" s="204" t="s">
        <v>129</v>
      </c>
      <c r="B7" s="195">
        <v>351343</v>
      </c>
      <c r="C7" s="198" t="s">
        <v>132</v>
      </c>
      <c r="D7" s="194" t="s">
        <v>131</v>
      </c>
      <c r="E7" s="134"/>
      <c r="F7" s="140"/>
      <c r="G7" s="214">
        <v>9</v>
      </c>
      <c r="H7" s="214"/>
      <c r="I7" s="197"/>
      <c r="J7" s="7">
        <f t="shared" si="2"/>
        <v>9</v>
      </c>
      <c r="K7" s="7">
        <f t="shared" si="3"/>
        <v>9</v>
      </c>
      <c r="L7" s="199">
        <v>45465</v>
      </c>
      <c r="M7" s="141">
        <v>1</v>
      </c>
      <c r="N7" s="228" t="s">
        <v>128</v>
      </c>
      <c r="O7" s="228"/>
    </row>
    <row r="8" spans="1:15" hidden="1" x14ac:dyDescent="0.35">
      <c r="A8" s="204" t="s">
        <v>129</v>
      </c>
      <c r="B8" s="195">
        <v>4188392</v>
      </c>
      <c r="C8" s="198" t="s">
        <v>133</v>
      </c>
      <c r="D8" s="194" t="s">
        <v>134</v>
      </c>
      <c r="E8" s="134"/>
      <c r="F8" s="140"/>
      <c r="G8" s="214">
        <v>0</v>
      </c>
      <c r="H8" s="214"/>
      <c r="I8" s="197"/>
      <c r="J8" s="7">
        <f t="shared" si="2"/>
        <v>0</v>
      </c>
      <c r="K8" s="7">
        <f t="shared" si="3"/>
        <v>0</v>
      </c>
      <c r="L8" s="199"/>
      <c r="M8" s="141">
        <v>1</v>
      </c>
      <c r="N8" s="141"/>
      <c r="O8" s="233"/>
    </row>
    <row r="9" spans="1:15" hidden="1" x14ac:dyDescent="0.35">
      <c r="A9" s="204" t="s">
        <v>125</v>
      </c>
      <c r="B9" s="195">
        <v>4144176</v>
      </c>
      <c r="C9" s="198" t="s">
        <v>135</v>
      </c>
      <c r="D9" s="194" t="s">
        <v>136</v>
      </c>
      <c r="E9" s="134"/>
      <c r="F9" s="140"/>
      <c r="G9" s="215">
        <v>174</v>
      </c>
      <c r="H9" s="215"/>
      <c r="I9" s="197">
        <v>96</v>
      </c>
      <c r="J9" s="7">
        <f t="shared" si="2"/>
        <v>270</v>
      </c>
      <c r="K9" s="7">
        <f t="shared" si="3"/>
        <v>2700</v>
      </c>
      <c r="L9" s="199">
        <v>46491</v>
      </c>
      <c r="M9" s="137">
        <v>10</v>
      </c>
      <c r="N9" s="216" t="s">
        <v>128</v>
      </c>
      <c r="O9" s="216"/>
    </row>
    <row r="10" spans="1:15" x14ac:dyDescent="0.35">
      <c r="A10" s="204" t="s">
        <v>129</v>
      </c>
      <c r="B10" s="195">
        <v>4135822</v>
      </c>
      <c r="C10" s="198" t="s">
        <v>137</v>
      </c>
      <c r="D10" s="194" t="s">
        <v>138</v>
      </c>
      <c r="E10" s="134"/>
      <c r="F10" s="140"/>
      <c r="G10" s="215">
        <v>311</v>
      </c>
      <c r="H10" s="215"/>
      <c r="I10" s="197"/>
      <c r="J10" s="7">
        <f t="shared" si="2"/>
        <v>311</v>
      </c>
      <c r="K10" s="7">
        <f t="shared" si="3"/>
        <v>31.1</v>
      </c>
      <c r="L10" s="199">
        <v>45607</v>
      </c>
      <c r="M10" s="137">
        <f>100/1000</f>
        <v>0.1</v>
      </c>
      <c r="N10" s="216" t="s">
        <v>128</v>
      </c>
      <c r="O10" s="216"/>
    </row>
    <row r="11" spans="1:15" x14ac:dyDescent="0.35">
      <c r="A11" s="204" t="s">
        <v>129</v>
      </c>
      <c r="B11" s="195">
        <v>4144722</v>
      </c>
      <c r="C11" s="198" t="s">
        <v>139</v>
      </c>
      <c r="D11" s="194" t="s">
        <v>138</v>
      </c>
      <c r="E11" s="134"/>
      <c r="F11" s="140"/>
      <c r="G11" s="215">
        <v>70</v>
      </c>
      <c r="H11" s="215"/>
      <c r="I11" s="197"/>
      <c r="J11" s="7">
        <f t="shared" si="2"/>
        <v>70</v>
      </c>
      <c r="K11" s="7">
        <f t="shared" si="3"/>
        <v>7</v>
      </c>
      <c r="L11" s="199">
        <v>45641</v>
      </c>
      <c r="M11" s="137">
        <f>100/1000</f>
        <v>0.1</v>
      </c>
      <c r="N11" s="216" t="s">
        <v>128</v>
      </c>
      <c r="O11" s="216"/>
    </row>
    <row r="12" spans="1:15" x14ac:dyDescent="0.35">
      <c r="A12" s="204" t="s">
        <v>129</v>
      </c>
      <c r="B12" s="195">
        <v>4144723</v>
      </c>
      <c r="C12" s="198" t="s">
        <v>139</v>
      </c>
      <c r="D12" s="194" t="s">
        <v>140</v>
      </c>
      <c r="E12" s="134"/>
      <c r="F12" s="140"/>
      <c r="G12" s="215">
        <v>99</v>
      </c>
      <c r="H12" s="215"/>
      <c r="I12" s="197"/>
      <c r="J12" s="7">
        <f t="shared" si="2"/>
        <v>99</v>
      </c>
      <c r="K12" s="7">
        <f t="shared" si="3"/>
        <v>4.95</v>
      </c>
      <c r="L12" s="199">
        <v>45641</v>
      </c>
      <c r="M12" s="141">
        <v>0.05</v>
      </c>
      <c r="N12" s="216" t="s">
        <v>128</v>
      </c>
      <c r="O12" s="216"/>
    </row>
    <row r="13" spans="1:15" hidden="1" x14ac:dyDescent="0.35">
      <c r="A13" s="204" t="s">
        <v>129</v>
      </c>
      <c r="B13" s="195">
        <v>254868</v>
      </c>
      <c r="C13" s="198" t="s">
        <v>141</v>
      </c>
      <c r="D13" s="194" t="s">
        <v>138</v>
      </c>
      <c r="E13" s="134"/>
      <c r="F13" s="140"/>
      <c r="G13" s="214">
        <v>0</v>
      </c>
      <c r="H13" s="214"/>
      <c r="I13" s="197"/>
      <c r="J13" s="7">
        <f t="shared" si="2"/>
        <v>0</v>
      </c>
      <c r="K13" s="7">
        <f t="shared" si="3"/>
        <v>0</v>
      </c>
      <c r="L13" s="199"/>
      <c r="M13" s="137">
        <f>100/1000</f>
        <v>0.1</v>
      </c>
      <c r="N13" s="137"/>
      <c r="O13" s="2"/>
    </row>
    <row r="14" spans="1:15" hidden="1" x14ac:dyDescent="0.35">
      <c r="A14" s="204" t="s">
        <v>129</v>
      </c>
      <c r="B14" s="195">
        <v>254868</v>
      </c>
      <c r="C14" s="198" t="s">
        <v>141</v>
      </c>
      <c r="D14" s="194" t="s">
        <v>138</v>
      </c>
      <c r="E14" s="134"/>
      <c r="F14" s="140"/>
      <c r="G14" s="214">
        <v>0</v>
      </c>
      <c r="H14" s="214"/>
      <c r="I14" s="197"/>
      <c r="J14" s="7">
        <f t="shared" si="2"/>
        <v>0</v>
      </c>
      <c r="K14" s="7">
        <f t="shared" si="3"/>
        <v>0</v>
      </c>
      <c r="L14" s="199"/>
      <c r="M14" s="137">
        <f>100/1000</f>
        <v>0.1</v>
      </c>
      <c r="N14" s="137"/>
      <c r="O14" s="2"/>
    </row>
    <row r="15" spans="1:15" x14ac:dyDescent="0.35">
      <c r="A15" s="204" t="s">
        <v>129</v>
      </c>
      <c r="B15" s="195">
        <v>4170977</v>
      </c>
      <c r="C15" s="198" t="s">
        <v>142</v>
      </c>
      <c r="D15" s="194" t="s">
        <v>138</v>
      </c>
      <c r="E15" s="134"/>
      <c r="F15" s="140"/>
      <c r="G15" s="215">
        <v>305</v>
      </c>
      <c r="H15" s="215"/>
      <c r="I15" s="197"/>
      <c r="J15" s="7">
        <f t="shared" si="2"/>
        <v>305</v>
      </c>
      <c r="K15" s="7">
        <f t="shared" si="3"/>
        <v>30.5</v>
      </c>
      <c r="L15" s="199">
        <v>45709</v>
      </c>
      <c r="M15" s="137">
        <f>100/1000</f>
        <v>0.1</v>
      </c>
      <c r="N15" s="216" t="s">
        <v>128</v>
      </c>
      <c r="O15" s="216"/>
    </row>
    <row r="16" spans="1:15" hidden="1" x14ac:dyDescent="0.35">
      <c r="A16" s="204" t="s">
        <v>129</v>
      </c>
      <c r="B16" s="195">
        <v>4073385</v>
      </c>
      <c r="C16" s="198" t="s">
        <v>143</v>
      </c>
      <c r="D16" s="194" t="s">
        <v>138</v>
      </c>
      <c r="E16" s="134"/>
      <c r="F16" s="140"/>
      <c r="G16" s="214">
        <v>0</v>
      </c>
      <c r="H16" s="214"/>
      <c r="I16" s="197"/>
      <c r="J16" s="7">
        <f t="shared" si="2"/>
        <v>0</v>
      </c>
      <c r="K16" s="7">
        <f t="shared" si="3"/>
        <v>0</v>
      </c>
      <c r="L16" s="199"/>
      <c r="M16" s="137">
        <f>100/1000</f>
        <v>0.1</v>
      </c>
      <c r="N16" s="137"/>
      <c r="O16" s="2"/>
    </row>
    <row r="17" spans="1:15" hidden="1" x14ac:dyDescent="0.35">
      <c r="A17" s="204" t="s">
        <v>129</v>
      </c>
      <c r="B17" s="195">
        <v>4073385</v>
      </c>
      <c r="C17" s="198" t="s">
        <v>143</v>
      </c>
      <c r="D17" s="194" t="s">
        <v>138</v>
      </c>
      <c r="E17" s="134"/>
      <c r="F17" s="140"/>
      <c r="G17" s="214">
        <v>0</v>
      </c>
      <c r="H17" s="214"/>
      <c r="I17" s="197"/>
      <c r="J17" s="7">
        <f t="shared" si="2"/>
        <v>0</v>
      </c>
      <c r="K17" s="7">
        <f t="shared" si="3"/>
        <v>0</v>
      </c>
      <c r="L17" s="199"/>
      <c r="M17" s="137">
        <f>100/1000</f>
        <v>0.1</v>
      </c>
      <c r="N17" s="137"/>
      <c r="O17" s="2"/>
    </row>
    <row r="18" spans="1:15" hidden="1" x14ac:dyDescent="0.35">
      <c r="A18" s="204" t="s">
        <v>125</v>
      </c>
      <c r="B18" s="195">
        <v>4181094</v>
      </c>
      <c r="C18" s="198" t="s">
        <v>144</v>
      </c>
      <c r="D18" s="194" t="s">
        <v>145</v>
      </c>
      <c r="E18" s="134"/>
      <c r="F18" s="140"/>
      <c r="G18" s="215">
        <v>42</v>
      </c>
      <c r="H18" s="215"/>
      <c r="I18" s="197"/>
      <c r="J18" s="7">
        <f t="shared" si="2"/>
        <v>42</v>
      </c>
      <c r="K18" s="7">
        <f t="shared" si="3"/>
        <v>1260</v>
      </c>
      <c r="L18" s="199">
        <v>45716</v>
      </c>
      <c r="M18" s="137">
        <v>30</v>
      </c>
      <c r="N18" s="137" t="s">
        <v>128</v>
      </c>
      <c r="O18" s="137"/>
    </row>
    <row r="19" spans="1:15" x14ac:dyDescent="0.35">
      <c r="A19" s="204" t="s">
        <v>129</v>
      </c>
      <c r="B19" s="195">
        <v>4132141</v>
      </c>
      <c r="C19" s="198" t="s">
        <v>146</v>
      </c>
      <c r="D19" s="194" t="s">
        <v>131</v>
      </c>
      <c r="E19" s="134"/>
      <c r="F19" s="140"/>
      <c r="G19" s="214">
        <v>366</v>
      </c>
      <c r="H19" s="214"/>
      <c r="I19" s="197"/>
      <c r="J19" s="7">
        <f t="shared" si="2"/>
        <v>366</v>
      </c>
      <c r="K19" s="7">
        <f t="shared" si="3"/>
        <v>366</v>
      </c>
      <c r="L19" s="199">
        <v>45744</v>
      </c>
      <c r="M19" s="141">
        <v>1</v>
      </c>
      <c r="N19" s="141" t="s">
        <v>128</v>
      </c>
      <c r="O19" s="141"/>
    </row>
    <row r="20" spans="1:15" hidden="1" x14ac:dyDescent="0.35">
      <c r="A20" s="204" t="s">
        <v>125</v>
      </c>
      <c r="B20" s="195">
        <v>4220685</v>
      </c>
      <c r="C20" s="198" t="s">
        <v>135</v>
      </c>
      <c r="D20" s="194" t="s">
        <v>147</v>
      </c>
      <c r="E20" s="134"/>
      <c r="F20" s="140"/>
      <c r="G20" s="214">
        <v>0</v>
      </c>
      <c r="H20" s="214"/>
      <c r="I20" s="197"/>
      <c r="J20" s="7">
        <f t="shared" si="2"/>
        <v>0</v>
      </c>
      <c r="K20" s="7">
        <f t="shared" si="3"/>
        <v>0</v>
      </c>
      <c r="L20" s="199">
        <v>46182</v>
      </c>
      <c r="M20" s="137">
        <v>10</v>
      </c>
      <c r="N20" s="137"/>
      <c r="O20" s="2"/>
    </row>
    <row r="21" spans="1:15" hidden="1" x14ac:dyDescent="0.35">
      <c r="A21" s="204" t="s">
        <v>125</v>
      </c>
      <c r="B21" s="195">
        <v>4144176</v>
      </c>
      <c r="C21" s="198" t="s">
        <v>135</v>
      </c>
      <c r="D21" s="194" t="s">
        <v>136</v>
      </c>
      <c r="E21" s="134"/>
      <c r="F21" s="140"/>
      <c r="G21" s="214">
        <v>0</v>
      </c>
      <c r="H21" s="214"/>
      <c r="I21" s="197"/>
      <c r="J21" s="7">
        <f t="shared" si="2"/>
        <v>0</v>
      </c>
      <c r="K21" s="7">
        <f t="shared" si="3"/>
        <v>0</v>
      </c>
      <c r="L21" s="199"/>
      <c r="M21" s="137">
        <v>10</v>
      </c>
      <c r="N21" s="137"/>
      <c r="O21" s="2"/>
    </row>
    <row r="22" spans="1:15" hidden="1" x14ac:dyDescent="0.35">
      <c r="A22" s="204" t="s">
        <v>125</v>
      </c>
      <c r="B22" s="195">
        <v>4144176</v>
      </c>
      <c r="C22" s="198" t="s">
        <v>135</v>
      </c>
      <c r="D22" s="194" t="s">
        <v>136</v>
      </c>
      <c r="E22" s="134"/>
      <c r="F22" s="140"/>
      <c r="G22" s="214">
        <v>0</v>
      </c>
      <c r="H22" s="214"/>
      <c r="I22" s="197"/>
      <c r="J22" s="7">
        <f t="shared" si="2"/>
        <v>0</v>
      </c>
      <c r="K22" s="7">
        <f t="shared" si="3"/>
        <v>0</v>
      </c>
      <c r="L22" s="199"/>
      <c r="M22" s="137">
        <v>10</v>
      </c>
      <c r="N22" s="137"/>
      <c r="O22" s="2"/>
    </row>
    <row r="23" spans="1:15" hidden="1" x14ac:dyDescent="0.35">
      <c r="A23" s="204" t="s">
        <v>125</v>
      </c>
      <c r="B23" s="195">
        <v>4144176</v>
      </c>
      <c r="C23" s="198" t="s">
        <v>135</v>
      </c>
      <c r="D23" s="194" t="s">
        <v>136</v>
      </c>
      <c r="E23" s="134"/>
      <c r="F23" s="140"/>
      <c r="G23" s="214">
        <v>0</v>
      </c>
      <c r="H23" s="214"/>
      <c r="I23" s="197"/>
      <c r="J23" s="7">
        <f t="shared" si="2"/>
        <v>0</v>
      </c>
      <c r="K23" s="7">
        <f t="shared" si="3"/>
        <v>0</v>
      </c>
      <c r="L23" s="199"/>
      <c r="M23" s="137">
        <v>10</v>
      </c>
      <c r="N23" s="137"/>
      <c r="O23" s="2"/>
    </row>
    <row r="24" spans="1:15" x14ac:dyDescent="0.35">
      <c r="A24" s="204" t="s">
        <v>129</v>
      </c>
      <c r="B24" s="195">
        <v>4118665</v>
      </c>
      <c r="C24" s="198" t="s">
        <v>148</v>
      </c>
      <c r="D24" s="194" t="s">
        <v>138</v>
      </c>
      <c r="E24" s="134"/>
      <c r="F24" s="140"/>
      <c r="G24" s="215">
        <v>97</v>
      </c>
      <c r="H24" s="215"/>
      <c r="I24" s="197"/>
      <c r="J24" s="7">
        <f t="shared" si="2"/>
        <v>97</v>
      </c>
      <c r="K24" s="7">
        <f t="shared" si="3"/>
        <v>9.7000000000000011</v>
      </c>
      <c r="L24" s="199">
        <v>45750</v>
      </c>
      <c r="M24" s="137">
        <f>100/1000</f>
        <v>0.1</v>
      </c>
      <c r="N24" s="137" t="s">
        <v>128</v>
      </c>
      <c r="O24" s="137"/>
    </row>
    <row r="25" spans="1:15" hidden="1" x14ac:dyDescent="0.35">
      <c r="A25" s="204" t="s">
        <v>129</v>
      </c>
      <c r="B25" s="195">
        <v>4011999</v>
      </c>
      <c r="C25" s="198" t="s">
        <v>149</v>
      </c>
      <c r="D25" s="194" t="s">
        <v>150</v>
      </c>
      <c r="E25" s="134"/>
      <c r="F25" s="140"/>
      <c r="G25" s="214">
        <v>0</v>
      </c>
      <c r="H25" s="214"/>
      <c r="I25" s="197">
        <v>18</v>
      </c>
      <c r="J25" s="7">
        <f t="shared" si="2"/>
        <v>18</v>
      </c>
      <c r="K25" s="7">
        <f t="shared" si="3"/>
        <v>1.8</v>
      </c>
      <c r="L25" s="199">
        <v>46498</v>
      </c>
      <c r="M25" s="137">
        <f>100/1000</f>
        <v>0.1</v>
      </c>
      <c r="N25" s="137"/>
      <c r="O25" s="2"/>
    </row>
    <row r="26" spans="1:15" hidden="1" x14ac:dyDescent="0.35">
      <c r="A26" s="204" t="s">
        <v>129</v>
      </c>
      <c r="B26" s="195">
        <v>4011999</v>
      </c>
      <c r="C26" s="198" t="s">
        <v>149</v>
      </c>
      <c r="D26" s="194" t="s">
        <v>150</v>
      </c>
      <c r="E26" s="134"/>
      <c r="F26" s="140"/>
      <c r="G26" s="214">
        <v>0</v>
      </c>
      <c r="H26" s="214"/>
      <c r="I26" s="197"/>
      <c r="J26" s="7">
        <f t="shared" si="2"/>
        <v>0</v>
      </c>
      <c r="K26" s="7">
        <f t="shared" si="3"/>
        <v>0</v>
      </c>
      <c r="L26" s="199"/>
      <c r="M26" s="137">
        <f>100/1000</f>
        <v>0.1</v>
      </c>
      <c r="N26" s="137"/>
      <c r="O26" s="2"/>
    </row>
    <row r="27" spans="1:15" hidden="1" x14ac:dyDescent="0.35">
      <c r="A27" s="204" t="s">
        <v>125</v>
      </c>
      <c r="B27" s="195">
        <v>4165682</v>
      </c>
      <c r="C27" s="198" t="s">
        <v>151</v>
      </c>
      <c r="D27" s="194" t="s">
        <v>152</v>
      </c>
      <c r="E27" s="134"/>
      <c r="F27" s="140"/>
      <c r="G27" s="214">
        <v>0</v>
      </c>
      <c r="H27" s="214"/>
      <c r="I27" s="197"/>
      <c r="J27" s="7">
        <f t="shared" si="2"/>
        <v>0</v>
      </c>
      <c r="K27" s="7">
        <f t="shared" si="3"/>
        <v>0</v>
      </c>
      <c r="L27" s="199"/>
      <c r="M27" s="137">
        <v>30</v>
      </c>
      <c r="N27" s="137"/>
      <c r="O27" s="2"/>
    </row>
    <row r="28" spans="1:15" hidden="1" x14ac:dyDescent="0.35">
      <c r="A28" s="204" t="s">
        <v>125</v>
      </c>
      <c r="B28" s="195">
        <v>4165679</v>
      </c>
      <c r="C28" s="198" t="s">
        <v>153</v>
      </c>
      <c r="D28" s="194" t="s">
        <v>152</v>
      </c>
      <c r="E28" s="134"/>
      <c r="F28" s="140"/>
      <c r="G28" s="214">
        <v>0</v>
      </c>
      <c r="H28" s="214"/>
      <c r="I28" s="197"/>
      <c r="J28" s="7">
        <f t="shared" si="2"/>
        <v>0</v>
      </c>
      <c r="K28" s="7">
        <f t="shared" si="3"/>
        <v>0</v>
      </c>
      <c r="L28" s="199"/>
      <c r="M28" s="137">
        <v>30</v>
      </c>
      <c r="N28" s="137"/>
      <c r="O28" s="2"/>
    </row>
    <row r="29" spans="1:15" hidden="1" x14ac:dyDescent="0.35">
      <c r="A29" s="204" t="s">
        <v>125</v>
      </c>
      <c r="B29" s="195">
        <v>4165682</v>
      </c>
      <c r="C29" s="198" t="s">
        <v>154</v>
      </c>
      <c r="D29" s="194" t="s">
        <v>145</v>
      </c>
      <c r="E29" s="134"/>
      <c r="F29" s="140"/>
      <c r="G29" s="215">
        <v>381</v>
      </c>
      <c r="H29" s="215"/>
      <c r="I29" s="197"/>
      <c r="J29" s="7">
        <f t="shared" si="2"/>
        <v>381</v>
      </c>
      <c r="K29" s="7">
        <f t="shared" si="3"/>
        <v>11430</v>
      </c>
      <c r="L29" s="199">
        <v>45751</v>
      </c>
      <c r="M29" s="141">
        <v>30</v>
      </c>
      <c r="N29" s="137" t="s">
        <v>128</v>
      </c>
      <c r="O29" s="137"/>
    </row>
    <row r="30" spans="1:15" hidden="1" x14ac:dyDescent="0.35">
      <c r="A30" s="204" t="s">
        <v>125</v>
      </c>
      <c r="B30" s="195">
        <v>4160722</v>
      </c>
      <c r="C30" s="198" t="s">
        <v>155</v>
      </c>
      <c r="D30" s="194" t="s">
        <v>156</v>
      </c>
      <c r="E30" s="134"/>
      <c r="F30" s="140"/>
      <c r="G30" s="215">
        <v>172</v>
      </c>
      <c r="H30" s="215"/>
      <c r="I30" s="197"/>
      <c r="J30" s="7">
        <f t="shared" si="2"/>
        <v>172</v>
      </c>
      <c r="K30" s="7">
        <f t="shared" si="3"/>
        <v>5160</v>
      </c>
      <c r="L30" s="199">
        <v>45770</v>
      </c>
      <c r="M30" s="137">
        <v>30</v>
      </c>
      <c r="N30" s="216" t="s">
        <v>128</v>
      </c>
      <c r="O30" s="216"/>
    </row>
    <row r="31" spans="1:15" x14ac:dyDescent="0.35">
      <c r="A31" s="204" t="s">
        <v>129</v>
      </c>
      <c r="B31" s="195">
        <v>4118665</v>
      </c>
      <c r="C31" s="198" t="s">
        <v>148</v>
      </c>
      <c r="D31" s="194" t="s">
        <v>138</v>
      </c>
      <c r="E31" s="134"/>
      <c r="F31" s="140"/>
      <c r="G31" s="215">
        <v>50</v>
      </c>
      <c r="H31" s="215"/>
      <c r="I31" s="197"/>
      <c r="J31" s="7">
        <f t="shared" si="2"/>
        <v>50</v>
      </c>
      <c r="K31" s="7">
        <f t="shared" si="3"/>
        <v>5</v>
      </c>
      <c r="L31" s="199">
        <v>45841</v>
      </c>
      <c r="M31" s="137">
        <f>100/1000</f>
        <v>0.1</v>
      </c>
      <c r="N31" s="137" t="s">
        <v>128</v>
      </c>
      <c r="O31" s="137"/>
    </row>
    <row r="32" spans="1:15" hidden="1" x14ac:dyDescent="0.35">
      <c r="A32" s="204" t="s">
        <v>125</v>
      </c>
      <c r="B32" s="195">
        <v>4165682</v>
      </c>
      <c r="C32" s="198" t="s">
        <v>154</v>
      </c>
      <c r="D32" s="194" t="s">
        <v>145</v>
      </c>
      <c r="E32" s="134"/>
      <c r="F32" s="140"/>
      <c r="G32" s="215">
        <v>26</v>
      </c>
      <c r="H32" s="215"/>
      <c r="I32" s="197"/>
      <c r="J32" s="7">
        <f t="shared" si="2"/>
        <v>26</v>
      </c>
      <c r="K32" s="7">
        <f t="shared" si="3"/>
        <v>780</v>
      </c>
      <c r="L32" s="199">
        <v>45972</v>
      </c>
      <c r="M32" s="141">
        <v>30</v>
      </c>
      <c r="N32" s="137" t="s">
        <v>128</v>
      </c>
      <c r="O32" s="137"/>
    </row>
    <row r="33" spans="1:15" x14ac:dyDescent="0.35">
      <c r="A33" s="204" t="s">
        <v>129</v>
      </c>
      <c r="B33" s="195">
        <v>254871</v>
      </c>
      <c r="C33" s="198" t="s">
        <v>157</v>
      </c>
      <c r="D33" s="194" t="s">
        <v>150</v>
      </c>
      <c r="E33" s="134"/>
      <c r="F33" s="140"/>
      <c r="G33" s="215">
        <v>143</v>
      </c>
      <c r="H33" s="215"/>
      <c r="I33" s="197"/>
      <c r="J33" s="7">
        <f t="shared" si="2"/>
        <v>143</v>
      </c>
      <c r="K33" s="7">
        <f t="shared" si="3"/>
        <v>14.3</v>
      </c>
      <c r="L33" s="199">
        <v>45972</v>
      </c>
      <c r="M33" s="137">
        <f>100/1000</f>
        <v>0.1</v>
      </c>
      <c r="N33" s="216" t="s">
        <v>128</v>
      </c>
      <c r="O33" s="216"/>
    </row>
    <row r="34" spans="1:15" x14ac:dyDescent="0.35">
      <c r="A34" s="204" t="s">
        <v>129</v>
      </c>
      <c r="B34" s="195">
        <v>4144723</v>
      </c>
      <c r="C34" s="198" t="s">
        <v>139</v>
      </c>
      <c r="D34" s="194" t="s">
        <v>140</v>
      </c>
      <c r="E34" s="134"/>
      <c r="F34" s="140"/>
      <c r="G34" s="215">
        <v>312</v>
      </c>
      <c r="H34" s="215"/>
      <c r="I34" s="197"/>
      <c r="J34" s="7">
        <f t="shared" si="2"/>
        <v>312</v>
      </c>
      <c r="K34" s="7">
        <f t="shared" si="3"/>
        <v>15.600000000000001</v>
      </c>
      <c r="L34" s="199">
        <v>46013</v>
      </c>
      <c r="M34" s="141">
        <v>0.05</v>
      </c>
      <c r="N34" s="216" t="s">
        <v>128</v>
      </c>
      <c r="O34" s="216"/>
    </row>
    <row r="35" spans="1:15" x14ac:dyDescent="0.35">
      <c r="A35" s="204" t="s">
        <v>129</v>
      </c>
      <c r="B35" s="195">
        <v>4144722</v>
      </c>
      <c r="C35" s="198" t="s">
        <v>139</v>
      </c>
      <c r="D35" s="194" t="s">
        <v>138</v>
      </c>
      <c r="E35" s="134"/>
      <c r="F35" s="140"/>
      <c r="G35" s="215">
        <v>117</v>
      </c>
      <c r="H35" s="215"/>
      <c r="I35" s="197"/>
      <c r="J35" s="7">
        <f t="shared" si="2"/>
        <v>117</v>
      </c>
      <c r="K35" s="7">
        <f t="shared" si="3"/>
        <v>11.700000000000001</v>
      </c>
      <c r="L35" s="199">
        <v>46013</v>
      </c>
      <c r="M35" s="137">
        <f>100/1000</f>
        <v>0.1</v>
      </c>
      <c r="N35" s="216" t="s">
        <v>128</v>
      </c>
      <c r="O35" s="216"/>
    </row>
    <row r="36" spans="1:15" hidden="1" x14ac:dyDescent="0.35">
      <c r="A36" s="204" t="s">
        <v>129</v>
      </c>
      <c r="B36" s="195">
        <v>4183285</v>
      </c>
      <c r="C36" s="198" t="s">
        <v>158</v>
      </c>
      <c r="D36" s="194" t="s">
        <v>138</v>
      </c>
      <c r="E36" s="134"/>
      <c r="F36" s="140"/>
      <c r="G36" s="214">
        <v>0</v>
      </c>
      <c r="H36" s="214"/>
      <c r="I36" s="197"/>
      <c r="J36" s="7">
        <f t="shared" si="2"/>
        <v>0</v>
      </c>
      <c r="K36" s="7">
        <f t="shared" si="3"/>
        <v>0</v>
      </c>
      <c r="L36" s="199"/>
      <c r="M36" s="137">
        <f>100/1000</f>
        <v>0.1</v>
      </c>
      <c r="N36" s="137"/>
      <c r="O36" s="2"/>
    </row>
    <row r="37" spans="1:15" x14ac:dyDescent="0.35">
      <c r="A37" s="204" t="s">
        <v>129</v>
      </c>
      <c r="B37" s="195">
        <v>254853</v>
      </c>
      <c r="C37" s="198" t="s">
        <v>159</v>
      </c>
      <c r="D37" s="194" t="s">
        <v>138</v>
      </c>
      <c r="E37" s="134"/>
      <c r="F37" s="140"/>
      <c r="G37" s="214">
        <v>1309</v>
      </c>
      <c r="H37" s="214"/>
      <c r="I37" s="197"/>
      <c r="J37" s="7">
        <f t="shared" si="2"/>
        <v>1309</v>
      </c>
      <c r="K37" s="7">
        <f t="shared" si="3"/>
        <v>130.9</v>
      </c>
      <c r="L37" s="199">
        <v>46028</v>
      </c>
      <c r="M37" s="137">
        <f>100/1000</f>
        <v>0.1</v>
      </c>
      <c r="N37" s="137" t="s">
        <v>160</v>
      </c>
      <c r="O37" s="137"/>
    </row>
    <row r="38" spans="1:15" hidden="1" x14ac:dyDescent="0.35">
      <c r="A38" s="204" t="s">
        <v>125</v>
      </c>
      <c r="B38" s="195">
        <v>4165679</v>
      </c>
      <c r="C38" s="198" t="s">
        <v>161</v>
      </c>
      <c r="D38" s="194" t="s">
        <v>145</v>
      </c>
      <c r="E38" s="134"/>
      <c r="F38" s="140"/>
      <c r="G38" s="214">
        <v>722</v>
      </c>
      <c r="H38" s="214"/>
      <c r="I38" s="197"/>
      <c r="J38" s="7">
        <f t="shared" ref="J38:J69" si="4">SUM(E38:I38)</f>
        <v>722</v>
      </c>
      <c r="K38" s="7">
        <f t="shared" ref="K38:K69" si="5">J38*M38</f>
        <v>21660</v>
      </c>
      <c r="L38" s="199">
        <v>46089</v>
      </c>
      <c r="M38" s="137">
        <v>30</v>
      </c>
      <c r="N38" s="137"/>
      <c r="O38" s="137"/>
    </row>
    <row r="39" spans="1:15" x14ac:dyDescent="0.35">
      <c r="A39" s="204" t="s">
        <v>129</v>
      </c>
      <c r="B39" s="195">
        <v>351343</v>
      </c>
      <c r="C39" s="198" t="s">
        <v>132</v>
      </c>
      <c r="D39" s="194" t="s">
        <v>131</v>
      </c>
      <c r="E39" s="134"/>
      <c r="F39" s="140"/>
      <c r="G39" s="214">
        <v>1207</v>
      </c>
      <c r="H39" s="214"/>
      <c r="I39" s="197"/>
      <c r="J39" s="7">
        <f t="shared" si="4"/>
        <v>1207</v>
      </c>
      <c r="K39" s="7">
        <f t="shared" si="5"/>
        <v>1207</v>
      </c>
      <c r="L39" s="199">
        <v>46109</v>
      </c>
      <c r="M39" s="141">
        <v>1</v>
      </c>
      <c r="N39" s="141"/>
      <c r="O39" s="141"/>
    </row>
    <row r="40" spans="1:15" hidden="1" x14ac:dyDescent="0.35">
      <c r="A40" s="204" t="s">
        <v>129</v>
      </c>
      <c r="B40" s="195">
        <v>254853</v>
      </c>
      <c r="C40" s="198" t="s">
        <v>159</v>
      </c>
      <c r="D40" s="194" t="s">
        <v>138</v>
      </c>
      <c r="E40" s="134"/>
      <c r="F40" s="140"/>
      <c r="G40" s="214">
        <v>0</v>
      </c>
      <c r="H40" s="214"/>
      <c r="I40" s="197"/>
      <c r="J40" s="7">
        <f t="shared" si="4"/>
        <v>0</v>
      </c>
      <c r="K40" s="7">
        <f t="shared" si="5"/>
        <v>0</v>
      </c>
      <c r="L40" s="199"/>
      <c r="M40" s="137">
        <f>100/1000</f>
        <v>0.1</v>
      </c>
      <c r="N40" s="137"/>
      <c r="O40" s="2"/>
    </row>
    <row r="41" spans="1:15" hidden="1" x14ac:dyDescent="0.35">
      <c r="A41" s="204" t="s">
        <v>125</v>
      </c>
      <c r="B41" s="195">
        <v>4165668</v>
      </c>
      <c r="C41" s="198" t="s">
        <v>162</v>
      </c>
      <c r="D41" s="194" t="s">
        <v>145</v>
      </c>
      <c r="E41" s="134"/>
      <c r="F41" s="140"/>
      <c r="G41" s="214">
        <v>69</v>
      </c>
      <c r="H41" s="214"/>
      <c r="I41" s="197"/>
      <c r="J41" s="7">
        <f t="shared" si="4"/>
        <v>69</v>
      </c>
      <c r="K41" s="7">
        <f t="shared" si="5"/>
        <v>2070</v>
      </c>
      <c r="L41" s="199">
        <v>46147</v>
      </c>
      <c r="M41" s="137">
        <v>30</v>
      </c>
      <c r="N41" s="137"/>
      <c r="O41" s="137"/>
    </row>
    <row r="42" spans="1:15" hidden="1" x14ac:dyDescent="0.35">
      <c r="A42" s="204" t="s">
        <v>125</v>
      </c>
      <c r="B42" s="195">
        <v>4181094</v>
      </c>
      <c r="C42" s="198" t="s">
        <v>144</v>
      </c>
      <c r="D42" s="194" t="s">
        <v>145</v>
      </c>
      <c r="E42" s="134"/>
      <c r="F42" s="140"/>
      <c r="G42" s="214">
        <v>213</v>
      </c>
      <c r="H42" s="214"/>
      <c r="I42" s="197"/>
      <c r="J42" s="7">
        <f t="shared" si="4"/>
        <v>213</v>
      </c>
      <c r="K42" s="7">
        <f t="shared" si="5"/>
        <v>6390</v>
      </c>
      <c r="L42" s="199">
        <v>46157</v>
      </c>
      <c r="M42" s="137">
        <v>30</v>
      </c>
      <c r="N42" s="137"/>
      <c r="O42" s="137"/>
    </row>
    <row r="43" spans="1:15" hidden="1" x14ac:dyDescent="0.35">
      <c r="A43" s="204" t="s">
        <v>125</v>
      </c>
      <c r="B43" s="195">
        <v>4199029</v>
      </c>
      <c r="C43" s="198" t="s">
        <v>163</v>
      </c>
      <c r="D43" s="194" t="s">
        <v>145</v>
      </c>
      <c r="E43" s="134"/>
      <c r="F43" s="140"/>
      <c r="G43" s="214">
        <v>8</v>
      </c>
      <c r="H43" s="214"/>
      <c r="I43" s="197">
        <v>67</v>
      </c>
      <c r="J43" s="7">
        <f t="shared" si="4"/>
        <v>75</v>
      </c>
      <c r="K43" s="7">
        <f t="shared" si="5"/>
        <v>2250</v>
      </c>
      <c r="L43" s="199">
        <v>46526</v>
      </c>
      <c r="M43" s="137">
        <v>30</v>
      </c>
      <c r="N43" s="137"/>
      <c r="O43" s="137"/>
    </row>
    <row r="44" spans="1:15" x14ac:dyDescent="0.35">
      <c r="A44" s="204" t="s">
        <v>129</v>
      </c>
      <c r="B44" s="195">
        <v>4096679</v>
      </c>
      <c r="C44" s="198" t="s">
        <v>164</v>
      </c>
      <c r="D44" s="194" t="s">
        <v>165</v>
      </c>
      <c r="E44" s="134"/>
      <c r="F44" s="140"/>
      <c r="G44" s="214">
        <v>2771</v>
      </c>
      <c r="H44" s="214"/>
      <c r="I44" s="197"/>
      <c r="J44" s="7">
        <f t="shared" si="4"/>
        <v>2771</v>
      </c>
      <c r="K44" s="7">
        <f t="shared" si="5"/>
        <v>277.10000000000002</v>
      </c>
      <c r="L44" s="199">
        <v>46235</v>
      </c>
      <c r="M44" s="137">
        <f>100/1000</f>
        <v>0.1</v>
      </c>
      <c r="N44" s="137" t="s">
        <v>160</v>
      </c>
      <c r="O44" s="137"/>
    </row>
    <row r="45" spans="1:15" x14ac:dyDescent="0.35">
      <c r="A45" s="204" t="s">
        <v>129</v>
      </c>
      <c r="B45" s="195">
        <v>4172709</v>
      </c>
      <c r="C45" s="198" t="s">
        <v>166</v>
      </c>
      <c r="D45" s="194" t="s">
        <v>138</v>
      </c>
      <c r="E45" s="134"/>
      <c r="F45" s="140"/>
      <c r="G45" s="214">
        <v>647</v>
      </c>
      <c r="H45" s="214"/>
      <c r="I45" s="197"/>
      <c r="J45" s="7">
        <f t="shared" si="4"/>
        <v>647</v>
      </c>
      <c r="K45" s="7">
        <f t="shared" si="5"/>
        <v>64.7</v>
      </c>
      <c r="L45" s="199">
        <v>46284</v>
      </c>
      <c r="M45" s="137">
        <f>100/1000</f>
        <v>0.1</v>
      </c>
      <c r="N45" s="137"/>
      <c r="O45" s="137"/>
    </row>
    <row r="46" spans="1:15" x14ac:dyDescent="0.35">
      <c r="A46" s="204" t="s">
        <v>129</v>
      </c>
      <c r="B46" s="195">
        <v>4038537</v>
      </c>
      <c r="C46" s="198" t="s">
        <v>167</v>
      </c>
      <c r="D46" s="194" t="s">
        <v>131</v>
      </c>
      <c r="E46" s="134"/>
      <c r="F46" s="140"/>
      <c r="G46" s="214">
        <v>294</v>
      </c>
      <c r="H46" s="214"/>
      <c r="I46" s="197"/>
      <c r="J46" s="7">
        <f t="shared" si="4"/>
        <v>294</v>
      </c>
      <c r="K46" s="7">
        <f t="shared" si="5"/>
        <v>294</v>
      </c>
      <c r="L46" s="199">
        <v>46289</v>
      </c>
      <c r="M46" s="141">
        <v>1</v>
      </c>
      <c r="N46" s="141"/>
      <c r="O46" s="141"/>
    </row>
    <row r="47" spans="1:15" x14ac:dyDescent="0.35">
      <c r="A47" s="204" t="s">
        <v>129</v>
      </c>
      <c r="B47" s="195">
        <v>4118665</v>
      </c>
      <c r="C47" s="198" t="s">
        <v>148</v>
      </c>
      <c r="D47" s="194" t="s">
        <v>138</v>
      </c>
      <c r="E47" s="134"/>
      <c r="F47" s="140"/>
      <c r="G47" s="214">
        <v>60</v>
      </c>
      <c r="H47" s="214"/>
      <c r="I47" s="197"/>
      <c r="J47" s="7">
        <f t="shared" si="4"/>
        <v>60</v>
      </c>
      <c r="K47" s="7">
        <f t="shared" si="5"/>
        <v>6</v>
      </c>
      <c r="L47" s="199">
        <v>46306</v>
      </c>
      <c r="M47" s="137">
        <f>100/1000</f>
        <v>0.1</v>
      </c>
      <c r="N47" s="137"/>
      <c r="O47" s="137"/>
    </row>
    <row r="48" spans="1:15" hidden="1" x14ac:dyDescent="0.35">
      <c r="A48" s="204" t="s">
        <v>129</v>
      </c>
      <c r="B48" s="195">
        <v>4012839</v>
      </c>
      <c r="C48" s="198" t="s">
        <v>168</v>
      </c>
      <c r="D48" s="194" t="s">
        <v>138</v>
      </c>
      <c r="E48" s="134"/>
      <c r="F48" s="140"/>
      <c r="G48" s="231">
        <v>0</v>
      </c>
      <c r="H48" s="231"/>
      <c r="I48" s="197"/>
      <c r="J48" s="7">
        <f t="shared" si="4"/>
        <v>0</v>
      </c>
      <c r="K48" s="7">
        <f t="shared" si="5"/>
        <v>0</v>
      </c>
      <c r="L48" s="199"/>
      <c r="M48" s="137">
        <f>100/1000</f>
        <v>0.1</v>
      </c>
      <c r="N48" s="137"/>
      <c r="O48" s="2"/>
    </row>
    <row r="49" spans="1:15" x14ac:dyDescent="0.35">
      <c r="A49" s="204" t="s">
        <v>129</v>
      </c>
      <c r="B49" s="195">
        <v>4132139</v>
      </c>
      <c r="C49" s="198" t="s">
        <v>169</v>
      </c>
      <c r="D49" s="194" t="s">
        <v>138</v>
      </c>
      <c r="E49" s="134"/>
      <c r="F49" s="140"/>
      <c r="G49" s="214">
        <v>557</v>
      </c>
      <c r="H49" s="214"/>
      <c r="I49" s="197"/>
      <c r="J49" s="7">
        <f t="shared" si="4"/>
        <v>557</v>
      </c>
      <c r="K49" s="7">
        <f t="shared" si="5"/>
        <v>55.7</v>
      </c>
      <c r="L49" s="199">
        <v>46309</v>
      </c>
      <c r="M49" s="137">
        <f>100/1000</f>
        <v>0.1</v>
      </c>
      <c r="N49" s="137"/>
      <c r="O49" s="137"/>
    </row>
    <row r="50" spans="1:15" x14ac:dyDescent="0.35">
      <c r="A50" s="204" t="s">
        <v>129</v>
      </c>
      <c r="B50" s="195">
        <v>4158231</v>
      </c>
      <c r="C50" s="198" t="s">
        <v>170</v>
      </c>
      <c r="D50" s="194" t="s">
        <v>140</v>
      </c>
      <c r="E50" s="134"/>
      <c r="F50" s="140"/>
      <c r="G50" s="214">
        <v>402</v>
      </c>
      <c r="H50" s="214"/>
      <c r="I50" s="197"/>
      <c r="J50" s="7">
        <f t="shared" si="4"/>
        <v>402</v>
      </c>
      <c r="K50" s="7">
        <f t="shared" si="5"/>
        <v>20.100000000000001</v>
      </c>
      <c r="L50" s="199">
        <v>46310</v>
      </c>
      <c r="M50" s="141">
        <v>0.05</v>
      </c>
      <c r="N50" s="141"/>
      <c r="O50" s="141"/>
    </row>
    <row r="51" spans="1:15" x14ac:dyDescent="0.35">
      <c r="A51" s="204" t="s">
        <v>129</v>
      </c>
      <c r="B51" s="195">
        <v>4096679</v>
      </c>
      <c r="C51" s="198" t="s">
        <v>164</v>
      </c>
      <c r="D51" s="194" t="s">
        <v>165</v>
      </c>
      <c r="E51" s="134"/>
      <c r="F51" s="140"/>
      <c r="G51" s="214">
        <v>1829</v>
      </c>
      <c r="H51" s="214"/>
      <c r="I51" s="197"/>
      <c r="J51" s="7">
        <f t="shared" si="4"/>
        <v>1829</v>
      </c>
      <c r="K51" s="7">
        <f t="shared" si="5"/>
        <v>182.9</v>
      </c>
      <c r="L51" s="199">
        <v>46329</v>
      </c>
      <c r="M51" s="137">
        <f>100/1000</f>
        <v>0.1</v>
      </c>
      <c r="N51" s="137" t="s">
        <v>160</v>
      </c>
      <c r="O51" s="137"/>
    </row>
    <row r="52" spans="1:15" hidden="1" x14ac:dyDescent="0.35">
      <c r="A52" s="204" t="s">
        <v>125</v>
      </c>
      <c r="B52" s="195">
        <v>4165670</v>
      </c>
      <c r="C52" s="198" t="s">
        <v>171</v>
      </c>
      <c r="D52" s="194" t="s">
        <v>145</v>
      </c>
      <c r="E52" s="134"/>
      <c r="F52" s="140"/>
      <c r="G52" s="214">
        <v>1511</v>
      </c>
      <c r="H52" s="214"/>
      <c r="I52" s="197"/>
      <c r="J52" s="7">
        <f t="shared" si="4"/>
        <v>1511</v>
      </c>
      <c r="K52" s="7">
        <f t="shared" si="5"/>
        <v>45330</v>
      </c>
      <c r="L52" s="199">
        <v>46337</v>
      </c>
      <c r="M52" s="141">
        <v>30</v>
      </c>
      <c r="N52" s="141"/>
      <c r="O52" s="141"/>
    </row>
    <row r="53" spans="1:15" hidden="1" x14ac:dyDescent="0.35">
      <c r="A53" s="204" t="s">
        <v>125</v>
      </c>
      <c r="B53" s="195">
        <v>4187261</v>
      </c>
      <c r="C53" s="198" t="s">
        <v>172</v>
      </c>
      <c r="D53" s="194" t="s">
        <v>152</v>
      </c>
      <c r="E53" s="134"/>
      <c r="F53" s="140"/>
      <c r="G53" s="214">
        <v>886</v>
      </c>
      <c r="H53" s="214"/>
      <c r="I53" s="197"/>
      <c r="J53" s="7">
        <f t="shared" si="4"/>
        <v>886</v>
      </c>
      <c r="K53" s="7">
        <f t="shared" si="5"/>
        <v>26580</v>
      </c>
      <c r="L53" s="199">
        <v>46337</v>
      </c>
      <c r="M53" s="137">
        <v>30</v>
      </c>
      <c r="N53" s="137"/>
      <c r="O53" s="137"/>
    </row>
    <row r="54" spans="1:15" hidden="1" x14ac:dyDescent="0.35">
      <c r="A54" s="204" t="s">
        <v>125</v>
      </c>
      <c r="B54" s="195">
        <v>4165670</v>
      </c>
      <c r="C54" s="198" t="s">
        <v>171</v>
      </c>
      <c r="D54" s="194" t="s">
        <v>145</v>
      </c>
      <c r="E54" s="134"/>
      <c r="F54" s="140"/>
      <c r="G54" s="214">
        <v>211</v>
      </c>
      <c r="H54" s="214"/>
      <c r="I54" s="197"/>
      <c r="J54" s="7">
        <f t="shared" si="4"/>
        <v>211</v>
      </c>
      <c r="K54" s="7">
        <f t="shared" si="5"/>
        <v>6330</v>
      </c>
      <c r="L54" s="199">
        <v>46337</v>
      </c>
      <c r="M54" s="141">
        <v>30</v>
      </c>
      <c r="N54" s="141"/>
      <c r="O54" s="141"/>
    </row>
    <row r="55" spans="1:15" hidden="1" x14ac:dyDescent="0.35">
      <c r="A55" s="204" t="s">
        <v>125</v>
      </c>
      <c r="B55" s="195">
        <v>4160722</v>
      </c>
      <c r="C55" s="198" t="s">
        <v>155</v>
      </c>
      <c r="D55" s="194" t="s">
        <v>156</v>
      </c>
      <c r="E55" s="134"/>
      <c r="F55" s="140"/>
      <c r="G55" s="214">
        <v>21</v>
      </c>
      <c r="H55" s="214"/>
      <c r="I55" s="197"/>
      <c r="J55" s="7">
        <f t="shared" si="4"/>
        <v>21</v>
      </c>
      <c r="K55" s="7">
        <f t="shared" si="5"/>
        <v>630</v>
      </c>
      <c r="L55" s="199">
        <v>46337</v>
      </c>
      <c r="M55" s="137">
        <v>30</v>
      </c>
      <c r="N55" s="137"/>
      <c r="O55" s="137"/>
    </row>
    <row r="56" spans="1:15" hidden="1" x14ac:dyDescent="0.35">
      <c r="A56" s="204" t="s">
        <v>125</v>
      </c>
      <c r="B56" s="195">
        <v>4178643</v>
      </c>
      <c r="C56" s="198" t="s">
        <v>173</v>
      </c>
      <c r="D56" s="194" t="s">
        <v>174</v>
      </c>
      <c r="E56" s="134"/>
      <c r="F56" s="140"/>
      <c r="G56" s="214">
        <v>296</v>
      </c>
      <c r="H56" s="214"/>
      <c r="I56" s="197"/>
      <c r="J56" s="7">
        <f t="shared" si="4"/>
        <v>296</v>
      </c>
      <c r="K56" s="7">
        <f t="shared" si="5"/>
        <v>8880</v>
      </c>
      <c r="L56" s="199">
        <v>46361</v>
      </c>
      <c r="M56" s="137">
        <v>30</v>
      </c>
      <c r="N56" s="137" t="s">
        <v>160</v>
      </c>
      <c r="O56" s="137"/>
    </row>
    <row r="57" spans="1:15" hidden="1" x14ac:dyDescent="0.35">
      <c r="A57" s="204" t="s">
        <v>125</v>
      </c>
      <c r="B57" s="195">
        <v>4181098</v>
      </c>
      <c r="C57" s="198" t="s">
        <v>175</v>
      </c>
      <c r="D57" s="194" t="s">
        <v>176</v>
      </c>
      <c r="E57" s="134"/>
      <c r="F57" s="140"/>
      <c r="G57" s="214">
        <v>176</v>
      </c>
      <c r="H57" s="214"/>
      <c r="I57" s="197"/>
      <c r="J57" s="7">
        <f t="shared" si="4"/>
        <v>176</v>
      </c>
      <c r="K57" s="7">
        <f t="shared" si="5"/>
        <v>5280</v>
      </c>
      <c r="L57" s="199">
        <v>46368</v>
      </c>
      <c r="M57" s="137">
        <v>30</v>
      </c>
      <c r="N57" s="137"/>
      <c r="O57" s="137"/>
    </row>
    <row r="58" spans="1:15" x14ac:dyDescent="0.35">
      <c r="A58" s="204" t="s">
        <v>129</v>
      </c>
      <c r="B58" s="195">
        <v>4012839</v>
      </c>
      <c r="C58" s="198" t="s">
        <v>168</v>
      </c>
      <c r="D58" s="194" t="s">
        <v>138</v>
      </c>
      <c r="E58" s="134"/>
      <c r="F58" s="140"/>
      <c r="G58" s="231">
        <v>37</v>
      </c>
      <c r="H58" s="231"/>
      <c r="I58" s="197"/>
      <c r="J58" s="7">
        <f t="shared" si="4"/>
        <v>37</v>
      </c>
      <c r="K58" s="7">
        <f t="shared" si="5"/>
        <v>3.7</v>
      </c>
      <c r="L58" s="199">
        <v>46375</v>
      </c>
      <c r="M58" s="137">
        <f>100/1000</f>
        <v>0.1</v>
      </c>
      <c r="N58" s="137"/>
      <c r="O58" s="137"/>
    </row>
    <row r="59" spans="1:15" x14ac:dyDescent="0.35">
      <c r="A59" s="204" t="s">
        <v>129</v>
      </c>
      <c r="B59" s="195">
        <v>254867</v>
      </c>
      <c r="C59" s="198" t="s">
        <v>168</v>
      </c>
      <c r="D59" s="194" t="s">
        <v>140</v>
      </c>
      <c r="E59" s="134"/>
      <c r="F59" s="140"/>
      <c r="G59" s="231">
        <v>10</v>
      </c>
      <c r="H59" s="231"/>
      <c r="I59" s="197"/>
      <c r="J59" s="7">
        <f t="shared" si="4"/>
        <v>10</v>
      </c>
      <c r="K59" s="7">
        <f t="shared" si="5"/>
        <v>0.5</v>
      </c>
      <c r="L59" s="199">
        <v>46375</v>
      </c>
      <c r="M59" s="141">
        <v>0.05</v>
      </c>
      <c r="N59" s="141"/>
      <c r="O59" s="141"/>
    </row>
    <row r="60" spans="1:15" hidden="1" x14ac:dyDescent="0.35">
      <c r="A60" s="204" t="s">
        <v>129</v>
      </c>
      <c r="B60" s="195">
        <v>311461</v>
      </c>
      <c r="C60" s="198" t="s">
        <v>177</v>
      </c>
      <c r="D60" s="194" t="s">
        <v>178</v>
      </c>
      <c r="E60" s="134"/>
      <c r="F60" s="140"/>
      <c r="G60" s="214">
        <v>0</v>
      </c>
      <c r="H60" s="214"/>
      <c r="I60" s="197"/>
      <c r="J60" s="7">
        <f t="shared" si="4"/>
        <v>0</v>
      </c>
      <c r="K60" s="7">
        <f t="shared" si="5"/>
        <v>0</v>
      </c>
      <c r="L60" s="199"/>
      <c r="M60" s="137">
        <f>100/1000</f>
        <v>0.1</v>
      </c>
      <c r="N60" s="137"/>
      <c r="O60" s="2"/>
    </row>
    <row r="61" spans="1:15" hidden="1" x14ac:dyDescent="0.35">
      <c r="A61" s="204" t="s">
        <v>129</v>
      </c>
      <c r="B61" s="195">
        <v>311461</v>
      </c>
      <c r="C61" s="198" t="s">
        <v>177</v>
      </c>
      <c r="D61" s="194" t="s">
        <v>178</v>
      </c>
      <c r="E61" s="134"/>
      <c r="F61" s="140"/>
      <c r="G61" s="214">
        <v>0</v>
      </c>
      <c r="H61" s="214"/>
      <c r="I61" s="197"/>
      <c r="J61" s="7">
        <f t="shared" si="4"/>
        <v>0</v>
      </c>
      <c r="K61" s="7">
        <f t="shared" si="5"/>
        <v>0</v>
      </c>
      <c r="L61" s="199"/>
      <c r="M61" s="137">
        <f>100/1000</f>
        <v>0.1</v>
      </c>
      <c r="N61" s="137"/>
      <c r="O61" s="2"/>
    </row>
    <row r="62" spans="1:15" hidden="1" x14ac:dyDescent="0.35">
      <c r="A62" s="204" t="s">
        <v>125</v>
      </c>
      <c r="B62" s="195">
        <v>4165679</v>
      </c>
      <c r="C62" s="198" t="s">
        <v>161</v>
      </c>
      <c r="D62" s="194" t="s">
        <v>145</v>
      </c>
      <c r="E62" s="134"/>
      <c r="F62" s="140"/>
      <c r="G62" s="214">
        <v>2434</v>
      </c>
      <c r="H62" s="214"/>
      <c r="I62" s="197"/>
      <c r="J62" s="7">
        <f t="shared" si="4"/>
        <v>2434</v>
      </c>
      <c r="K62" s="7">
        <f t="shared" si="5"/>
        <v>73020</v>
      </c>
      <c r="L62" s="199">
        <v>46377</v>
      </c>
      <c r="M62" s="137">
        <v>30</v>
      </c>
      <c r="N62" s="137"/>
      <c r="O62" s="137"/>
    </row>
    <row r="63" spans="1:15" hidden="1" x14ac:dyDescent="0.35">
      <c r="A63" s="204" t="s">
        <v>129</v>
      </c>
      <c r="B63" s="195">
        <v>4172709</v>
      </c>
      <c r="C63" s="198" t="s">
        <v>166</v>
      </c>
      <c r="D63" s="194" t="s">
        <v>138</v>
      </c>
      <c r="E63" s="134"/>
      <c r="F63" s="140"/>
      <c r="G63" s="214">
        <v>0</v>
      </c>
      <c r="H63" s="214"/>
      <c r="I63" s="197"/>
      <c r="J63" s="7">
        <f t="shared" si="4"/>
        <v>0</v>
      </c>
      <c r="K63" s="7">
        <f t="shared" si="5"/>
        <v>0</v>
      </c>
      <c r="L63" s="199"/>
      <c r="M63" s="137">
        <f>100/1000</f>
        <v>0.1</v>
      </c>
      <c r="N63" s="137"/>
      <c r="O63" s="2"/>
    </row>
    <row r="64" spans="1:15" hidden="1" x14ac:dyDescent="0.35">
      <c r="A64" s="204" t="s">
        <v>129</v>
      </c>
      <c r="B64" s="195">
        <v>314469</v>
      </c>
      <c r="C64" s="198" t="s">
        <v>179</v>
      </c>
      <c r="D64" s="194" t="s">
        <v>138</v>
      </c>
      <c r="E64" s="134"/>
      <c r="F64" s="140"/>
      <c r="G64" s="214">
        <v>0</v>
      </c>
      <c r="H64" s="214"/>
      <c r="I64" s="197"/>
      <c r="J64" s="7">
        <f t="shared" si="4"/>
        <v>0</v>
      </c>
      <c r="K64" s="7">
        <f t="shared" si="5"/>
        <v>0</v>
      </c>
      <c r="L64" s="199"/>
      <c r="M64" s="137">
        <f>100/1000</f>
        <v>0.1</v>
      </c>
      <c r="N64" s="137"/>
      <c r="O64" s="2"/>
    </row>
    <row r="65" spans="1:15" hidden="1" x14ac:dyDescent="0.35">
      <c r="A65" s="204" t="s">
        <v>129</v>
      </c>
      <c r="B65" s="195">
        <v>314469</v>
      </c>
      <c r="C65" s="198" t="s">
        <v>179</v>
      </c>
      <c r="D65" s="194" t="s">
        <v>138</v>
      </c>
      <c r="E65" s="134"/>
      <c r="F65" s="140"/>
      <c r="G65" s="214">
        <v>0</v>
      </c>
      <c r="H65" s="214"/>
      <c r="I65" s="197"/>
      <c r="J65" s="7">
        <f t="shared" si="4"/>
        <v>0</v>
      </c>
      <c r="K65" s="7">
        <f t="shared" si="5"/>
        <v>0</v>
      </c>
      <c r="L65" s="199"/>
      <c r="M65" s="137">
        <f>100/1000</f>
        <v>0.1</v>
      </c>
      <c r="N65" s="137"/>
      <c r="O65" s="2"/>
    </row>
    <row r="66" spans="1:15" x14ac:dyDescent="0.35">
      <c r="A66" s="204" t="s">
        <v>129</v>
      </c>
      <c r="B66" s="195">
        <v>4135831</v>
      </c>
      <c r="C66" s="198" t="s">
        <v>180</v>
      </c>
      <c r="D66" s="194" t="s">
        <v>138</v>
      </c>
      <c r="E66" s="134"/>
      <c r="F66" s="140"/>
      <c r="G66" s="214">
        <v>187</v>
      </c>
      <c r="H66" s="214"/>
      <c r="I66" s="197"/>
      <c r="J66" s="7">
        <f t="shared" si="4"/>
        <v>187</v>
      </c>
      <c r="K66" s="7">
        <f t="shared" si="5"/>
        <v>18.7</v>
      </c>
      <c r="L66" s="199">
        <v>46377</v>
      </c>
      <c r="M66" s="137">
        <f>100/1000</f>
        <v>0.1</v>
      </c>
      <c r="N66" s="137"/>
      <c r="O66" s="137"/>
    </row>
    <row r="67" spans="1:15" hidden="1" x14ac:dyDescent="0.35">
      <c r="A67" s="204" t="s">
        <v>125</v>
      </c>
      <c r="B67" s="195">
        <v>4181083</v>
      </c>
      <c r="C67" s="198" t="s">
        <v>181</v>
      </c>
      <c r="D67" s="194" t="s">
        <v>145</v>
      </c>
      <c r="E67" s="134"/>
      <c r="F67" s="140"/>
      <c r="G67" s="214">
        <v>0</v>
      </c>
      <c r="H67" s="214"/>
      <c r="I67" s="197"/>
      <c r="J67" s="7">
        <f t="shared" si="4"/>
        <v>0</v>
      </c>
      <c r="K67" s="7">
        <f t="shared" si="5"/>
        <v>0</v>
      </c>
      <c r="L67" s="199">
        <v>46400</v>
      </c>
      <c r="M67" s="137">
        <v>30</v>
      </c>
      <c r="N67" s="137"/>
      <c r="O67" s="2"/>
    </row>
    <row r="68" spans="1:15" hidden="1" x14ac:dyDescent="0.35">
      <c r="A68" s="204" t="s">
        <v>125</v>
      </c>
      <c r="B68" s="195">
        <v>4181083</v>
      </c>
      <c r="C68" s="198" t="s">
        <v>181</v>
      </c>
      <c r="D68" s="194" t="s">
        <v>182</v>
      </c>
      <c r="E68" s="134"/>
      <c r="F68" s="140"/>
      <c r="G68" s="214">
        <v>0</v>
      </c>
      <c r="H68" s="214"/>
      <c r="I68" s="197"/>
      <c r="J68" s="7">
        <f t="shared" si="4"/>
        <v>0</v>
      </c>
      <c r="K68" s="7">
        <f t="shared" si="5"/>
        <v>0</v>
      </c>
      <c r="L68" s="199"/>
      <c r="M68" s="137">
        <v>30</v>
      </c>
      <c r="N68" s="137"/>
      <c r="O68" s="2"/>
    </row>
    <row r="69" spans="1:15" hidden="1" x14ac:dyDescent="0.35">
      <c r="A69" s="204" t="s">
        <v>125</v>
      </c>
      <c r="B69" s="195">
        <v>4181083</v>
      </c>
      <c r="C69" s="198" t="s">
        <v>181</v>
      </c>
      <c r="D69" s="194" t="s">
        <v>145</v>
      </c>
      <c r="E69" s="134"/>
      <c r="F69" s="140"/>
      <c r="G69" s="214">
        <v>0</v>
      </c>
      <c r="H69" s="214"/>
      <c r="I69" s="197"/>
      <c r="J69" s="7">
        <f t="shared" si="4"/>
        <v>0</v>
      </c>
      <c r="K69" s="7">
        <f t="shared" si="5"/>
        <v>0</v>
      </c>
      <c r="L69" s="199"/>
      <c r="M69" s="137">
        <v>30</v>
      </c>
      <c r="N69" s="137"/>
      <c r="O69" s="2"/>
    </row>
    <row r="70" spans="1:15" hidden="1" x14ac:dyDescent="0.35">
      <c r="A70" s="204" t="s">
        <v>125</v>
      </c>
      <c r="B70" s="195">
        <v>4181083</v>
      </c>
      <c r="C70" s="198" t="s">
        <v>181</v>
      </c>
      <c r="D70" s="194" t="s">
        <v>145</v>
      </c>
      <c r="E70" s="134"/>
      <c r="F70" s="140"/>
      <c r="G70" s="214">
        <v>0</v>
      </c>
      <c r="H70" s="214"/>
      <c r="I70" s="197"/>
      <c r="J70" s="7">
        <f t="shared" ref="J70:J101" si="6">SUM(E70:I70)</f>
        <v>0</v>
      </c>
      <c r="K70" s="7">
        <f t="shared" ref="K70:K101" si="7">J70*M70</f>
        <v>0</v>
      </c>
      <c r="L70" s="199"/>
      <c r="M70" s="137">
        <v>30</v>
      </c>
      <c r="N70" s="137"/>
      <c r="O70" s="2"/>
    </row>
    <row r="71" spans="1:15" hidden="1" x14ac:dyDescent="0.35">
      <c r="A71" s="204" t="s">
        <v>125</v>
      </c>
      <c r="B71" s="195">
        <v>4060682</v>
      </c>
      <c r="C71" s="198" t="s">
        <v>183</v>
      </c>
      <c r="D71" s="194" t="s">
        <v>184</v>
      </c>
      <c r="E71" s="134"/>
      <c r="F71" s="140"/>
      <c r="G71" s="214">
        <v>0</v>
      </c>
      <c r="H71" s="214"/>
      <c r="I71" s="197"/>
      <c r="J71" s="7">
        <f t="shared" si="6"/>
        <v>0</v>
      </c>
      <c r="K71" s="7">
        <f t="shared" si="7"/>
        <v>0</v>
      </c>
      <c r="L71" s="199"/>
      <c r="M71" s="137">
        <v>20</v>
      </c>
      <c r="N71" s="137"/>
      <c r="O71" s="2"/>
    </row>
    <row r="72" spans="1:15" x14ac:dyDescent="0.35">
      <c r="A72" s="204" t="s">
        <v>129</v>
      </c>
      <c r="B72" s="195">
        <v>4135823</v>
      </c>
      <c r="C72" s="198" t="s">
        <v>180</v>
      </c>
      <c r="D72" s="194" t="s">
        <v>140</v>
      </c>
      <c r="E72" s="134"/>
      <c r="F72" s="140"/>
      <c r="G72" s="214">
        <v>288</v>
      </c>
      <c r="H72" s="214"/>
      <c r="I72" s="197"/>
      <c r="J72" s="7">
        <f t="shared" si="6"/>
        <v>288</v>
      </c>
      <c r="K72" s="7">
        <f t="shared" si="7"/>
        <v>14.4</v>
      </c>
      <c r="L72" s="199">
        <v>46377</v>
      </c>
      <c r="M72" s="141">
        <v>0.05</v>
      </c>
      <c r="N72" s="141"/>
      <c r="O72" s="141"/>
    </row>
    <row r="73" spans="1:15" hidden="1" x14ac:dyDescent="0.35">
      <c r="A73" s="204" t="s">
        <v>129</v>
      </c>
      <c r="B73" s="195">
        <v>4183277</v>
      </c>
      <c r="C73" s="198" t="s">
        <v>185</v>
      </c>
      <c r="D73" s="194" t="s">
        <v>138</v>
      </c>
      <c r="E73" s="134"/>
      <c r="F73" s="140"/>
      <c r="G73" s="214">
        <v>0</v>
      </c>
      <c r="H73" s="214"/>
      <c r="I73" s="197"/>
      <c r="J73" s="7">
        <f t="shared" si="6"/>
        <v>0</v>
      </c>
      <c r="K73" s="7">
        <f t="shared" si="7"/>
        <v>0</v>
      </c>
      <c r="L73" s="199">
        <v>46329</v>
      </c>
      <c r="M73" s="137">
        <f>100/1000</f>
        <v>0.1</v>
      </c>
      <c r="N73" s="137"/>
      <c r="O73" s="2"/>
    </row>
    <row r="74" spans="1:15" x14ac:dyDescent="0.35">
      <c r="A74" s="204" t="s">
        <v>129</v>
      </c>
      <c r="B74" s="195">
        <v>4040417</v>
      </c>
      <c r="C74" s="198" t="s">
        <v>186</v>
      </c>
      <c r="D74" s="194" t="s">
        <v>140</v>
      </c>
      <c r="E74" s="134"/>
      <c r="F74" s="140"/>
      <c r="G74" s="214">
        <v>468</v>
      </c>
      <c r="H74" s="214"/>
      <c r="I74" s="197"/>
      <c r="J74" s="7">
        <f t="shared" si="6"/>
        <v>468</v>
      </c>
      <c r="K74" s="7">
        <f t="shared" si="7"/>
        <v>23.400000000000002</v>
      </c>
      <c r="L74" s="199">
        <v>46379</v>
      </c>
      <c r="M74" s="141">
        <v>0.05</v>
      </c>
      <c r="N74" s="141"/>
      <c r="O74" s="141"/>
    </row>
    <row r="75" spans="1:15" hidden="1" x14ac:dyDescent="0.35">
      <c r="A75" s="204" t="s">
        <v>129</v>
      </c>
      <c r="B75" s="195">
        <v>4012925</v>
      </c>
      <c r="C75" s="198" t="s">
        <v>187</v>
      </c>
      <c r="D75" s="194" t="s">
        <v>138</v>
      </c>
      <c r="E75" s="134"/>
      <c r="F75" s="140"/>
      <c r="G75" s="214">
        <v>0</v>
      </c>
      <c r="H75" s="214"/>
      <c r="I75" s="197"/>
      <c r="J75" s="7">
        <f t="shared" si="6"/>
        <v>0</v>
      </c>
      <c r="K75" s="7">
        <f t="shared" si="7"/>
        <v>0</v>
      </c>
      <c r="L75" s="199"/>
      <c r="M75" s="137">
        <f>100/1000</f>
        <v>0.1</v>
      </c>
      <c r="N75" s="137"/>
      <c r="O75" s="2"/>
    </row>
    <row r="76" spans="1:15" hidden="1" x14ac:dyDescent="0.35">
      <c r="A76" s="204" t="s">
        <v>125</v>
      </c>
      <c r="B76" s="195">
        <v>4165668</v>
      </c>
      <c r="C76" s="198" t="s">
        <v>162</v>
      </c>
      <c r="D76" s="194" t="s">
        <v>145</v>
      </c>
      <c r="E76" s="134"/>
      <c r="F76" s="140"/>
      <c r="G76" s="214">
        <v>2164</v>
      </c>
      <c r="H76" s="214"/>
      <c r="I76" s="197"/>
      <c r="J76" s="7">
        <f t="shared" si="6"/>
        <v>2164</v>
      </c>
      <c r="K76" s="7">
        <f t="shared" si="7"/>
        <v>64920</v>
      </c>
      <c r="L76" s="199">
        <v>46388</v>
      </c>
      <c r="M76" s="137">
        <v>30</v>
      </c>
      <c r="N76" s="137"/>
      <c r="O76" s="137"/>
    </row>
    <row r="77" spans="1:15" hidden="1" x14ac:dyDescent="0.35">
      <c r="A77" s="204" t="s">
        <v>125</v>
      </c>
      <c r="B77" s="195">
        <v>4181097</v>
      </c>
      <c r="C77" s="198" t="s">
        <v>188</v>
      </c>
      <c r="D77" s="194" t="s">
        <v>176</v>
      </c>
      <c r="E77" s="134"/>
      <c r="F77" s="140"/>
      <c r="G77" s="214">
        <v>0</v>
      </c>
      <c r="H77" s="214"/>
      <c r="I77" s="197"/>
      <c r="J77" s="7">
        <f t="shared" si="6"/>
        <v>0</v>
      </c>
      <c r="K77" s="7">
        <f t="shared" si="7"/>
        <v>0</v>
      </c>
      <c r="L77" s="199"/>
      <c r="M77" s="137">
        <v>30</v>
      </c>
      <c r="N77" s="137"/>
      <c r="O77" s="2"/>
    </row>
    <row r="78" spans="1:15" x14ac:dyDescent="0.35">
      <c r="A78" s="204" t="s">
        <v>129</v>
      </c>
      <c r="B78" s="195">
        <v>4068066</v>
      </c>
      <c r="C78" s="198" t="s">
        <v>189</v>
      </c>
      <c r="D78" s="194" t="s">
        <v>140</v>
      </c>
      <c r="E78" s="134"/>
      <c r="F78" s="140"/>
      <c r="G78" s="214">
        <v>496</v>
      </c>
      <c r="H78" s="214"/>
      <c r="I78" s="197"/>
      <c r="J78" s="7">
        <f t="shared" si="6"/>
        <v>496</v>
      </c>
      <c r="K78" s="7">
        <f t="shared" si="7"/>
        <v>24.8</v>
      </c>
      <c r="L78" s="199">
        <v>46388</v>
      </c>
      <c r="M78" s="141">
        <v>0.05</v>
      </c>
      <c r="N78" s="141"/>
      <c r="O78" s="141"/>
    </row>
    <row r="79" spans="1:15" x14ac:dyDescent="0.35">
      <c r="A79" s="204" t="s">
        <v>129</v>
      </c>
      <c r="B79" s="195">
        <v>4183281</v>
      </c>
      <c r="C79" s="198" t="s">
        <v>190</v>
      </c>
      <c r="D79" s="194" t="s">
        <v>191</v>
      </c>
      <c r="E79" s="134"/>
      <c r="F79" s="140"/>
      <c r="G79" s="214">
        <v>284</v>
      </c>
      <c r="H79" s="214"/>
      <c r="I79" s="197"/>
      <c r="J79" s="7">
        <f t="shared" si="6"/>
        <v>284</v>
      </c>
      <c r="K79" s="7">
        <f t="shared" si="7"/>
        <v>5.68</v>
      </c>
      <c r="L79" s="199">
        <v>46389</v>
      </c>
      <c r="M79" s="137">
        <v>0.02</v>
      </c>
      <c r="N79" s="137"/>
      <c r="O79" s="137"/>
    </row>
    <row r="80" spans="1:15" hidden="1" x14ac:dyDescent="0.35">
      <c r="A80" s="204" t="s">
        <v>125</v>
      </c>
      <c r="B80" s="195">
        <v>4165670</v>
      </c>
      <c r="C80" s="198" t="s">
        <v>171</v>
      </c>
      <c r="D80" s="194" t="s">
        <v>145</v>
      </c>
      <c r="E80" s="134"/>
      <c r="F80" s="140"/>
      <c r="G80" s="214">
        <v>187</v>
      </c>
      <c r="H80" s="214"/>
      <c r="I80" s="197"/>
      <c r="J80" s="7">
        <f t="shared" si="6"/>
        <v>187</v>
      </c>
      <c r="K80" s="7">
        <f t="shared" si="7"/>
        <v>5610</v>
      </c>
      <c r="L80" s="199">
        <v>46392</v>
      </c>
      <c r="M80" s="141">
        <v>30</v>
      </c>
      <c r="N80" s="141"/>
      <c r="O80" s="141"/>
    </row>
    <row r="81" spans="1:15" hidden="1" x14ac:dyDescent="0.35">
      <c r="A81" s="204" t="s">
        <v>125</v>
      </c>
      <c r="B81" s="195">
        <v>4181093</v>
      </c>
      <c r="C81" s="198" t="s">
        <v>192</v>
      </c>
      <c r="D81" s="194" t="s">
        <v>152</v>
      </c>
      <c r="E81" s="134"/>
      <c r="F81" s="140"/>
      <c r="G81" s="214">
        <v>0</v>
      </c>
      <c r="H81" s="214"/>
      <c r="I81" s="197"/>
      <c r="J81" s="7">
        <f t="shared" si="6"/>
        <v>0</v>
      </c>
      <c r="K81" s="7">
        <f t="shared" si="7"/>
        <v>0</v>
      </c>
      <c r="L81" s="199"/>
      <c r="M81" s="137">
        <v>30</v>
      </c>
      <c r="N81" s="137"/>
      <c r="O81" s="2"/>
    </row>
    <row r="82" spans="1:15" hidden="1" x14ac:dyDescent="0.35">
      <c r="A82" s="204" t="s">
        <v>125</v>
      </c>
      <c r="B82" s="195">
        <v>4181093</v>
      </c>
      <c r="C82" s="198" t="s">
        <v>192</v>
      </c>
      <c r="D82" s="194" t="s">
        <v>152</v>
      </c>
      <c r="E82" s="134"/>
      <c r="F82" s="140"/>
      <c r="G82" s="214">
        <v>0</v>
      </c>
      <c r="H82" s="214"/>
      <c r="I82" s="197"/>
      <c r="J82" s="7">
        <f t="shared" si="6"/>
        <v>0</v>
      </c>
      <c r="K82" s="7">
        <f t="shared" si="7"/>
        <v>0</v>
      </c>
      <c r="L82" s="199"/>
      <c r="M82" s="137">
        <v>30</v>
      </c>
      <c r="N82" s="137"/>
      <c r="O82" s="2"/>
    </row>
    <row r="83" spans="1:15" x14ac:dyDescent="0.35">
      <c r="A83" s="204" t="s">
        <v>129</v>
      </c>
      <c r="B83" s="195">
        <v>4135822</v>
      </c>
      <c r="C83" s="198" t="s">
        <v>137</v>
      </c>
      <c r="D83" s="194" t="s">
        <v>138</v>
      </c>
      <c r="E83" s="134"/>
      <c r="F83" s="140"/>
      <c r="G83" s="214">
        <v>229</v>
      </c>
      <c r="H83" s="214"/>
      <c r="I83" s="197"/>
      <c r="J83" s="7">
        <f t="shared" si="6"/>
        <v>229</v>
      </c>
      <c r="K83" s="7">
        <f t="shared" si="7"/>
        <v>22.900000000000002</v>
      </c>
      <c r="L83" s="199">
        <v>46393</v>
      </c>
      <c r="M83" s="137">
        <f>100/1000</f>
        <v>0.1</v>
      </c>
      <c r="N83" s="137" t="s">
        <v>160</v>
      </c>
      <c r="O83" s="137"/>
    </row>
    <row r="84" spans="1:15" x14ac:dyDescent="0.35">
      <c r="A84" s="204" t="s">
        <v>129</v>
      </c>
      <c r="B84" s="195">
        <v>4012840</v>
      </c>
      <c r="C84" s="198" t="s">
        <v>193</v>
      </c>
      <c r="D84" s="194" t="s">
        <v>138</v>
      </c>
      <c r="E84" s="134"/>
      <c r="F84" s="140"/>
      <c r="G84" s="214">
        <v>148</v>
      </c>
      <c r="H84" s="214"/>
      <c r="I84" s="197"/>
      <c r="J84" s="7">
        <f t="shared" si="6"/>
        <v>148</v>
      </c>
      <c r="K84" s="7">
        <f t="shared" si="7"/>
        <v>14.8</v>
      </c>
      <c r="L84" s="199">
        <v>46393</v>
      </c>
      <c r="M84" s="137">
        <f>100/1000</f>
        <v>0.1</v>
      </c>
      <c r="N84" s="137" t="s">
        <v>160</v>
      </c>
      <c r="O84" s="137"/>
    </row>
    <row r="85" spans="1:15" x14ac:dyDescent="0.35">
      <c r="A85" s="204" t="s">
        <v>129</v>
      </c>
      <c r="B85" s="195">
        <v>254864</v>
      </c>
      <c r="C85" s="198" t="s">
        <v>193</v>
      </c>
      <c r="D85" s="194" t="s">
        <v>140</v>
      </c>
      <c r="E85" s="134"/>
      <c r="F85" s="140"/>
      <c r="G85" s="214">
        <v>185</v>
      </c>
      <c r="H85" s="214"/>
      <c r="I85" s="197"/>
      <c r="J85" s="7">
        <f t="shared" si="6"/>
        <v>185</v>
      </c>
      <c r="K85" s="7">
        <f t="shared" si="7"/>
        <v>9.25</v>
      </c>
      <c r="L85" s="199">
        <v>46393</v>
      </c>
      <c r="M85" s="141">
        <v>0.05</v>
      </c>
      <c r="N85" s="137" t="s">
        <v>160</v>
      </c>
      <c r="O85" s="137"/>
    </row>
    <row r="86" spans="1:15" x14ac:dyDescent="0.35">
      <c r="A86" s="204" t="s">
        <v>129</v>
      </c>
      <c r="B86" s="195">
        <v>4135874</v>
      </c>
      <c r="C86" s="198" t="s">
        <v>194</v>
      </c>
      <c r="D86" s="194" t="s">
        <v>138</v>
      </c>
      <c r="E86" s="134"/>
      <c r="F86" s="140"/>
      <c r="G86" s="214">
        <v>59</v>
      </c>
      <c r="H86" s="214"/>
      <c r="I86" s="197"/>
      <c r="J86" s="7">
        <f t="shared" si="6"/>
        <v>59</v>
      </c>
      <c r="K86" s="7">
        <f t="shared" si="7"/>
        <v>5.9</v>
      </c>
      <c r="L86" s="199">
        <v>46393</v>
      </c>
      <c r="M86" s="137">
        <f>100/1000</f>
        <v>0.1</v>
      </c>
      <c r="N86" s="137" t="s">
        <v>160</v>
      </c>
      <c r="O86" s="137"/>
    </row>
    <row r="87" spans="1:15" x14ac:dyDescent="0.35">
      <c r="A87" s="204" t="s">
        <v>129</v>
      </c>
      <c r="B87" s="195">
        <v>4114197</v>
      </c>
      <c r="C87" s="198" t="s">
        <v>195</v>
      </c>
      <c r="D87" s="194" t="s">
        <v>196</v>
      </c>
      <c r="E87" s="134"/>
      <c r="F87" s="140"/>
      <c r="G87" s="214">
        <v>29</v>
      </c>
      <c r="H87" s="214"/>
      <c r="I87" s="197"/>
      <c r="J87" s="7">
        <f t="shared" si="6"/>
        <v>29</v>
      </c>
      <c r="K87" s="7">
        <f t="shared" si="7"/>
        <v>2.9000000000000004</v>
      </c>
      <c r="L87" s="199">
        <v>46393</v>
      </c>
      <c r="M87" s="137">
        <f>100/1000</f>
        <v>0.1</v>
      </c>
      <c r="N87" s="137" t="s">
        <v>160</v>
      </c>
      <c r="O87" s="137"/>
    </row>
    <row r="88" spans="1:15" hidden="1" x14ac:dyDescent="0.35">
      <c r="A88" s="204" t="s">
        <v>125</v>
      </c>
      <c r="B88" s="195">
        <v>4181097</v>
      </c>
      <c r="C88" s="198" t="s">
        <v>188</v>
      </c>
      <c r="D88" s="194" t="s">
        <v>176</v>
      </c>
      <c r="E88" s="134"/>
      <c r="F88" s="140"/>
      <c r="G88" s="214">
        <v>237</v>
      </c>
      <c r="H88" s="214"/>
      <c r="I88" s="197"/>
      <c r="J88" s="7">
        <f t="shared" si="6"/>
        <v>237</v>
      </c>
      <c r="K88" s="7">
        <f t="shared" si="7"/>
        <v>7110</v>
      </c>
      <c r="L88" s="199">
        <v>46395</v>
      </c>
      <c r="M88" s="137">
        <v>30</v>
      </c>
      <c r="N88" s="137"/>
      <c r="O88" s="137"/>
    </row>
    <row r="89" spans="1:15" hidden="1" x14ac:dyDescent="0.35">
      <c r="A89" s="204" t="s">
        <v>125</v>
      </c>
      <c r="B89" s="195">
        <v>4181083</v>
      </c>
      <c r="C89" s="198" t="s">
        <v>181</v>
      </c>
      <c r="D89" s="194" t="s">
        <v>145</v>
      </c>
      <c r="E89" s="134"/>
      <c r="F89" s="140"/>
      <c r="G89" s="214">
        <v>426</v>
      </c>
      <c r="H89" s="214"/>
      <c r="I89" s="197"/>
      <c r="J89" s="7">
        <f t="shared" si="6"/>
        <v>426</v>
      </c>
      <c r="K89" s="7">
        <f t="shared" si="7"/>
        <v>12780</v>
      </c>
      <c r="L89" s="199">
        <v>46400</v>
      </c>
      <c r="M89" s="137">
        <v>30</v>
      </c>
      <c r="N89" s="137" t="s">
        <v>160</v>
      </c>
      <c r="O89" s="137"/>
    </row>
    <row r="90" spans="1:15" hidden="1" x14ac:dyDescent="0.35">
      <c r="A90" s="204" t="s">
        <v>125</v>
      </c>
      <c r="B90" s="195">
        <v>4181092</v>
      </c>
      <c r="C90" s="198" t="s">
        <v>126</v>
      </c>
      <c r="D90" s="194" t="s">
        <v>145</v>
      </c>
      <c r="E90" s="134"/>
      <c r="F90" s="140"/>
      <c r="G90" s="219">
        <v>248</v>
      </c>
      <c r="H90" s="219"/>
      <c r="I90" s="197"/>
      <c r="J90" s="7">
        <f t="shared" si="6"/>
        <v>248</v>
      </c>
      <c r="K90" s="7">
        <f t="shared" si="7"/>
        <v>7440</v>
      </c>
      <c r="L90" s="199">
        <v>46403</v>
      </c>
      <c r="M90" s="137">
        <v>30</v>
      </c>
      <c r="N90" s="137" t="s">
        <v>160</v>
      </c>
      <c r="O90" s="137"/>
    </row>
    <row r="91" spans="1:15" x14ac:dyDescent="0.35">
      <c r="A91" s="204" t="s">
        <v>129</v>
      </c>
      <c r="B91" s="195">
        <v>4144723</v>
      </c>
      <c r="C91" s="198" t="s">
        <v>139</v>
      </c>
      <c r="D91" s="194" t="s">
        <v>140</v>
      </c>
      <c r="E91" s="134"/>
      <c r="F91" s="140"/>
      <c r="G91" s="215">
        <v>433</v>
      </c>
      <c r="H91" s="215"/>
      <c r="I91" s="197"/>
      <c r="J91" s="7">
        <f t="shared" si="6"/>
        <v>433</v>
      </c>
      <c r="K91" s="7">
        <f t="shared" si="7"/>
        <v>21.650000000000002</v>
      </c>
      <c r="L91" s="199">
        <v>46403</v>
      </c>
      <c r="M91" s="141">
        <v>0.05</v>
      </c>
      <c r="N91" s="137" t="s">
        <v>160</v>
      </c>
      <c r="O91" s="137"/>
    </row>
    <row r="92" spans="1:15" hidden="1" x14ac:dyDescent="0.35">
      <c r="A92" s="204" t="s">
        <v>129</v>
      </c>
      <c r="B92" s="195">
        <v>4040520</v>
      </c>
      <c r="C92" s="198" t="s">
        <v>197</v>
      </c>
      <c r="D92" s="194" t="s">
        <v>138</v>
      </c>
      <c r="E92" s="134"/>
      <c r="F92" s="140"/>
      <c r="G92" s="214">
        <v>0</v>
      </c>
      <c r="H92" s="214"/>
      <c r="I92" s="197"/>
      <c r="J92" s="7">
        <f t="shared" si="6"/>
        <v>0</v>
      </c>
      <c r="K92" s="7">
        <f t="shared" si="7"/>
        <v>0</v>
      </c>
      <c r="L92" s="199"/>
      <c r="M92" s="137">
        <f>100/1000</f>
        <v>0.1</v>
      </c>
      <c r="N92" s="137"/>
      <c r="O92" s="2"/>
    </row>
    <row r="93" spans="1:15" x14ac:dyDescent="0.35">
      <c r="A93" s="204" t="s">
        <v>129</v>
      </c>
      <c r="B93" s="195">
        <v>4144722</v>
      </c>
      <c r="C93" s="198" t="s">
        <v>139</v>
      </c>
      <c r="D93" s="194" t="s">
        <v>138</v>
      </c>
      <c r="E93" s="134"/>
      <c r="F93" s="140"/>
      <c r="G93" s="214">
        <v>100</v>
      </c>
      <c r="H93" s="214"/>
      <c r="I93" s="197"/>
      <c r="J93" s="7">
        <f t="shared" si="6"/>
        <v>100</v>
      </c>
      <c r="K93" s="7">
        <f t="shared" si="7"/>
        <v>10</v>
      </c>
      <c r="L93" s="199">
        <v>46403</v>
      </c>
      <c r="M93" s="137">
        <f>100/1000</f>
        <v>0.1</v>
      </c>
      <c r="N93" s="137" t="s">
        <v>160</v>
      </c>
      <c r="O93" s="137"/>
    </row>
    <row r="94" spans="1:15" x14ac:dyDescent="0.35">
      <c r="A94" s="204" t="s">
        <v>129</v>
      </c>
      <c r="B94" s="195">
        <v>4075565</v>
      </c>
      <c r="C94" s="198" t="s">
        <v>198</v>
      </c>
      <c r="D94" s="194" t="s">
        <v>165</v>
      </c>
      <c r="E94" s="134"/>
      <c r="F94" s="140"/>
      <c r="G94" s="214">
        <v>110</v>
      </c>
      <c r="H94" s="214"/>
      <c r="I94" s="197"/>
      <c r="J94" s="7">
        <f t="shared" si="6"/>
        <v>110</v>
      </c>
      <c r="K94" s="7">
        <f t="shared" si="7"/>
        <v>11</v>
      </c>
      <c r="L94" s="199">
        <v>46406</v>
      </c>
      <c r="M94" s="137">
        <f>100/1000</f>
        <v>0.1</v>
      </c>
      <c r="N94" s="137"/>
      <c r="O94" s="137"/>
    </row>
    <row r="95" spans="1:15" x14ac:dyDescent="0.35">
      <c r="A95" s="204" t="s">
        <v>129</v>
      </c>
      <c r="B95" s="195">
        <v>4102903</v>
      </c>
      <c r="C95" s="198" t="s">
        <v>198</v>
      </c>
      <c r="D95" s="194" t="s">
        <v>140</v>
      </c>
      <c r="E95" s="134"/>
      <c r="F95" s="140"/>
      <c r="G95" s="214">
        <v>200</v>
      </c>
      <c r="H95" s="214"/>
      <c r="I95" s="197"/>
      <c r="J95" s="7">
        <f t="shared" si="6"/>
        <v>200</v>
      </c>
      <c r="K95" s="7">
        <f t="shared" si="7"/>
        <v>10</v>
      </c>
      <c r="L95" s="199">
        <v>46406</v>
      </c>
      <c r="M95" s="141">
        <v>0.05</v>
      </c>
      <c r="N95" s="141"/>
      <c r="O95" s="141"/>
    </row>
    <row r="96" spans="1:15" hidden="1" x14ac:dyDescent="0.35">
      <c r="A96" s="204" t="s">
        <v>125</v>
      </c>
      <c r="B96" s="195">
        <v>4211861</v>
      </c>
      <c r="C96" s="198" t="s">
        <v>199</v>
      </c>
      <c r="D96" s="194" t="s">
        <v>174</v>
      </c>
      <c r="E96" s="134"/>
      <c r="F96" s="140"/>
      <c r="G96" s="214">
        <v>1052</v>
      </c>
      <c r="H96" s="214"/>
      <c r="I96" s="197"/>
      <c r="J96" s="7">
        <f t="shared" si="6"/>
        <v>1052</v>
      </c>
      <c r="K96" s="7">
        <f t="shared" si="7"/>
        <v>31560</v>
      </c>
      <c r="L96" s="199">
        <v>46408</v>
      </c>
      <c r="M96" s="137">
        <v>30</v>
      </c>
      <c r="N96" s="141" t="s">
        <v>160</v>
      </c>
      <c r="O96" s="141"/>
    </row>
    <row r="97" spans="1:15" x14ac:dyDescent="0.35">
      <c r="A97" s="204" t="s">
        <v>129</v>
      </c>
      <c r="B97" s="195">
        <v>4040520</v>
      </c>
      <c r="C97" s="198" t="s">
        <v>197</v>
      </c>
      <c r="D97" s="194" t="s">
        <v>138</v>
      </c>
      <c r="E97" s="134"/>
      <c r="F97" s="140"/>
      <c r="G97" s="214">
        <v>134</v>
      </c>
      <c r="H97" s="214"/>
      <c r="I97" s="197"/>
      <c r="J97" s="7">
        <f t="shared" si="6"/>
        <v>134</v>
      </c>
      <c r="K97" s="7">
        <f t="shared" si="7"/>
        <v>13.4</v>
      </c>
      <c r="L97" s="199">
        <v>46408</v>
      </c>
      <c r="M97" s="137">
        <f>100/1000</f>
        <v>0.1</v>
      </c>
      <c r="N97" s="137"/>
      <c r="O97" s="137"/>
    </row>
    <row r="98" spans="1:15" x14ac:dyDescent="0.35">
      <c r="A98" s="204" t="s">
        <v>129</v>
      </c>
      <c r="B98" s="195">
        <v>4068137</v>
      </c>
      <c r="C98" s="198" t="s">
        <v>189</v>
      </c>
      <c r="D98" s="194" t="s">
        <v>138</v>
      </c>
      <c r="E98" s="134"/>
      <c r="F98" s="140"/>
      <c r="G98" s="214">
        <v>441</v>
      </c>
      <c r="H98" s="214"/>
      <c r="I98" s="197"/>
      <c r="J98" s="7">
        <f t="shared" si="6"/>
        <v>441</v>
      </c>
      <c r="K98" s="7">
        <f t="shared" si="7"/>
        <v>44.1</v>
      </c>
      <c r="L98" s="199">
        <v>46413</v>
      </c>
      <c r="M98" s="137">
        <f>100/1000</f>
        <v>0.1</v>
      </c>
      <c r="N98" s="137" t="s">
        <v>160</v>
      </c>
      <c r="O98" s="137"/>
    </row>
    <row r="99" spans="1:15" hidden="1" x14ac:dyDescent="0.35">
      <c r="A99" s="204" t="s">
        <v>125</v>
      </c>
      <c r="B99" s="195">
        <v>4165679</v>
      </c>
      <c r="C99" s="198" t="s">
        <v>161</v>
      </c>
      <c r="D99" s="194" t="s">
        <v>145</v>
      </c>
      <c r="E99" s="134"/>
      <c r="F99" s="140"/>
      <c r="G99" s="214">
        <v>488</v>
      </c>
      <c r="H99" s="214"/>
      <c r="I99" s="197"/>
      <c r="J99" s="7">
        <f t="shared" si="6"/>
        <v>488</v>
      </c>
      <c r="K99" s="7">
        <f t="shared" si="7"/>
        <v>14640</v>
      </c>
      <c r="L99" s="199">
        <v>46420</v>
      </c>
      <c r="M99" s="137">
        <v>30</v>
      </c>
      <c r="N99" s="137" t="s">
        <v>160</v>
      </c>
      <c r="O99" s="137"/>
    </row>
    <row r="100" spans="1:15" x14ac:dyDescent="0.35">
      <c r="A100" s="204" t="s">
        <v>129</v>
      </c>
      <c r="B100" s="195">
        <v>4012925</v>
      </c>
      <c r="C100" s="198" t="s">
        <v>187</v>
      </c>
      <c r="D100" s="194" t="s">
        <v>138</v>
      </c>
      <c r="E100" s="134"/>
      <c r="F100" s="140"/>
      <c r="G100" s="214">
        <v>15</v>
      </c>
      <c r="H100" s="214"/>
      <c r="I100" s="197"/>
      <c r="J100" s="7">
        <f t="shared" si="6"/>
        <v>15</v>
      </c>
      <c r="K100" s="7">
        <f t="shared" si="7"/>
        <v>1.5</v>
      </c>
      <c r="L100" s="199">
        <v>46432</v>
      </c>
      <c r="M100" s="137">
        <f>100/1000</f>
        <v>0.1</v>
      </c>
      <c r="N100" s="137"/>
      <c r="O100" s="137"/>
    </row>
    <row r="101" spans="1:15" x14ac:dyDescent="0.35">
      <c r="A101" s="204" t="s">
        <v>129</v>
      </c>
      <c r="B101" s="195">
        <v>4132141</v>
      </c>
      <c r="C101" s="198" t="s">
        <v>146</v>
      </c>
      <c r="D101" s="194" t="s">
        <v>131</v>
      </c>
      <c r="E101" s="134"/>
      <c r="F101" s="140"/>
      <c r="G101" s="214">
        <v>200</v>
      </c>
      <c r="H101" s="214"/>
      <c r="I101" s="197"/>
      <c r="J101" s="7">
        <f t="shared" si="6"/>
        <v>200</v>
      </c>
      <c r="K101" s="7">
        <f t="shared" si="7"/>
        <v>200</v>
      </c>
      <c r="L101" s="199">
        <v>46434</v>
      </c>
      <c r="M101" s="141">
        <v>1</v>
      </c>
      <c r="N101" s="141" t="s">
        <v>160</v>
      </c>
      <c r="O101" s="141"/>
    </row>
    <row r="102" spans="1:15" x14ac:dyDescent="0.35">
      <c r="A102" s="204" t="s">
        <v>129</v>
      </c>
      <c r="B102" s="195">
        <v>4183285</v>
      </c>
      <c r="C102" s="198" t="s">
        <v>158</v>
      </c>
      <c r="D102" s="194" t="s">
        <v>138</v>
      </c>
      <c r="E102" s="134"/>
      <c r="F102" s="140"/>
      <c r="G102" s="214">
        <v>418</v>
      </c>
      <c r="H102" s="214"/>
      <c r="I102" s="197"/>
      <c r="J102" s="7">
        <f t="shared" ref="J102:J133" si="8">SUM(E102:I102)</f>
        <v>418</v>
      </c>
      <c r="K102" s="7">
        <f t="shared" ref="K102:K133" si="9">J102*M102</f>
        <v>41.800000000000004</v>
      </c>
      <c r="L102" s="199">
        <v>46436</v>
      </c>
      <c r="M102" s="137">
        <f>100/1000</f>
        <v>0.1</v>
      </c>
      <c r="N102" s="141" t="s">
        <v>160</v>
      </c>
      <c r="O102" s="141"/>
    </row>
    <row r="103" spans="1:15" hidden="1" x14ac:dyDescent="0.35">
      <c r="A103" s="204" t="s">
        <v>125</v>
      </c>
      <c r="B103" s="195">
        <v>4181098</v>
      </c>
      <c r="C103" s="198" t="s">
        <v>175</v>
      </c>
      <c r="D103" s="194" t="s">
        <v>176</v>
      </c>
      <c r="E103" s="134"/>
      <c r="F103" s="140"/>
      <c r="G103" s="214">
        <v>174</v>
      </c>
      <c r="H103" s="214"/>
      <c r="I103" s="197"/>
      <c r="J103" s="7">
        <f t="shared" si="8"/>
        <v>174</v>
      </c>
      <c r="K103" s="7">
        <f t="shared" si="9"/>
        <v>5220</v>
      </c>
      <c r="L103" s="199">
        <v>46446</v>
      </c>
      <c r="M103" s="137">
        <v>30</v>
      </c>
      <c r="N103" s="137" t="s">
        <v>160</v>
      </c>
      <c r="O103" s="137"/>
    </row>
    <row r="104" spans="1:15" x14ac:dyDescent="0.35">
      <c r="A104" s="204" t="s">
        <v>129</v>
      </c>
      <c r="B104" s="195">
        <v>4101765</v>
      </c>
      <c r="C104" s="198" t="s">
        <v>130</v>
      </c>
      <c r="D104" s="194" t="s">
        <v>131</v>
      </c>
      <c r="E104" s="134"/>
      <c r="F104" s="140"/>
      <c r="G104" s="214">
        <v>73</v>
      </c>
      <c r="H104" s="214"/>
      <c r="I104" s="197"/>
      <c r="J104" s="7">
        <f t="shared" si="8"/>
        <v>73</v>
      </c>
      <c r="K104" s="7">
        <f t="shared" si="9"/>
        <v>73</v>
      </c>
      <c r="L104" s="199">
        <v>46446</v>
      </c>
      <c r="M104" s="141">
        <v>1</v>
      </c>
      <c r="N104" s="137" t="s">
        <v>160</v>
      </c>
      <c r="O104" s="137"/>
    </row>
    <row r="105" spans="1:15" x14ac:dyDescent="0.35">
      <c r="A105" s="204" t="s">
        <v>129</v>
      </c>
      <c r="B105" s="195">
        <v>311461</v>
      </c>
      <c r="C105" s="198" t="s">
        <v>177</v>
      </c>
      <c r="D105" s="194" t="s">
        <v>178</v>
      </c>
      <c r="E105" s="134"/>
      <c r="F105" s="140"/>
      <c r="G105" s="214">
        <v>87</v>
      </c>
      <c r="H105" s="214"/>
      <c r="I105" s="197"/>
      <c r="J105" s="7">
        <f t="shared" si="8"/>
        <v>87</v>
      </c>
      <c r="K105" s="7">
        <f t="shared" si="9"/>
        <v>8.7000000000000011</v>
      </c>
      <c r="L105" s="199">
        <v>46446</v>
      </c>
      <c r="M105" s="137">
        <f>100/1000</f>
        <v>0.1</v>
      </c>
      <c r="N105" s="137"/>
      <c r="O105" s="137"/>
    </row>
    <row r="106" spans="1:15" hidden="1" x14ac:dyDescent="0.35">
      <c r="A106" s="204" t="s">
        <v>125</v>
      </c>
      <c r="B106" s="195">
        <v>4216815</v>
      </c>
      <c r="C106" s="198" t="s">
        <v>200</v>
      </c>
      <c r="D106" s="194" t="s">
        <v>152</v>
      </c>
      <c r="E106" s="134"/>
      <c r="F106" s="140"/>
      <c r="G106" s="214">
        <v>355</v>
      </c>
      <c r="H106" s="214"/>
      <c r="I106" s="197"/>
      <c r="J106" s="7">
        <f t="shared" si="8"/>
        <v>355</v>
      </c>
      <c r="K106" s="7">
        <f t="shared" si="9"/>
        <v>10650</v>
      </c>
      <c r="L106" s="199">
        <v>46449</v>
      </c>
      <c r="M106" s="137">
        <v>30</v>
      </c>
      <c r="N106" s="137" t="s">
        <v>160</v>
      </c>
      <c r="O106" s="137"/>
    </row>
    <row r="107" spans="1:15" hidden="1" x14ac:dyDescent="0.35">
      <c r="A107" s="204" t="s">
        <v>125</v>
      </c>
      <c r="B107" s="195">
        <v>4165680</v>
      </c>
      <c r="C107" s="198" t="s">
        <v>201</v>
      </c>
      <c r="D107" s="194" t="s">
        <v>145</v>
      </c>
      <c r="E107" s="134"/>
      <c r="F107" s="140"/>
      <c r="G107" s="214">
        <v>0</v>
      </c>
      <c r="H107" s="214"/>
      <c r="I107" s="197"/>
      <c r="J107" s="7">
        <f t="shared" si="8"/>
        <v>0</v>
      </c>
      <c r="K107" s="7">
        <f t="shared" si="9"/>
        <v>0</v>
      </c>
      <c r="L107" s="199"/>
      <c r="M107" s="137">
        <v>30</v>
      </c>
      <c r="N107" s="137"/>
      <c r="O107" s="2"/>
    </row>
    <row r="108" spans="1:15" hidden="1" x14ac:dyDescent="0.35">
      <c r="A108" s="204" t="s">
        <v>125</v>
      </c>
      <c r="B108" s="195">
        <v>4165680</v>
      </c>
      <c r="C108" s="198" t="s">
        <v>201</v>
      </c>
      <c r="D108" s="194" t="s">
        <v>145</v>
      </c>
      <c r="E108" s="134"/>
      <c r="F108" s="140"/>
      <c r="G108" s="214">
        <v>0</v>
      </c>
      <c r="H108" s="214"/>
      <c r="I108" s="197">
        <v>33</v>
      </c>
      <c r="J108" s="7">
        <f t="shared" si="8"/>
        <v>33</v>
      </c>
      <c r="K108" s="7">
        <f t="shared" si="9"/>
        <v>990</v>
      </c>
      <c r="L108" s="199">
        <v>46407</v>
      </c>
      <c r="M108" s="137">
        <v>30</v>
      </c>
      <c r="N108" s="137"/>
      <c r="O108" s="2"/>
    </row>
    <row r="109" spans="1:15" x14ac:dyDescent="0.35">
      <c r="A109" s="204" t="s">
        <v>129</v>
      </c>
      <c r="B109" s="195">
        <v>4160929</v>
      </c>
      <c r="C109" s="198" t="s">
        <v>202</v>
      </c>
      <c r="D109" s="194" t="s">
        <v>131</v>
      </c>
      <c r="E109" s="134"/>
      <c r="F109" s="140"/>
      <c r="G109" s="214">
        <v>236</v>
      </c>
      <c r="H109" s="214"/>
      <c r="I109" s="197"/>
      <c r="J109" s="7">
        <f t="shared" si="8"/>
        <v>236</v>
      </c>
      <c r="K109" s="7">
        <f t="shared" si="9"/>
        <v>236</v>
      </c>
      <c r="L109" s="199">
        <v>46453</v>
      </c>
      <c r="M109" s="141">
        <v>1</v>
      </c>
      <c r="N109" s="141"/>
      <c r="O109" s="141"/>
    </row>
    <row r="110" spans="1:15" hidden="1" x14ac:dyDescent="0.35">
      <c r="A110" s="204" t="s">
        <v>125</v>
      </c>
      <c r="B110" s="195">
        <v>4220685</v>
      </c>
      <c r="C110" s="198" t="s">
        <v>135</v>
      </c>
      <c r="D110" s="194" t="s">
        <v>147</v>
      </c>
      <c r="E110" s="134"/>
      <c r="F110" s="140"/>
      <c r="G110" s="214">
        <v>497</v>
      </c>
      <c r="H110" s="214"/>
      <c r="I110" s="197"/>
      <c r="J110" s="7">
        <f t="shared" si="8"/>
        <v>497</v>
      </c>
      <c r="K110" s="7">
        <f t="shared" si="9"/>
        <v>4970</v>
      </c>
      <c r="L110" s="199">
        <v>46481</v>
      </c>
      <c r="M110" s="137">
        <v>10</v>
      </c>
      <c r="N110" s="137" t="s">
        <v>160</v>
      </c>
      <c r="O110" s="137"/>
    </row>
    <row r="111" spans="1:15" hidden="1" x14ac:dyDescent="0.35">
      <c r="A111" s="204" t="s">
        <v>125</v>
      </c>
      <c r="B111" s="195">
        <v>4181094</v>
      </c>
      <c r="C111" s="198" t="s">
        <v>144</v>
      </c>
      <c r="D111" s="194" t="s">
        <v>145</v>
      </c>
      <c r="E111" s="134"/>
      <c r="F111" s="140"/>
      <c r="G111" s="214">
        <v>241</v>
      </c>
      <c r="H111" s="214"/>
      <c r="I111" s="197">
        <v>41</v>
      </c>
      <c r="J111" s="7">
        <f t="shared" si="8"/>
        <v>282</v>
      </c>
      <c r="K111" s="7">
        <f t="shared" si="9"/>
        <v>8460</v>
      </c>
      <c r="L111" s="199">
        <v>46497</v>
      </c>
      <c r="M111" s="137">
        <v>30</v>
      </c>
      <c r="N111" s="137" t="s">
        <v>160</v>
      </c>
      <c r="O111" s="137"/>
    </row>
    <row r="112" spans="1:15" x14ac:dyDescent="0.35">
      <c r="A112" s="204" t="s">
        <v>129</v>
      </c>
      <c r="B112" s="195">
        <v>4011999</v>
      </c>
      <c r="C112" s="198" t="s">
        <v>149</v>
      </c>
      <c r="D112" s="194" t="s">
        <v>150</v>
      </c>
      <c r="E112" s="134"/>
      <c r="F112" s="140"/>
      <c r="G112" s="214">
        <v>685</v>
      </c>
      <c r="H112" s="214"/>
      <c r="I112" s="197"/>
      <c r="J112" s="7">
        <f t="shared" si="8"/>
        <v>685</v>
      </c>
      <c r="K112" s="7">
        <f t="shared" si="9"/>
        <v>68.5</v>
      </c>
      <c r="L112" s="199">
        <v>46499</v>
      </c>
      <c r="M112" s="137">
        <f>100/1000</f>
        <v>0.1</v>
      </c>
      <c r="N112" s="137" t="s">
        <v>160</v>
      </c>
      <c r="O112" s="137"/>
    </row>
    <row r="113" spans="1:15" hidden="1" x14ac:dyDescent="0.35">
      <c r="A113" s="204" t="s">
        <v>129</v>
      </c>
      <c r="B113" s="195">
        <v>4013508</v>
      </c>
      <c r="C113" s="198" t="s">
        <v>203</v>
      </c>
      <c r="D113" s="194" t="s">
        <v>131</v>
      </c>
      <c r="E113" s="134"/>
      <c r="F113" s="140"/>
      <c r="G113" s="214">
        <v>0</v>
      </c>
      <c r="H113" s="214"/>
      <c r="I113" s="197"/>
      <c r="J113" s="7">
        <f t="shared" si="8"/>
        <v>0</v>
      </c>
      <c r="K113" s="7">
        <f t="shared" si="9"/>
        <v>0</v>
      </c>
      <c r="L113" s="199"/>
      <c r="M113" s="141">
        <v>1</v>
      </c>
      <c r="N113" s="141"/>
      <c r="O113" s="233"/>
    </row>
    <row r="114" spans="1:15" x14ac:dyDescent="0.35">
      <c r="A114" s="204" t="s">
        <v>129</v>
      </c>
      <c r="B114" s="195">
        <v>4012001</v>
      </c>
      <c r="C114" s="198" t="s">
        <v>204</v>
      </c>
      <c r="D114" s="194" t="s">
        <v>131</v>
      </c>
      <c r="E114" s="134"/>
      <c r="F114" s="140"/>
      <c r="G114" s="214">
        <v>1</v>
      </c>
      <c r="H114" s="214"/>
      <c r="I114" s="197"/>
      <c r="J114" s="7">
        <f t="shared" si="8"/>
        <v>1</v>
      </c>
      <c r="K114" s="7">
        <f t="shared" si="9"/>
        <v>1</v>
      </c>
      <c r="L114" s="199">
        <v>46499</v>
      </c>
      <c r="M114" s="141">
        <v>1</v>
      </c>
      <c r="N114" s="141"/>
      <c r="O114" s="141"/>
    </row>
    <row r="115" spans="1:15" x14ac:dyDescent="0.35">
      <c r="A115" s="204" t="s">
        <v>129</v>
      </c>
      <c r="B115" s="195">
        <v>4183281</v>
      </c>
      <c r="C115" s="198" t="s">
        <v>190</v>
      </c>
      <c r="D115" s="194" t="s">
        <v>191</v>
      </c>
      <c r="E115" s="134"/>
      <c r="F115" s="140"/>
      <c r="G115" s="214">
        <v>10</v>
      </c>
      <c r="H115" s="214"/>
      <c r="I115" s="197"/>
      <c r="J115" s="7">
        <f t="shared" si="8"/>
        <v>10</v>
      </c>
      <c r="K115" s="7">
        <f t="shared" si="9"/>
        <v>0.2</v>
      </c>
      <c r="L115" s="199">
        <v>46502</v>
      </c>
      <c r="M115" s="137">
        <v>0.02</v>
      </c>
      <c r="N115" s="137" t="s">
        <v>160</v>
      </c>
      <c r="O115" s="137"/>
    </row>
    <row r="116" spans="1:15" x14ac:dyDescent="0.35">
      <c r="A116" s="204" t="s">
        <v>129</v>
      </c>
      <c r="B116" s="195">
        <v>351343</v>
      </c>
      <c r="C116" s="198" t="s">
        <v>132</v>
      </c>
      <c r="D116" s="194" t="s">
        <v>131</v>
      </c>
      <c r="E116" s="134"/>
      <c r="F116" s="140"/>
      <c r="G116" s="214">
        <v>20</v>
      </c>
      <c r="H116" s="214"/>
      <c r="I116" s="197"/>
      <c r="J116" s="7">
        <f t="shared" si="8"/>
        <v>20</v>
      </c>
      <c r="K116" s="7">
        <f t="shared" si="9"/>
        <v>20</v>
      </c>
      <c r="L116" s="199">
        <v>46535</v>
      </c>
      <c r="M116" s="141">
        <v>1</v>
      </c>
      <c r="N116" s="141" t="s">
        <v>160</v>
      </c>
      <c r="O116" s="141"/>
    </row>
    <row r="117" spans="1:15" x14ac:dyDescent="0.35">
      <c r="A117" s="204" t="s">
        <v>129</v>
      </c>
      <c r="B117" s="195">
        <v>4217472</v>
      </c>
      <c r="C117" s="198" t="s">
        <v>205</v>
      </c>
      <c r="D117" s="194" t="s">
        <v>138</v>
      </c>
      <c r="E117" s="134"/>
      <c r="F117" s="140"/>
      <c r="G117" s="214">
        <v>61</v>
      </c>
      <c r="H117" s="214"/>
      <c r="I117" s="197"/>
      <c r="J117" s="7">
        <f t="shared" si="8"/>
        <v>61</v>
      </c>
      <c r="K117" s="7">
        <f t="shared" si="9"/>
        <v>6.1000000000000005</v>
      </c>
      <c r="L117" s="199">
        <v>46537</v>
      </c>
      <c r="M117" s="137">
        <f>100/1000</f>
        <v>0.1</v>
      </c>
      <c r="N117" s="137"/>
      <c r="O117" s="137"/>
    </row>
    <row r="118" spans="1:15" x14ac:dyDescent="0.35">
      <c r="A118" s="204" t="s">
        <v>129</v>
      </c>
      <c r="B118" s="195">
        <v>4075099</v>
      </c>
      <c r="C118" s="198" t="s">
        <v>206</v>
      </c>
      <c r="D118" s="194" t="s">
        <v>140</v>
      </c>
      <c r="E118" s="134"/>
      <c r="F118" s="140"/>
      <c r="G118" s="214">
        <v>110</v>
      </c>
      <c r="H118" s="214"/>
      <c r="I118" s="197"/>
      <c r="J118" s="7">
        <f t="shared" si="8"/>
        <v>110</v>
      </c>
      <c r="K118" s="7">
        <f t="shared" si="9"/>
        <v>5.5</v>
      </c>
      <c r="L118" s="199">
        <v>46570</v>
      </c>
      <c r="M118" s="141">
        <v>0.05</v>
      </c>
      <c r="N118" s="137" t="s">
        <v>160</v>
      </c>
      <c r="O118" s="137"/>
    </row>
    <row r="119" spans="1:15" x14ac:dyDescent="0.35">
      <c r="A119" s="204" t="s">
        <v>129</v>
      </c>
      <c r="B119" s="195">
        <v>4075102</v>
      </c>
      <c r="C119" s="198" t="s">
        <v>206</v>
      </c>
      <c r="D119" s="194" t="s">
        <v>138</v>
      </c>
      <c r="E119" s="134"/>
      <c r="F119" s="140"/>
      <c r="G119" s="214">
        <v>31</v>
      </c>
      <c r="H119" s="214"/>
      <c r="I119" s="197"/>
      <c r="J119" s="7">
        <f t="shared" si="8"/>
        <v>31</v>
      </c>
      <c r="K119" s="7">
        <f t="shared" si="9"/>
        <v>3.1</v>
      </c>
      <c r="L119" s="199">
        <v>46570</v>
      </c>
      <c r="M119" s="137">
        <f>100/1000</f>
        <v>0.1</v>
      </c>
      <c r="N119" s="137" t="s">
        <v>160</v>
      </c>
      <c r="O119" s="137"/>
    </row>
    <row r="120" spans="1:15" x14ac:dyDescent="0.35">
      <c r="A120" s="204" t="s">
        <v>129</v>
      </c>
      <c r="B120" s="195">
        <v>4181200</v>
      </c>
      <c r="C120" s="198" t="s">
        <v>207</v>
      </c>
      <c r="D120" s="194" t="s">
        <v>131</v>
      </c>
      <c r="E120" s="134"/>
      <c r="F120" s="140"/>
      <c r="G120" s="214">
        <v>545</v>
      </c>
      <c r="H120" s="214"/>
      <c r="I120" s="197"/>
      <c r="J120" s="7">
        <f t="shared" si="8"/>
        <v>545</v>
      </c>
      <c r="K120" s="7">
        <f t="shared" si="9"/>
        <v>545</v>
      </c>
      <c r="L120" s="199">
        <v>46575</v>
      </c>
      <c r="M120" s="141">
        <v>1</v>
      </c>
      <c r="N120" s="137" t="s">
        <v>160</v>
      </c>
      <c r="O120" s="137"/>
    </row>
    <row r="121" spans="1:15" hidden="1" x14ac:dyDescent="0.35">
      <c r="A121" s="204" t="s">
        <v>129</v>
      </c>
      <c r="B121" s="195">
        <v>4158231</v>
      </c>
      <c r="C121" s="198" t="s">
        <v>170</v>
      </c>
      <c r="D121" s="194" t="s">
        <v>140</v>
      </c>
      <c r="E121" s="134"/>
      <c r="F121" s="140"/>
      <c r="G121" s="214">
        <v>0</v>
      </c>
      <c r="H121" s="214"/>
      <c r="I121" s="197"/>
      <c r="J121" s="7">
        <f t="shared" si="8"/>
        <v>0</v>
      </c>
      <c r="K121" s="7">
        <f t="shared" si="9"/>
        <v>0</v>
      </c>
      <c r="L121" s="199"/>
      <c r="M121" s="141">
        <v>0.05</v>
      </c>
      <c r="N121" s="141"/>
      <c r="O121" s="233"/>
    </row>
    <row r="122" spans="1:15" hidden="1" x14ac:dyDescent="0.35">
      <c r="A122" s="204" t="s">
        <v>129</v>
      </c>
      <c r="B122" s="195">
        <v>4158231</v>
      </c>
      <c r="C122" s="198" t="s">
        <v>170</v>
      </c>
      <c r="D122" s="194" t="s">
        <v>140</v>
      </c>
      <c r="E122" s="134"/>
      <c r="F122" s="140"/>
      <c r="G122" s="214">
        <v>0</v>
      </c>
      <c r="H122" s="214"/>
      <c r="I122" s="197"/>
      <c r="J122" s="7">
        <f t="shared" si="8"/>
        <v>0</v>
      </c>
      <c r="K122" s="7">
        <f t="shared" si="9"/>
        <v>0</v>
      </c>
      <c r="L122" s="199"/>
      <c r="M122" s="141">
        <v>0.05</v>
      </c>
      <c r="N122" s="141"/>
      <c r="O122" s="233"/>
    </row>
    <row r="123" spans="1:15" x14ac:dyDescent="0.35">
      <c r="A123" s="204" t="s">
        <v>129</v>
      </c>
      <c r="B123" s="195">
        <v>4038537</v>
      </c>
      <c r="C123" s="198" t="s">
        <v>167</v>
      </c>
      <c r="D123" s="194" t="s">
        <v>131</v>
      </c>
      <c r="E123" s="134"/>
      <c r="F123" s="140"/>
      <c r="G123" s="214">
        <v>500</v>
      </c>
      <c r="H123" s="214"/>
      <c r="I123" s="197"/>
      <c r="J123" s="7">
        <f t="shared" si="8"/>
        <v>500</v>
      </c>
      <c r="K123" s="7">
        <f t="shared" si="9"/>
        <v>500</v>
      </c>
      <c r="L123" s="199">
        <v>46575</v>
      </c>
      <c r="M123" s="141">
        <v>1</v>
      </c>
      <c r="N123" s="141"/>
      <c r="O123" s="141"/>
    </row>
    <row r="124" spans="1:15" hidden="1" x14ac:dyDescent="0.35">
      <c r="A124" s="204" t="s">
        <v>129</v>
      </c>
      <c r="B124" s="195">
        <v>4132139</v>
      </c>
      <c r="C124" s="198" t="s">
        <v>169</v>
      </c>
      <c r="D124" s="194" t="s">
        <v>138</v>
      </c>
      <c r="E124" s="134"/>
      <c r="F124" s="140"/>
      <c r="G124" s="214">
        <v>0</v>
      </c>
      <c r="H124" s="214"/>
      <c r="I124" s="197"/>
      <c r="J124" s="7">
        <f t="shared" si="8"/>
        <v>0</v>
      </c>
      <c r="K124" s="7">
        <f t="shared" si="9"/>
        <v>0</v>
      </c>
      <c r="L124" s="199"/>
      <c r="M124" s="137">
        <f>100/1000</f>
        <v>0.1</v>
      </c>
      <c r="N124" s="137"/>
      <c r="O124" s="2"/>
    </row>
    <row r="125" spans="1:15" hidden="1" x14ac:dyDescent="0.35">
      <c r="A125" s="204" t="s">
        <v>129</v>
      </c>
      <c r="B125" s="195">
        <v>4132139</v>
      </c>
      <c r="C125" s="198" t="s">
        <v>169</v>
      </c>
      <c r="D125" s="194" t="s">
        <v>138</v>
      </c>
      <c r="E125" s="134"/>
      <c r="F125" s="140"/>
      <c r="G125" s="214">
        <v>0</v>
      </c>
      <c r="H125" s="214"/>
      <c r="I125" s="197"/>
      <c r="J125" s="7">
        <f t="shared" si="8"/>
        <v>0</v>
      </c>
      <c r="K125" s="7">
        <f t="shared" si="9"/>
        <v>0</v>
      </c>
      <c r="L125" s="199"/>
      <c r="M125" s="137">
        <f>100/1000</f>
        <v>0.1</v>
      </c>
      <c r="N125" s="137"/>
      <c r="O125" s="2"/>
    </row>
    <row r="126" spans="1:15" hidden="1" x14ac:dyDescent="0.35">
      <c r="A126" s="204" t="s">
        <v>129</v>
      </c>
      <c r="B126" s="195">
        <v>4132139</v>
      </c>
      <c r="C126" s="198" t="s">
        <v>169</v>
      </c>
      <c r="D126" s="194" t="s">
        <v>138</v>
      </c>
      <c r="E126" s="134"/>
      <c r="F126" s="140"/>
      <c r="G126" s="214">
        <v>0</v>
      </c>
      <c r="H126" s="214"/>
      <c r="I126" s="197"/>
      <c r="J126" s="7">
        <f t="shared" si="8"/>
        <v>0</v>
      </c>
      <c r="K126" s="7">
        <f t="shared" si="9"/>
        <v>0</v>
      </c>
      <c r="L126" s="199"/>
      <c r="M126" s="137">
        <f>100/1000</f>
        <v>0.1</v>
      </c>
      <c r="N126" s="137"/>
      <c r="O126" s="2"/>
    </row>
    <row r="127" spans="1:15" x14ac:dyDescent="0.35">
      <c r="A127" s="204" t="s">
        <v>129</v>
      </c>
      <c r="B127" s="195">
        <v>4132140</v>
      </c>
      <c r="C127" s="198" t="s">
        <v>208</v>
      </c>
      <c r="D127" s="194" t="s">
        <v>134</v>
      </c>
      <c r="E127" s="134"/>
      <c r="F127" s="140"/>
      <c r="G127" s="214">
        <v>494</v>
      </c>
      <c r="H127" s="214"/>
      <c r="I127" s="197">
        <v>30</v>
      </c>
      <c r="J127" s="7">
        <f t="shared" si="8"/>
        <v>524</v>
      </c>
      <c r="K127" s="7">
        <f t="shared" si="9"/>
        <v>524</v>
      </c>
      <c r="L127" s="199">
        <v>46533</v>
      </c>
      <c r="M127" s="137">
        <v>1</v>
      </c>
      <c r="N127" s="137" t="s">
        <v>160</v>
      </c>
      <c r="O127" s="137"/>
    </row>
    <row r="128" spans="1:15" x14ac:dyDescent="0.35">
      <c r="A128" s="204" t="s">
        <v>129</v>
      </c>
      <c r="B128" s="195">
        <v>4183280</v>
      </c>
      <c r="C128" s="198" t="s">
        <v>209</v>
      </c>
      <c r="D128" s="194" t="s">
        <v>138</v>
      </c>
      <c r="E128" s="134"/>
      <c r="F128" s="140"/>
      <c r="G128" s="214">
        <v>29</v>
      </c>
      <c r="H128" s="214"/>
      <c r="I128" s="197">
        <v>107</v>
      </c>
      <c r="J128" s="7">
        <f t="shared" si="8"/>
        <v>136</v>
      </c>
      <c r="K128" s="7">
        <f t="shared" si="9"/>
        <v>13.600000000000001</v>
      </c>
      <c r="L128" s="199">
        <v>46463</v>
      </c>
      <c r="M128" s="137">
        <f>100/1000</f>
        <v>0.1</v>
      </c>
      <c r="N128" s="137"/>
      <c r="O128" s="137"/>
    </row>
    <row r="129" spans="1:15" x14ac:dyDescent="0.35">
      <c r="A129" s="204" t="s">
        <v>129</v>
      </c>
      <c r="B129" s="195">
        <v>4096679</v>
      </c>
      <c r="C129" s="198" t="s">
        <v>164</v>
      </c>
      <c r="D129" s="194" t="s">
        <v>165</v>
      </c>
      <c r="E129" s="134"/>
      <c r="F129" s="140"/>
      <c r="G129" s="214">
        <v>1016</v>
      </c>
      <c r="H129" s="214"/>
      <c r="I129" s="197"/>
      <c r="J129" s="7">
        <f t="shared" si="8"/>
        <v>1016</v>
      </c>
      <c r="K129" s="7">
        <f t="shared" si="9"/>
        <v>101.60000000000001</v>
      </c>
      <c r="L129" s="199">
        <v>46578</v>
      </c>
      <c r="M129" s="137">
        <f>100/1000</f>
        <v>0.1</v>
      </c>
      <c r="N129" s="137" t="s">
        <v>160</v>
      </c>
      <c r="O129" s="137"/>
    </row>
    <row r="130" spans="1:15" x14ac:dyDescent="0.35">
      <c r="A130" s="204" t="s">
        <v>129</v>
      </c>
      <c r="B130" s="195">
        <v>4170979</v>
      </c>
      <c r="C130" s="198" t="s">
        <v>210</v>
      </c>
      <c r="D130" s="194" t="s">
        <v>138</v>
      </c>
      <c r="E130" s="134"/>
      <c r="F130" s="140"/>
      <c r="G130" s="214">
        <v>323</v>
      </c>
      <c r="H130" s="214"/>
      <c r="I130" s="197"/>
      <c r="J130" s="7">
        <f t="shared" si="8"/>
        <v>323</v>
      </c>
      <c r="K130" s="7">
        <f t="shared" si="9"/>
        <v>32.300000000000004</v>
      </c>
      <c r="L130" s="199">
        <v>46578</v>
      </c>
      <c r="M130" s="137">
        <f>100/1000</f>
        <v>0.1</v>
      </c>
      <c r="N130" s="141" t="s">
        <v>160</v>
      </c>
      <c r="O130" s="141"/>
    </row>
    <row r="131" spans="1:15" x14ac:dyDescent="0.35">
      <c r="A131" s="204" t="s">
        <v>129</v>
      </c>
      <c r="B131" s="195">
        <v>4183277</v>
      </c>
      <c r="C131" s="198" t="s">
        <v>185</v>
      </c>
      <c r="D131" s="194" t="s">
        <v>138</v>
      </c>
      <c r="E131" s="134"/>
      <c r="F131" s="140"/>
      <c r="G131" s="214">
        <v>283</v>
      </c>
      <c r="H131" s="214"/>
      <c r="I131" s="197"/>
      <c r="J131" s="7">
        <f t="shared" si="8"/>
        <v>283</v>
      </c>
      <c r="K131" s="7">
        <f t="shared" si="9"/>
        <v>28.3</v>
      </c>
      <c r="L131" s="199">
        <v>46578</v>
      </c>
      <c r="M131" s="137">
        <f>100/1000</f>
        <v>0.1</v>
      </c>
      <c r="N131" s="137"/>
      <c r="O131" s="137"/>
    </row>
    <row r="132" spans="1:15" hidden="1" x14ac:dyDescent="0.35">
      <c r="A132" s="204" t="s">
        <v>125</v>
      </c>
      <c r="B132" s="195">
        <v>4165682</v>
      </c>
      <c r="C132" s="198" t="s">
        <v>154</v>
      </c>
      <c r="D132" s="194" t="s">
        <v>145</v>
      </c>
      <c r="E132" s="134"/>
      <c r="F132" s="140"/>
      <c r="G132" s="214">
        <v>0</v>
      </c>
      <c r="H132" s="214"/>
      <c r="I132" s="197">
        <v>232</v>
      </c>
      <c r="J132" s="7">
        <f t="shared" si="8"/>
        <v>232</v>
      </c>
      <c r="K132" s="7">
        <f t="shared" si="9"/>
        <v>6960</v>
      </c>
      <c r="L132" s="199">
        <v>46344</v>
      </c>
      <c r="M132" s="141">
        <v>30</v>
      </c>
      <c r="N132" s="141"/>
      <c r="O132" s="233"/>
    </row>
    <row r="133" spans="1:15" x14ac:dyDescent="0.35">
      <c r="A133" s="204" t="s">
        <v>129</v>
      </c>
      <c r="B133" s="195">
        <v>4073384</v>
      </c>
      <c r="C133" s="198" t="s">
        <v>211</v>
      </c>
      <c r="D133" s="194" t="s">
        <v>212</v>
      </c>
      <c r="E133" s="134"/>
      <c r="F133" s="140"/>
      <c r="G133" s="214">
        <v>117</v>
      </c>
      <c r="H133" s="214"/>
      <c r="I133" s="197"/>
      <c r="J133" s="7">
        <f t="shared" si="8"/>
        <v>117</v>
      </c>
      <c r="K133" s="7">
        <f t="shared" si="9"/>
        <v>11.700000000000001</v>
      </c>
      <c r="L133" s="199">
        <v>46579</v>
      </c>
      <c r="M133" s="137">
        <f>100/1000</f>
        <v>0.1</v>
      </c>
      <c r="N133" s="137" t="s">
        <v>160</v>
      </c>
      <c r="O133" s="137"/>
    </row>
    <row r="134" spans="1:15" hidden="1" x14ac:dyDescent="0.35">
      <c r="A134" s="204" t="s">
        <v>125</v>
      </c>
      <c r="B134" s="195">
        <v>4199029</v>
      </c>
      <c r="C134" s="198" t="s">
        <v>163</v>
      </c>
      <c r="D134" s="194" t="s">
        <v>145</v>
      </c>
      <c r="E134" s="134"/>
      <c r="F134" s="140"/>
      <c r="G134" s="214">
        <v>240</v>
      </c>
      <c r="H134" s="214"/>
      <c r="I134" s="197"/>
      <c r="J134" s="7">
        <f t="shared" ref="J134:J149" si="10">SUM(E134:I134)</f>
        <v>240</v>
      </c>
      <c r="K134" s="7">
        <f t="shared" ref="K134:K149" si="11">J134*M134</f>
        <v>7200</v>
      </c>
      <c r="L134" s="199">
        <v>46580</v>
      </c>
      <c r="M134" s="137">
        <v>30</v>
      </c>
      <c r="N134" s="137" t="s">
        <v>160</v>
      </c>
      <c r="O134" s="137"/>
    </row>
    <row r="135" spans="1:15" x14ac:dyDescent="0.35">
      <c r="A135" s="204" t="s">
        <v>129</v>
      </c>
      <c r="B135" s="195">
        <v>4185744</v>
      </c>
      <c r="C135" s="198" t="s">
        <v>213</v>
      </c>
      <c r="D135" s="194" t="s">
        <v>140</v>
      </c>
      <c r="E135" s="134"/>
      <c r="F135" s="140"/>
      <c r="G135" s="214">
        <v>179</v>
      </c>
      <c r="H135" s="214"/>
      <c r="I135" s="197"/>
      <c r="J135" s="7">
        <f t="shared" si="10"/>
        <v>179</v>
      </c>
      <c r="K135" s="7">
        <f t="shared" si="11"/>
        <v>8.9500000000000011</v>
      </c>
      <c r="L135" s="199">
        <v>46580</v>
      </c>
      <c r="M135" s="141">
        <v>0.05</v>
      </c>
      <c r="N135" s="137" t="s">
        <v>160</v>
      </c>
      <c r="O135" s="137"/>
    </row>
    <row r="136" spans="1:15" x14ac:dyDescent="0.35">
      <c r="A136" s="204" t="s">
        <v>129</v>
      </c>
      <c r="B136" s="195">
        <v>4185745</v>
      </c>
      <c r="C136" s="198" t="s">
        <v>214</v>
      </c>
      <c r="D136" s="194" t="s">
        <v>215</v>
      </c>
      <c r="E136" s="134"/>
      <c r="F136" s="140"/>
      <c r="G136" s="214">
        <v>173</v>
      </c>
      <c r="H136" s="214"/>
      <c r="I136" s="197"/>
      <c r="J136" s="7">
        <f t="shared" si="10"/>
        <v>173</v>
      </c>
      <c r="K136" s="7">
        <f t="shared" si="11"/>
        <v>8.65</v>
      </c>
      <c r="L136" s="199">
        <v>46580</v>
      </c>
      <c r="M136" s="141">
        <v>0.05</v>
      </c>
      <c r="N136" s="137" t="s">
        <v>160</v>
      </c>
      <c r="O136" s="137"/>
    </row>
    <row r="137" spans="1:15" hidden="1" x14ac:dyDescent="0.35">
      <c r="A137" s="204" t="s">
        <v>129</v>
      </c>
      <c r="B137" s="195">
        <v>360658</v>
      </c>
      <c r="C137" s="198" t="s">
        <v>216</v>
      </c>
      <c r="D137" s="194" t="s">
        <v>131</v>
      </c>
      <c r="E137" s="134"/>
      <c r="F137" s="140"/>
      <c r="G137" s="214">
        <v>0</v>
      </c>
      <c r="H137" s="214"/>
      <c r="I137" s="197"/>
      <c r="J137" s="7">
        <f t="shared" si="10"/>
        <v>0</v>
      </c>
      <c r="K137" s="7">
        <f t="shared" si="11"/>
        <v>0</v>
      </c>
      <c r="L137" s="199"/>
      <c r="M137" s="141">
        <v>1</v>
      </c>
      <c r="N137" s="141"/>
      <c r="O137" s="233"/>
    </row>
    <row r="138" spans="1:15" x14ac:dyDescent="0.35">
      <c r="A138" s="204" t="s">
        <v>129</v>
      </c>
      <c r="B138" s="195">
        <v>4185732</v>
      </c>
      <c r="C138" s="198" t="s">
        <v>213</v>
      </c>
      <c r="D138" s="194" t="s">
        <v>138</v>
      </c>
      <c r="E138" s="134"/>
      <c r="F138" s="140"/>
      <c r="G138" s="214">
        <v>44</v>
      </c>
      <c r="H138" s="214"/>
      <c r="I138" s="197"/>
      <c r="J138" s="7">
        <f t="shared" si="10"/>
        <v>44</v>
      </c>
      <c r="K138" s="7">
        <f t="shared" si="11"/>
        <v>4.4000000000000004</v>
      </c>
      <c r="L138" s="199">
        <v>46580</v>
      </c>
      <c r="M138" s="137">
        <f>100/1000</f>
        <v>0.1</v>
      </c>
      <c r="N138" s="137" t="s">
        <v>160</v>
      </c>
      <c r="O138" s="137"/>
    </row>
    <row r="139" spans="1:15" x14ac:dyDescent="0.35">
      <c r="A139" s="204" t="s">
        <v>129</v>
      </c>
      <c r="B139" s="195">
        <v>4068066</v>
      </c>
      <c r="C139" s="198" t="s">
        <v>189</v>
      </c>
      <c r="D139" s="194" t="s">
        <v>140</v>
      </c>
      <c r="E139" s="134"/>
      <c r="F139" s="140"/>
      <c r="G139" s="214">
        <v>1367</v>
      </c>
      <c r="H139" s="214"/>
      <c r="I139" s="197"/>
      <c r="J139" s="7">
        <f t="shared" si="10"/>
        <v>1367</v>
      </c>
      <c r="K139" s="7">
        <f t="shared" si="11"/>
        <v>68.350000000000009</v>
      </c>
      <c r="L139" s="199">
        <v>46581</v>
      </c>
      <c r="M139" s="141">
        <v>0.05</v>
      </c>
      <c r="N139" s="137" t="s">
        <v>160</v>
      </c>
      <c r="O139" s="137"/>
    </row>
    <row r="140" spans="1:15" x14ac:dyDescent="0.35">
      <c r="A140" s="204" t="s">
        <v>129</v>
      </c>
      <c r="B140" s="195">
        <v>4068137</v>
      </c>
      <c r="C140" s="198" t="s">
        <v>189</v>
      </c>
      <c r="D140" s="194" t="s">
        <v>138</v>
      </c>
      <c r="E140" s="134"/>
      <c r="F140" s="140"/>
      <c r="G140" s="214">
        <v>508</v>
      </c>
      <c r="H140" s="214"/>
      <c r="I140" s="197"/>
      <c r="J140" s="7">
        <f t="shared" si="10"/>
        <v>508</v>
      </c>
      <c r="K140" s="7">
        <f t="shared" si="11"/>
        <v>50.800000000000004</v>
      </c>
      <c r="L140" s="199">
        <v>46581</v>
      </c>
      <c r="M140" s="137">
        <f>100/1000</f>
        <v>0.1</v>
      </c>
      <c r="N140" s="137" t="s">
        <v>160</v>
      </c>
      <c r="O140" s="137"/>
    </row>
    <row r="141" spans="1:15" x14ac:dyDescent="0.35">
      <c r="A141" s="204" t="s">
        <v>129</v>
      </c>
      <c r="B141" s="195">
        <v>4227101</v>
      </c>
      <c r="C141" s="198" t="s">
        <v>205</v>
      </c>
      <c r="D141" s="194" t="s">
        <v>140</v>
      </c>
      <c r="E141" s="134"/>
      <c r="F141" s="140"/>
      <c r="G141" s="214">
        <v>472</v>
      </c>
      <c r="H141" s="214"/>
      <c r="I141" s="197">
        <v>39</v>
      </c>
      <c r="J141" s="7">
        <f t="shared" si="10"/>
        <v>511</v>
      </c>
      <c r="K141" s="7">
        <f t="shared" si="11"/>
        <v>25.55</v>
      </c>
      <c r="L141" s="199">
        <v>46538</v>
      </c>
      <c r="M141" s="141">
        <v>0.05</v>
      </c>
      <c r="N141" s="141"/>
      <c r="O141" s="141"/>
    </row>
    <row r="142" spans="1:15" hidden="1" x14ac:dyDescent="0.35">
      <c r="A142" s="204" t="s">
        <v>129</v>
      </c>
      <c r="B142" s="195">
        <v>4135823</v>
      </c>
      <c r="C142" s="198" t="s">
        <v>180</v>
      </c>
      <c r="D142" s="194" t="s">
        <v>140</v>
      </c>
      <c r="E142" s="134"/>
      <c r="F142" s="140"/>
      <c r="G142" s="214">
        <v>0</v>
      </c>
      <c r="H142" s="214"/>
      <c r="I142" s="197"/>
      <c r="J142" s="7">
        <f t="shared" si="10"/>
        <v>0</v>
      </c>
      <c r="K142" s="7">
        <f t="shared" si="11"/>
        <v>0</v>
      </c>
      <c r="L142" s="199"/>
      <c r="M142" s="141">
        <v>0.05</v>
      </c>
      <c r="N142" s="141"/>
      <c r="O142" s="233"/>
    </row>
    <row r="143" spans="1:15" hidden="1" x14ac:dyDescent="0.35">
      <c r="A143" s="204" t="s">
        <v>129</v>
      </c>
      <c r="B143" s="195">
        <v>4135831</v>
      </c>
      <c r="C143" s="198" t="s">
        <v>180</v>
      </c>
      <c r="D143" s="194" t="s">
        <v>138</v>
      </c>
      <c r="E143" s="134"/>
      <c r="F143" s="140"/>
      <c r="G143" s="214">
        <v>0</v>
      </c>
      <c r="H143" s="214"/>
      <c r="I143" s="197"/>
      <c r="J143" s="7">
        <f t="shared" si="10"/>
        <v>0</v>
      </c>
      <c r="K143" s="7">
        <f t="shared" si="11"/>
        <v>0</v>
      </c>
      <c r="L143" s="199"/>
      <c r="M143" s="137">
        <f>100/1000</f>
        <v>0.1</v>
      </c>
      <c r="N143" s="137"/>
      <c r="O143" s="2"/>
    </row>
    <row r="144" spans="1:15" x14ac:dyDescent="0.35">
      <c r="A144" s="204" t="s">
        <v>129</v>
      </c>
      <c r="B144" s="195">
        <v>4073385</v>
      </c>
      <c r="C144" s="198" t="s">
        <v>143</v>
      </c>
      <c r="D144" s="194" t="s">
        <v>138</v>
      </c>
      <c r="E144" s="134"/>
      <c r="F144" s="140"/>
      <c r="G144" s="214">
        <v>49</v>
      </c>
      <c r="H144" s="214"/>
      <c r="I144" s="197"/>
      <c r="J144" s="7">
        <f t="shared" si="10"/>
        <v>49</v>
      </c>
      <c r="K144" s="7">
        <f t="shared" si="11"/>
        <v>4.9000000000000004</v>
      </c>
      <c r="L144" s="199">
        <v>46581</v>
      </c>
      <c r="M144" s="137">
        <f>100/1000</f>
        <v>0.1</v>
      </c>
      <c r="N144" s="137" t="s">
        <v>160</v>
      </c>
      <c r="O144" s="137"/>
    </row>
    <row r="145" spans="1:15" x14ac:dyDescent="0.35">
      <c r="A145" s="204" t="s">
        <v>129</v>
      </c>
      <c r="B145" s="195">
        <v>4114195</v>
      </c>
      <c r="C145" s="198" t="s">
        <v>217</v>
      </c>
      <c r="D145" s="194" t="s">
        <v>212</v>
      </c>
      <c r="E145" s="134"/>
      <c r="F145" s="140"/>
      <c r="G145" s="214">
        <v>846</v>
      </c>
      <c r="H145" s="214"/>
      <c r="I145" s="197">
        <v>19</v>
      </c>
      <c r="J145" s="7">
        <f t="shared" si="10"/>
        <v>865</v>
      </c>
      <c r="K145" s="7">
        <f t="shared" si="11"/>
        <v>86.5</v>
      </c>
      <c r="L145" s="199">
        <v>46498</v>
      </c>
      <c r="M145" s="137">
        <f>100/1000</f>
        <v>0.1</v>
      </c>
      <c r="N145" s="137" t="s">
        <v>160</v>
      </c>
      <c r="O145" s="137"/>
    </row>
    <row r="146" spans="1:15" x14ac:dyDescent="0.35">
      <c r="A146" s="204" t="s">
        <v>129</v>
      </c>
      <c r="B146" s="195">
        <v>4170977</v>
      </c>
      <c r="C146" s="198" t="s">
        <v>142</v>
      </c>
      <c r="D146" s="194" t="s">
        <v>138</v>
      </c>
      <c r="E146" s="134"/>
      <c r="F146" s="140"/>
      <c r="G146" s="214">
        <v>245</v>
      </c>
      <c r="H146" s="214"/>
      <c r="I146" s="197"/>
      <c r="J146" s="7">
        <f t="shared" si="10"/>
        <v>245</v>
      </c>
      <c r="K146" s="7">
        <f t="shared" si="11"/>
        <v>24.5</v>
      </c>
      <c r="L146" s="199">
        <v>46584</v>
      </c>
      <c r="M146" s="137">
        <f>100/1000</f>
        <v>0.1</v>
      </c>
      <c r="N146" s="137" t="s">
        <v>160</v>
      </c>
      <c r="O146" s="137"/>
    </row>
    <row r="147" spans="1:15" hidden="1" x14ac:dyDescent="0.35">
      <c r="A147" s="204" t="s">
        <v>125</v>
      </c>
      <c r="B147" s="195">
        <v>4170972</v>
      </c>
      <c r="C147" s="198" t="s">
        <v>218</v>
      </c>
      <c r="D147" s="194" t="s">
        <v>152</v>
      </c>
      <c r="E147" s="134"/>
      <c r="F147" s="140"/>
      <c r="G147" s="214">
        <v>0</v>
      </c>
      <c r="H147" s="214"/>
      <c r="I147" s="197"/>
      <c r="J147" s="7">
        <f t="shared" si="10"/>
        <v>0</v>
      </c>
      <c r="K147" s="7">
        <f t="shared" si="11"/>
        <v>0</v>
      </c>
      <c r="L147" s="199"/>
      <c r="M147" s="137">
        <v>30</v>
      </c>
      <c r="N147" s="137"/>
      <c r="O147" s="2"/>
    </row>
    <row r="148" spans="1:15" hidden="1" x14ac:dyDescent="0.35">
      <c r="A148" s="204" t="s">
        <v>125</v>
      </c>
      <c r="B148" s="195">
        <v>4170972</v>
      </c>
      <c r="C148" s="198" t="s">
        <v>218</v>
      </c>
      <c r="D148" s="194" t="s">
        <v>152</v>
      </c>
      <c r="E148" s="134"/>
      <c r="F148" s="140"/>
      <c r="G148" s="214">
        <v>0</v>
      </c>
      <c r="H148" s="214"/>
      <c r="I148" s="197"/>
      <c r="J148" s="7">
        <f t="shared" si="10"/>
        <v>0</v>
      </c>
      <c r="K148" s="7">
        <f t="shared" si="11"/>
        <v>0</v>
      </c>
      <c r="L148" s="199"/>
      <c r="M148" s="137">
        <v>30</v>
      </c>
      <c r="N148" s="137"/>
      <c r="O148" s="2"/>
    </row>
    <row r="149" spans="1:15" x14ac:dyDescent="0.35">
      <c r="A149" s="204" t="s">
        <v>129</v>
      </c>
      <c r="B149" s="195">
        <v>4012859</v>
      </c>
      <c r="C149" s="198" t="s">
        <v>219</v>
      </c>
      <c r="D149" s="194" t="s">
        <v>131</v>
      </c>
      <c r="E149" s="134"/>
      <c r="F149" s="140"/>
      <c r="G149" s="214">
        <v>55</v>
      </c>
      <c r="H149" s="214"/>
      <c r="I149" s="197"/>
      <c r="J149" s="7">
        <f t="shared" si="10"/>
        <v>55</v>
      </c>
      <c r="K149" s="7">
        <f t="shared" si="11"/>
        <v>55</v>
      </c>
      <c r="L149" s="199">
        <v>46598</v>
      </c>
      <c r="M149" s="141">
        <v>1</v>
      </c>
      <c r="N149" s="137" t="s">
        <v>160</v>
      </c>
      <c r="O149" s="137"/>
    </row>
    <row r="150" spans="1:15" ht="14.5" hidden="1" customHeight="1" x14ac:dyDescent="0.35">
      <c r="A150" s="226" t="s">
        <v>63</v>
      </c>
      <c r="B150" s="227"/>
      <c r="C150" s="220"/>
      <c r="D150" s="220"/>
      <c r="E150" s="221">
        <f>SUM(E5:E148)</f>
        <v>0</v>
      </c>
      <c r="F150" s="221">
        <f>SUM(F5:F148)</f>
        <v>0</v>
      </c>
      <c r="G150" s="222">
        <f>SUM(G5:G149)</f>
        <v>37790</v>
      </c>
      <c r="H150" s="222"/>
      <c r="I150" s="221">
        <f>SUM(I5:I148)</f>
        <v>682</v>
      </c>
      <c r="J150" s="221">
        <f>SUM(J5:J148)</f>
        <v>38417</v>
      </c>
      <c r="K150" s="223">
        <f>SUM(K5:K148)</f>
        <v>414158.63</v>
      </c>
      <c r="L150" s="224"/>
      <c r="M150" s="225"/>
      <c r="N150" s="225"/>
      <c r="O150" s="234"/>
    </row>
    <row r="151" spans="1:15" x14ac:dyDescent="0.35">
      <c r="B151" s="2"/>
      <c r="C151" s="165"/>
      <c r="D151" s="4"/>
      <c r="E151" s="4"/>
      <c r="F151" s="4"/>
      <c r="G151" s="229"/>
      <c r="H151" s="229"/>
      <c r="I151" s="1"/>
      <c r="J151" s="1"/>
      <c r="K151" s="1"/>
      <c r="L151" s="1"/>
      <c r="M151" s="1"/>
      <c r="N151" s="1"/>
      <c r="O151" s="1"/>
    </row>
    <row r="152" spans="1:15" x14ac:dyDescent="0.35">
      <c r="B152" s="40"/>
      <c r="C152" s="201"/>
      <c r="D152" s="4"/>
      <c r="E152" s="4"/>
      <c r="F152" s="4"/>
      <c r="G152" s="229"/>
      <c r="H152" s="229"/>
      <c r="I152" s="1"/>
      <c r="J152" s="1"/>
      <c r="K152" s="1"/>
      <c r="L152" s="1"/>
      <c r="M152" s="1"/>
      <c r="N152" s="1"/>
      <c r="O152" s="1"/>
    </row>
    <row r="153" spans="1:15" x14ac:dyDescent="0.35">
      <c r="B153" s="40"/>
      <c r="C153" s="201"/>
      <c r="D153" s="4"/>
      <c r="E153" s="4"/>
      <c r="F153" s="4"/>
      <c r="G153" s="229"/>
      <c r="H153" s="229"/>
      <c r="I153" s="1"/>
      <c r="J153" s="1"/>
      <c r="K153" s="1"/>
      <c r="L153" s="1"/>
      <c r="M153" s="1"/>
      <c r="N153" s="1"/>
      <c r="O153" s="1"/>
    </row>
    <row r="154" spans="1:15" x14ac:dyDescent="0.35">
      <c r="B154" s="40"/>
      <c r="C154" s="201"/>
      <c r="D154" s="4"/>
      <c r="E154" s="4"/>
      <c r="F154" s="4"/>
      <c r="G154" s="229"/>
      <c r="H154" s="229"/>
      <c r="I154" s="1"/>
      <c r="J154" s="1"/>
      <c r="K154" s="1"/>
      <c r="L154" s="1"/>
      <c r="M154" s="1"/>
      <c r="N154" s="1"/>
      <c r="O154" s="1"/>
    </row>
    <row r="155" spans="1:15" x14ac:dyDescent="0.35">
      <c r="B155" s="40"/>
      <c r="C155" s="201"/>
      <c r="D155" s="4"/>
      <c r="E155" s="4"/>
      <c r="F155" s="4"/>
      <c r="G155" s="229"/>
      <c r="H155" s="229"/>
      <c r="I155" s="1"/>
      <c r="J155" s="1"/>
      <c r="K155" s="1"/>
      <c r="L155" s="1"/>
      <c r="M155" s="1"/>
      <c r="N155" s="1"/>
      <c r="O155" s="1"/>
    </row>
    <row r="156" spans="1:15" x14ac:dyDescent="0.35">
      <c r="B156" s="40"/>
      <c r="C156" s="201"/>
      <c r="D156" s="4"/>
      <c r="E156" s="4"/>
      <c r="F156" s="4"/>
      <c r="G156" s="229"/>
      <c r="H156" s="229"/>
      <c r="I156" s="1"/>
      <c r="J156" s="1"/>
      <c r="K156" s="1"/>
      <c r="L156" s="1"/>
      <c r="M156" s="1"/>
      <c r="N156" s="1"/>
      <c r="O156" s="1"/>
    </row>
    <row r="157" spans="1:15" x14ac:dyDescent="0.35">
      <c r="B157" s="40"/>
      <c r="C157" s="201"/>
      <c r="D157" s="4"/>
      <c r="E157" s="4"/>
      <c r="F157" s="4"/>
      <c r="G157" s="229"/>
      <c r="H157" s="229"/>
      <c r="I157" s="1"/>
      <c r="J157" s="1"/>
      <c r="K157" s="1"/>
      <c r="L157" s="1"/>
      <c r="M157" s="1"/>
      <c r="N157" s="1"/>
      <c r="O157" s="1"/>
    </row>
    <row r="158" spans="1:15" x14ac:dyDescent="0.35">
      <c r="B158" s="40"/>
      <c r="C158" s="201"/>
      <c r="D158" s="4"/>
      <c r="E158" s="4"/>
      <c r="F158" s="4"/>
      <c r="G158" s="229"/>
      <c r="H158" s="229"/>
      <c r="I158" s="1"/>
      <c r="J158" s="1"/>
      <c r="K158" s="1"/>
      <c r="L158" s="1"/>
      <c r="M158" s="1"/>
      <c r="N158" s="1"/>
      <c r="O158" s="1"/>
    </row>
    <row r="159" spans="1:15" x14ac:dyDescent="0.35">
      <c r="B159" s="40"/>
      <c r="C159" s="201"/>
      <c r="D159" s="4"/>
      <c r="E159" s="4"/>
      <c r="F159" s="4"/>
      <c r="G159" s="229"/>
      <c r="H159" s="229"/>
      <c r="I159" s="1"/>
      <c r="J159" s="1"/>
      <c r="K159" s="1"/>
      <c r="L159" s="1"/>
      <c r="M159" s="1"/>
      <c r="N159" s="1"/>
      <c r="O159" s="1"/>
    </row>
    <row r="160" spans="1:15" x14ac:dyDescent="0.35">
      <c r="B160" s="40"/>
      <c r="C160" s="201"/>
      <c r="D160" s="4"/>
      <c r="E160" s="4"/>
      <c r="F160" s="4"/>
      <c r="G160" s="229"/>
      <c r="H160" s="229"/>
      <c r="I160" s="1"/>
      <c r="J160" s="1"/>
      <c r="K160" s="1"/>
      <c r="L160" s="1"/>
      <c r="M160" s="1"/>
      <c r="N160" s="1"/>
      <c r="O160" s="1"/>
    </row>
    <row r="161" spans="2:15" x14ac:dyDescent="0.35">
      <c r="B161" s="40"/>
      <c r="C161" s="201"/>
      <c r="D161" s="4"/>
      <c r="E161" s="4"/>
      <c r="F161" s="4"/>
      <c r="G161" s="229"/>
      <c r="H161" s="229"/>
      <c r="I161" s="1"/>
      <c r="J161" s="1"/>
      <c r="K161" s="1"/>
      <c r="L161" s="1"/>
      <c r="M161" s="1"/>
      <c r="N161" s="1"/>
      <c r="O161" s="1"/>
    </row>
    <row r="162" spans="2:15" x14ac:dyDescent="0.35">
      <c r="B162" s="40"/>
      <c r="C162" s="201"/>
      <c r="D162" s="4"/>
      <c r="E162" s="4"/>
      <c r="F162" s="4"/>
      <c r="G162" s="229"/>
      <c r="H162" s="229"/>
      <c r="I162" s="1"/>
      <c r="J162" s="1"/>
      <c r="K162" s="1"/>
      <c r="L162" s="1"/>
      <c r="M162" s="1"/>
      <c r="N162" s="1"/>
      <c r="O162" s="1"/>
    </row>
    <row r="163" spans="2:15" x14ac:dyDescent="0.35">
      <c r="B163" s="40"/>
      <c r="C163" s="201"/>
      <c r="D163" s="4"/>
      <c r="E163" s="4"/>
      <c r="F163" s="4"/>
      <c r="G163" s="229"/>
      <c r="H163" s="229"/>
      <c r="I163" s="1"/>
      <c r="J163" s="1"/>
      <c r="K163" s="1"/>
      <c r="L163" s="1"/>
      <c r="M163" s="1"/>
      <c r="N163" s="1"/>
      <c r="O163" s="1"/>
    </row>
    <row r="164" spans="2:15" x14ac:dyDescent="0.35">
      <c r="B164" s="40"/>
      <c r="C164" s="201"/>
      <c r="D164" s="4"/>
      <c r="E164" s="4"/>
      <c r="F164" s="4"/>
      <c r="G164" s="229"/>
      <c r="H164" s="229"/>
      <c r="I164" s="1"/>
      <c r="J164" s="1"/>
      <c r="K164" s="1"/>
      <c r="L164" s="1"/>
      <c r="M164" s="1"/>
      <c r="N164" s="1"/>
      <c r="O164" s="1"/>
    </row>
    <row r="165" spans="2:15" x14ac:dyDescent="0.35">
      <c r="B165" s="40"/>
      <c r="C165" s="201"/>
      <c r="D165" s="4"/>
      <c r="E165" s="4"/>
      <c r="F165" s="4"/>
      <c r="G165" s="229"/>
      <c r="H165" s="229"/>
      <c r="I165" s="1"/>
      <c r="J165" s="1"/>
      <c r="K165" s="1"/>
      <c r="L165" s="1"/>
      <c r="M165" s="1"/>
      <c r="N165" s="1"/>
      <c r="O165" s="1"/>
    </row>
    <row r="166" spans="2:15" x14ac:dyDescent="0.35">
      <c r="B166" s="40"/>
      <c r="C166" s="201"/>
      <c r="D166" s="4"/>
      <c r="E166" s="4"/>
      <c r="F166" s="4"/>
      <c r="G166" s="229"/>
      <c r="H166" s="229"/>
      <c r="I166" s="1"/>
      <c r="J166" s="1"/>
      <c r="K166" s="1"/>
      <c r="L166" s="1"/>
      <c r="M166" s="1"/>
      <c r="N166" s="1"/>
      <c r="O166" s="1"/>
    </row>
    <row r="167" spans="2:15" x14ac:dyDescent="0.35">
      <c r="B167" s="40"/>
      <c r="C167" s="201"/>
      <c r="D167" s="4"/>
      <c r="E167" s="4"/>
      <c r="F167" s="4"/>
      <c r="G167" s="229"/>
      <c r="H167" s="229"/>
      <c r="I167" s="1"/>
      <c r="J167" s="1"/>
      <c r="K167" s="1"/>
      <c r="L167" s="1"/>
      <c r="M167" s="1"/>
      <c r="N167" s="1"/>
      <c r="O167" s="1"/>
    </row>
    <row r="168" spans="2:15" x14ac:dyDescent="0.35">
      <c r="B168" s="40"/>
      <c r="C168" s="201"/>
      <c r="D168" s="4"/>
      <c r="E168" s="4"/>
      <c r="F168" s="4"/>
      <c r="G168" s="229"/>
      <c r="H168" s="229"/>
      <c r="I168" s="1"/>
      <c r="J168" s="1"/>
      <c r="K168" s="1"/>
      <c r="L168" s="1"/>
      <c r="M168" s="1"/>
      <c r="N168" s="1"/>
      <c r="O168" s="1"/>
    </row>
    <row r="169" spans="2:15" x14ac:dyDescent="0.35">
      <c r="B169" s="40"/>
      <c r="C169" s="201"/>
      <c r="D169" s="4"/>
      <c r="E169" s="4"/>
      <c r="F169" s="4"/>
      <c r="G169" s="229"/>
      <c r="H169" s="229"/>
      <c r="I169" s="1"/>
      <c r="J169" s="1"/>
      <c r="K169" s="1"/>
      <c r="L169" s="1"/>
      <c r="M169" s="1"/>
      <c r="N169" s="1"/>
      <c r="O169" s="1"/>
    </row>
    <row r="170" spans="2:15" x14ac:dyDescent="0.35">
      <c r="B170" s="40"/>
      <c r="C170" s="201"/>
      <c r="D170" s="4"/>
      <c r="E170" s="4"/>
      <c r="F170" s="4"/>
      <c r="G170" s="229"/>
      <c r="H170" s="229"/>
      <c r="I170" s="1"/>
      <c r="J170" s="1"/>
      <c r="K170" s="1"/>
      <c r="L170" s="1"/>
      <c r="M170" s="1"/>
      <c r="N170" s="1"/>
      <c r="O170" s="1"/>
    </row>
    <row r="171" spans="2:15" x14ac:dyDescent="0.35">
      <c r="B171" s="40"/>
      <c r="C171" s="201"/>
      <c r="D171" s="4"/>
      <c r="E171" s="4"/>
      <c r="F171" s="4"/>
      <c r="G171" s="229"/>
      <c r="H171" s="229"/>
      <c r="I171" s="1"/>
      <c r="J171" s="1"/>
      <c r="K171" s="1"/>
      <c r="L171" s="1"/>
      <c r="M171" s="1"/>
      <c r="N171" s="1"/>
      <c r="O171" s="1"/>
    </row>
    <row r="172" spans="2:15" x14ac:dyDescent="0.35">
      <c r="B172" s="40"/>
      <c r="C172" s="201"/>
      <c r="D172" s="4"/>
      <c r="E172" s="4"/>
      <c r="F172" s="4"/>
      <c r="G172" s="229"/>
      <c r="H172" s="229"/>
      <c r="I172" s="1"/>
      <c r="J172" s="1"/>
      <c r="K172" s="1"/>
      <c r="L172" s="1"/>
      <c r="M172" s="1"/>
      <c r="N172" s="1"/>
      <c r="O172" s="1"/>
    </row>
    <row r="173" spans="2:15" x14ac:dyDescent="0.35">
      <c r="B173" s="40"/>
      <c r="C173" s="201"/>
      <c r="D173" s="4"/>
      <c r="E173" s="4"/>
      <c r="F173" s="4"/>
      <c r="G173" s="229"/>
      <c r="H173" s="229"/>
      <c r="I173" s="1"/>
      <c r="J173" s="1"/>
      <c r="K173" s="1"/>
      <c r="L173" s="1"/>
      <c r="M173" s="1"/>
      <c r="N173" s="1"/>
      <c r="O173" s="1"/>
    </row>
    <row r="174" spans="2:15" x14ac:dyDescent="0.35">
      <c r="B174" s="40"/>
      <c r="C174" s="201"/>
      <c r="D174" s="4"/>
      <c r="E174" s="4"/>
      <c r="F174" s="4"/>
      <c r="G174" s="229"/>
      <c r="H174" s="229"/>
      <c r="I174" s="1"/>
      <c r="J174" s="1"/>
      <c r="K174" s="1"/>
      <c r="L174" s="1"/>
      <c r="M174" s="1"/>
      <c r="N174" s="1"/>
      <c r="O174" s="1"/>
    </row>
    <row r="175" spans="2:15" x14ac:dyDescent="0.35">
      <c r="B175" s="40"/>
      <c r="C175" s="201"/>
      <c r="D175" s="4"/>
      <c r="E175" s="4"/>
      <c r="F175" s="4"/>
      <c r="G175" s="229"/>
      <c r="H175" s="229"/>
      <c r="I175" s="1"/>
      <c r="J175" s="1"/>
      <c r="K175" s="1"/>
      <c r="L175" s="1"/>
      <c r="M175" s="1"/>
      <c r="N175" s="1"/>
      <c r="O175" s="1"/>
    </row>
    <row r="176" spans="2:15" x14ac:dyDescent="0.35">
      <c r="B176" s="40"/>
      <c r="C176" s="201"/>
      <c r="D176" s="4"/>
      <c r="E176" s="4"/>
      <c r="F176" s="4"/>
      <c r="G176" s="229"/>
      <c r="H176" s="229"/>
      <c r="I176" s="1"/>
      <c r="J176" s="1"/>
      <c r="K176" s="1"/>
      <c r="L176" s="1"/>
      <c r="M176" s="1"/>
      <c r="N176" s="1"/>
      <c r="O176" s="1"/>
    </row>
    <row r="177" spans="2:15" x14ac:dyDescent="0.35">
      <c r="B177" s="40"/>
      <c r="C177" s="201"/>
      <c r="D177" s="4"/>
      <c r="E177" s="4"/>
      <c r="F177" s="4"/>
      <c r="G177" s="229"/>
      <c r="H177" s="229"/>
      <c r="I177" s="1"/>
      <c r="J177" s="1"/>
      <c r="K177" s="1"/>
      <c r="L177" s="1"/>
      <c r="M177" s="1"/>
      <c r="N177" s="1"/>
      <c r="O177" s="1"/>
    </row>
    <row r="178" spans="2:15" x14ac:dyDescent="0.35">
      <c r="B178" s="40"/>
      <c r="C178" s="201"/>
      <c r="D178" s="4"/>
      <c r="E178" s="4"/>
      <c r="F178" s="4"/>
      <c r="G178" s="229"/>
      <c r="H178" s="229"/>
      <c r="I178" s="1"/>
      <c r="J178" s="1"/>
      <c r="K178" s="1"/>
      <c r="L178" s="1"/>
      <c r="M178" s="1"/>
      <c r="N178" s="1"/>
      <c r="O178" s="1"/>
    </row>
    <row r="179" spans="2:15" x14ac:dyDescent="0.35">
      <c r="B179" s="40"/>
      <c r="C179" s="201"/>
      <c r="D179" s="4"/>
      <c r="E179" s="4"/>
      <c r="F179" s="4"/>
      <c r="G179" s="229"/>
      <c r="H179" s="229"/>
      <c r="I179" s="1"/>
      <c r="J179" s="1"/>
      <c r="K179" s="1"/>
      <c r="L179" s="1"/>
      <c r="M179" s="1"/>
      <c r="N179" s="1"/>
      <c r="O179" s="1"/>
    </row>
    <row r="180" spans="2:15" x14ac:dyDescent="0.35">
      <c r="B180" s="40"/>
      <c r="C180" s="201"/>
      <c r="D180" s="4"/>
      <c r="E180" s="4"/>
      <c r="F180" s="4"/>
      <c r="G180" s="229"/>
      <c r="H180" s="229"/>
      <c r="I180" s="1"/>
      <c r="J180" s="1"/>
      <c r="K180" s="1"/>
      <c r="L180" s="1"/>
      <c r="M180" s="1"/>
      <c r="N180" s="1"/>
      <c r="O180" s="1"/>
    </row>
    <row r="181" spans="2:15" x14ac:dyDescent="0.35">
      <c r="B181" s="40"/>
      <c r="C181" s="201"/>
      <c r="D181" s="4"/>
      <c r="E181" s="4"/>
      <c r="F181" s="4"/>
      <c r="G181" s="229"/>
      <c r="H181" s="229"/>
      <c r="I181" s="1"/>
      <c r="J181" s="1"/>
      <c r="K181" s="1"/>
      <c r="L181" s="1"/>
      <c r="M181" s="1"/>
      <c r="N181" s="1"/>
      <c r="O181" s="1"/>
    </row>
    <row r="182" spans="2:15" x14ac:dyDescent="0.35">
      <c r="B182" s="40"/>
      <c r="C182" s="201"/>
      <c r="D182" s="4"/>
      <c r="E182" s="4"/>
      <c r="F182" s="4"/>
      <c r="G182" s="229"/>
      <c r="H182" s="229"/>
      <c r="I182" s="1"/>
      <c r="J182" s="1"/>
      <c r="K182" s="1"/>
      <c r="L182" s="1"/>
      <c r="M182" s="1"/>
      <c r="N182" s="1"/>
      <c r="O182" s="1"/>
    </row>
    <row r="183" spans="2:15" x14ac:dyDescent="0.35">
      <c r="B183" s="40"/>
      <c r="C183" s="201"/>
      <c r="D183" s="4"/>
      <c r="E183" s="4"/>
      <c r="F183" s="4"/>
      <c r="G183" s="229"/>
      <c r="H183" s="229"/>
      <c r="I183" s="1"/>
      <c r="J183" s="1"/>
      <c r="K183" s="1"/>
      <c r="L183" s="1"/>
      <c r="M183" s="1"/>
      <c r="N183" s="1"/>
      <c r="O183" s="1"/>
    </row>
    <row r="184" spans="2:15" x14ac:dyDescent="0.35">
      <c r="B184" s="40"/>
      <c r="C184" s="201"/>
      <c r="D184" s="4"/>
      <c r="E184" s="4"/>
      <c r="F184" s="4"/>
      <c r="G184" s="229"/>
      <c r="H184" s="229"/>
      <c r="I184" s="1"/>
      <c r="J184" s="1"/>
      <c r="K184" s="1"/>
      <c r="L184" s="1"/>
      <c r="M184" s="1"/>
      <c r="N184" s="1"/>
      <c r="O184" s="1"/>
    </row>
    <row r="185" spans="2:15" x14ac:dyDescent="0.35">
      <c r="B185" s="40"/>
      <c r="C185" s="201"/>
      <c r="D185" s="4"/>
      <c r="E185" s="4"/>
      <c r="F185" s="4"/>
      <c r="G185" s="229"/>
      <c r="H185" s="229"/>
      <c r="I185" s="1"/>
      <c r="J185" s="1"/>
      <c r="K185" s="1"/>
      <c r="L185" s="1"/>
      <c r="M185" s="1"/>
      <c r="N185" s="1"/>
      <c r="O185" s="1"/>
    </row>
    <row r="186" spans="2:15" x14ac:dyDescent="0.35">
      <c r="B186" s="40"/>
      <c r="C186" s="201"/>
      <c r="D186" s="4"/>
      <c r="E186" s="4"/>
      <c r="F186" s="4"/>
      <c r="G186" s="229"/>
      <c r="H186" s="229"/>
      <c r="I186" s="1"/>
      <c r="J186" s="1"/>
      <c r="K186" s="1"/>
      <c r="L186" s="1"/>
      <c r="M186" s="1"/>
      <c r="N186" s="1"/>
      <c r="O186" s="1"/>
    </row>
    <row r="187" spans="2:15" x14ac:dyDescent="0.35">
      <c r="B187" s="40"/>
      <c r="C187" s="201"/>
      <c r="D187" s="4"/>
      <c r="E187" s="4"/>
      <c r="F187" s="4"/>
      <c r="G187" s="229"/>
      <c r="H187" s="229"/>
      <c r="I187" s="1"/>
      <c r="J187" s="1"/>
      <c r="K187" s="1"/>
      <c r="L187" s="1"/>
      <c r="M187" s="1"/>
      <c r="N187" s="1"/>
      <c r="O187" s="1"/>
    </row>
    <row r="188" spans="2:15" x14ac:dyDescent="0.35">
      <c r="B188" s="40"/>
      <c r="C188" s="201"/>
      <c r="D188" s="4"/>
      <c r="E188" s="4"/>
      <c r="F188" s="4"/>
      <c r="G188" s="229"/>
      <c r="H188" s="229"/>
      <c r="I188" s="1"/>
      <c r="J188" s="1"/>
      <c r="K188" s="1"/>
      <c r="L188" s="1"/>
      <c r="M188" s="1"/>
      <c r="N188" s="1"/>
      <c r="O188" s="1"/>
    </row>
    <row r="189" spans="2:15" x14ac:dyDescent="0.35">
      <c r="B189" s="40"/>
      <c r="C189" s="201"/>
      <c r="D189" s="4"/>
      <c r="E189" s="4"/>
      <c r="F189" s="4"/>
      <c r="G189" s="229"/>
      <c r="H189" s="229"/>
      <c r="I189" s="1"/>
      <c r="J189" s="1"/>
      <c r="K189" s="1"/>
      <c r="L189" s="1"/>
      <c r="M189" s="1"/>
      <c r="N189" s="1"/>
      <c r="O189" s="1"/>
    </row>
    <row r="190" spans="2:15" x14ac:dyDescent="0.35">
      <c r="B190" s="40"/>
      <c r="C190" s="201"/>
      <c r="D190" s="4"/>
      <c r="E190" s="4"/>
      <c r="F190" s="4"/>
      <c r="G190" s="229"/>
      <c r="H190" s="229"/>
      <c r="I190" s="1"/>
      <c r="J190" s="1"/>
      <c r="K190" s="1"/>
      <c r="L190" s="1"/>
      <c r="M190" s="1"/>
      <c r="N190" s="1"/>
      <c r="O190" s="1"/>
    </row>
    <row r="191" spans="2:15" x14ac:dyDescent="0.35">
      <c r="B191" s="40"/>
      <c r="C191" s="201"/>
      <c r="D191" s="4"/>
      <c r="E191" s="4"/>
      <c r="F191" s="4"/>
      <c r="G191" s="229"/>
      <c r="H191" s="229"/>
      <c r="I191" s="1"/>
      <c r="J191" s="1"/>
      <c r="K191" s="1"/>
      <c r="L191" s="1"/>
      <c r="M191" s="1"/>
      <c r="N191" s="1"/>
      <c r="O191" s="1"/>
    </row>
    <row r="192" spans="2:15" x14ac:dyDescent="0.35">
      <c r="B192" s="40"/>
      <c r="C192" s="201"/>
      <c r="D192" s="4"/>
      <c r="E192" s="4"/>
      <c r="F192" s="4"/>
      <c r="G192" s="229"/>
      <c r="H192" s="229"/>
      <c r="I192" s="1"/>
      <c r="J192" s="1"/>
      <c r="K192" s="1"/>
      <c r="L192" s="1"/>
      <c r="M192" s="1"/>
      <c r="N192" s="1"/>
      <c r="O192" s="1"/>
    </row>
    <row r="193" spans="2:15" x14ac:dyDescent="0.35">
      <c r="B193" s="40"/>
      <c r="C193" s="201"/>
      <c r="D193" s="4"/>
      <c r="E193" s="4"/>
      <c r="F193" s="4"/>
      <c r="G193" s="229"/>
      <c r="H193" s="229"/>
      <c r="I193" s="1"/>
      <c r="J193" s="1"/>
      <c r="K193" s="1"/>
      <c r="L193" s="1"/>
      <c r="M193" s="1"/>
      <c r="N193" s="1"/>
      <c r="O193" s="1"/>
    </row>
    <row r="194" spans="2:15" x14ac:dyDescent="0.35">
      <c r="B194" s="40"/>
      <c r="C194" s="201"/>
      <c r="D194" s="4"/>
      <c r="E194" s="4"/>
      <c r="F194" s="4"/>
      <c r="G194" s="229"/>
      <c r="H194" s="229"/>
      <c r="I194" s="1"/>
      <c r="J194" s="1"/>
      <c r="K194" s="1"/>
      <c r="L194" s="1"/>
      <c r="M194" s="1"/>
      <c r="N194" s="1"/>
      <c r="O194" s="1"/>
    </row>
    <row r="195" spans="2:15" x14ac:dyDescent="0.35">
      <c r="B195" s="40"/>
      <c r="C195" s="201"/>
      <c r="D195" s="4"/>
      <c r="E195" s="4"/>
      <c r="F195" s="4"/>
      <c r="G195" s="229"/>
      <c r="H195" s="229"/>
      <c r="I195" s="1"/>
      <c r="J195" s="1"/>
      <c r="K195" s="1"/>
      <c r="L195" s="1"/>
      <c r="M195" s="1"/>
      <c r="N195" s="1"/>
      <c r="O195" s="1"/>
    </row>
    <row r="196" spans="2:15" x14ac:dyDescent="0.35">
      <c r="B196" s="40"/>
      <c r="C196" s="201"/>
      <c r="D196" s="4"/>
      <c r="E196" s="4"/>
      <c r="F196" s="4"/>
      <c r="G196" s="229"/>
      <c r="H196" s="229"/>
      <c r="I196" s="1"/>
      <c r="J196" s="1"/>
      <c r="K196" s="1"/>
      <c r="L196" s="1"/>
      <c r="M196" s="1"/>
      <c r="N196" s="1"/>
      <c r="O196" s="1"/>
    </row>
    <row r="197" spans="2:15" x14ac:dyDescent="0.35">
      <c r="B197" s="40"/>
      <c r="C197" s="201"/>
      <c r="D197" s="4"/>
      <c r="E197" s="4"/>
      <c r="F197" s="4"/>
      <c r="G197" s="229"/>
      <c r="H197" s="229"/>
      <c r="I197" s="1"/>
      <c r="J197" s="1"/>
      <c r="K197" s="1"/>
      <c r="L197" s="1"/>
      <c r="M197" s="1"/>
      <c r="N197" s="1"/>
      <c r="O197" s="1"/>
    </row>
    <row r="198" spans="2:15" x14ac:dyDescent="0.35">
      <c r="B198" s="40"/>
      <c r="C198" s="201"/>
      <c r="D198" s="4"/>
      <c r="E198" s="4"/>
      <c r="F198" s="4"/>
      <c r="G198" s="229"/>
      <c r="H198" s="229"/>
      <c r="I198" s="1"/>
      <c r="J198" s="1"/>
      <c r="K198" s="1"/>
      <c r="L198" s="1"/>
      <c r="M198" s="1"/>
      <c r="N198" s="1"/>
      <c r="O198" s="1"/>
    </row>
    <row r="199" spans="2:15" x14ac:dyDescent="0.35">
      <c r="B199" s="40"/>
      <c r="C199" s="201"/>
      <c r="D199" s="4"/>
      <c r="E199" s="4"/>
      <c r="F199" s="4"/>
      <c r="G199" s="229"/>
      <c r="H199" s="229"/>
      <c r="I199" s="1"/>
      <c r="J199" s="1"/>
      <c r="K199" s="1"/>
      <c r="L199" s="1"/>
      <c r="M199" s="1"/>
      <c r="N199" s="1"/>
      <c r="O199" s="1"/>
    </row>
    <row r="200" spans="2:15" x14ac:dyDescent="0.35">
      <c r="B200" s="40"/>
      <c r="C200" s="201"/>
      <c r="D200" s="4"/>
      <c r="E200" s="4"/>
      <c r="F200" s="4"/>
      <c r="G200" s="229"/>
      <c r="H200" s="229"/>
      <c r="I200" s="1"/>
      <c r="J200" s="1"/>
      <c r="K200" s="1"/>
      <c r="L200" s="1"/>
      <c r="M200" s="1"/>
      <c r="N200" s="1"/>
      <c r="O200" s="1"/>
    </row>
    <row r="201" spans="2:15" x14ac:dyDescent="0.35">
      <c r="B201" s="40"/>
      <c r="C201" s="201"/>
      <c r="D201" s="4"/>
      <c r="E201" s="4"/>
      <c r="F201" s="4"/>
      <c r="G201" s="229"/>
      <c r="H201" s="229"/>
      <c r="I201" s="1"/>
      <c r="J201" s="1"/>
      <c r="K201" s="1"/>
      <c r="L201" s="1"/>
      <c r="M201" s="1"/>
      <c r="N201" s="1"/>
      <c r="O201" s="1"/>
    </row>
    <row r="202" spans="2:15" x14ac:dyDescent="0.35">
      <c r="B202" s="40"/>
      <c r="C202" s="201"/>
      <c r="D202" s="4"/>
      <c r="E202" s="4"/>
      <c r="F202" s="4"/>
      <c r="G202" s="229"/>
      <c r="H202" s="229"/>
      <c r="I202" s="1"/>
      <c r="J202" s="1"/>
      <c r="K202" s="1"/>
      <c r="L202" s="1"/>
      <c r="M202" s="1"/>
      <c r="N202" s="1"/>
      <c r="O202" s="1"/>
    </row>
    <row r="203" spans="2:15" x14ac:dyDescent="0.35">
      <c r="B203" s="40"/>
      <c r="C203" s="201"/>
      <c r="D203" s="4"/>
      <c r="E203" s="4"/>
      <c r="F203" s="4"/>
      <c r="G203" s="229"/>
      <c r="H203" s="229"/>
      <c r="I203" s="1"/>
      <c r="J203" s="1"/>
      <c r="K203" s="1"/>
      <c r="L203" s="1"/>
      <c r="M203" s="1"/>
      <c r="N203" s="1"/>
      <c r="O203" s="1"/>
    </row>
    <row r="204" spans="2:15" x14ac:dyDescent="0.35">
      <c r="B204" s="40"/>
      <c r="C204" s="201"/>
      <c r="D204" s="4"/>
      <c r="E204" s="4"/>
      <c r="F204" s="4"/>
      <c r="G204" s="229"/>
      <c r="H204" s="229"/>
      <c r="I204" s="1"/>
      <c r="J204" s="1"/>
      <c r="K204" s="1"/>
      <c r="L204" s="1"/>
      <c r="M204" s="1"/>
      <c r="N204" s="1"/>
      <c r="O204" s="1"/>
    </row>
    <row r="205" spans="2:15" x14ac:dyDescent="0.35">
      <c r="B205" s="40"/>
      <c r="C205" s="201"/>
      <c r="D205" s="4"/>
      <c r="E205" s="4"/>
      <c r="F205" s="4"/>
      <c r="G205" s="229"/>
      <c r="H205" s="229"/>
      <c r="I205" s="1"/>
      <c r="J205" s="1"/>
      <c r="K205" s="1"/>
      <c r="L205" s="1"/>
      <c r="M205" s="1"/>
      <c r="N205" s="1"/>
      <c r="O205" s="1"/>
    </row>
    <row r="206" spans="2:15" x14ac:dyDescent="0.35">
      <c r="B206" s="40"/>
      <c r="C206" s="201"/>
      <c r="D206" s="4"/>
      <c r="E206" s="4"/>
      <c r="F206" s="4"/>
      <c r="G206" s="229"/>
      <c r="H206" s="229"/>
      <c r="I206" s="1"/>
      <c r="J206" s="1"/>
      <c r="K206" s="1"/>
      <c r="L206" s="1"/>
      <c r="M206" s="1"/>
      <c r="N206" s="1"/>
      <c r="O206" s="1"/>
    </row>
    <row r="207" spans="2:15" x14ac:dyDescent="0.35">
      <c r="B207" s="40"/>
      <c r="C207" s="201"/>
      <c r="D207" s="4"/>
      <c r="E207" s="4"/>
      <c r="F207" s="4"/>
      <c r="G207" s="229"/>
      <c r="H207" s="229"/>
      <c r="I207" s="1"/>
      <c r="J207" s="1"/>
      <c r="K207" s="1"/>
      <c r="L207" s="1"/>
      <c r="M207" s="1"/>
      <c r="N207" s="1"/>
      <c r="O207" s="1"/>
    </row>
    <row r="208" spans="2:15" x14ac:dyDescent="0.35">
      <c r="B208" s="40"/>
      <c r="C208" s="201"/>
      <c r="D208" s="4"/>
      <c r="E208" s="4"/>
      <c r="F208" s="4"/>
      <c r="G208" s="229"/>
      <c r="H208" s="229"/>
      <c r="I208" s="1"/>
      <c r="J208" s="1"/>
      <c r="K208" s="1"/>
      <c r="L208" s="1"/>
      <c r="M208" s="1"/>
      <c r="N208" s="1"/>
      <c r="O208" s="1"/>
    </row>
    <row r="209" spans="2:15" x14ac:dyDescent="0.35">
      <c r="B209" s="40"/>
      <c r="C209" s="201"/>
      <c r="D209" s="4"/>
      <c r="E209" s="4"/>
      <c r="F209" s="4"/>
      <c r="G209" s="229"/>
      <c r="H209" s="229"/>
      <c r="I209" s="1"/>
      <c r="J209" s="1"/>
      <c r="K209" s="1"/>
      <c r="L209" s="1"/>
      <c r="M209" s="1"/>
      <c r="N209" s="1"/>
      <c r="O209" s="1"/>
    </row>
    <row r="210" spans="2:15" x14ac:dyDescent="0.35">
      <c r="B210" s="40"/>
      <c r="C210" s="201"/>
      <c r="D210" s="4"/>
      <c r="E210" s="4"/>
      <c r="F210" s="4"/>
      <c r="G210" s="229"/>
      <c r="H210" s="229"/>
      <c r="I210" s="1"/>
      <c r="J210" s="1"/>
      <c r="K210" s="1"/>
      <c r="L210" s="1"/>
      <c r="M210" s="1"/>
      <c r="N210" s="1"/>
      <c r="O210" s="1"/>
    </row>
    <row r="211" spans="2:15" x14ac:dyDescent="0.35">
      <c r="B211" s="40"/>
      <c r="C211" s="201"/>
      <c r="D211" s="4"/>
      <c r="E211" s="4"/>
      <c r="F211" s="4"/>
      <c r="G211" s="229"/>
      <c r="H211" s="229"/>
      <c r="I211" s="1"/>
      <c r="J211" s="1"/>
      <c r="K211" s="1"/>
      <c r="L211" s="1"/>
      <c r="M211" s="1"/>
      <c r="N211" s="1"/>
      <c r="O211" s="1"/>
    </row>
    <row r="212" spans="2:15" x14ac:dyDescent="0.35">
      <c r="B212" s="40"/>
      <c r="C212" s="201"/>
      <c r="D212" s="4"/>
      <c r="E212" s="4"/>
      <c r="F212" s="4"/>
      <c r="G212" s="229"/>
      <c r="H212" s="229"/>
      <c r="I212" s="1"/>
      <c r="J212" s="1"/>
      <c r="K212" s="1"/>
      <c r="L212" s="1"/>
      <c r="M212" s="1"/>
      <c r="N212" s="1"/>
      <c r="O212" s="1"/>
    </row>
    <row r="213" spans="2:15" x14ac:dyDescent="0.35">
      <c r="B213" s="40"/>
      <c r="C213" s="201"/>
      <c r="D213" s="4"/>
      <c r="E213" s="4"/>
      <c r="F213" s="4"/>
      <c r="G213" s="229"/>
      <c r="H213" s="229"/>
      <c r="I213" s="1"/>
      <c r="J213" s="1"/>
      <c r="K213" s="1"/>
      <c r="L213" s="1"/>
      <c r="M213" s="1"/>
      <c r="N213" s="1"/>
      <c r="O213" s="1"/>
    </row>
    <row r="214" spans="2:15" x14ac:dyDescent="0.35">
      <c r="B214" s="40"/>
      <c r="C214" s="201"/>
      <c r="D214" s="4"/>
      <c r="E214" s="4"/>
      <c r="F214" s="4"/>
      <c r="G214" s="229"/>
      <c r="H214" s="229"/>
      <c r="I214" s="1"/>
      <c r="J214" s="1"/>
      <c r="K214" s="1"/>
      <c r="L214" s="1"/>
      <c r="M214" s="1"/>
      <c r="N214" s="1"/>
      <c r="O214" s="1"/>
    </row>
    <row r="215" spans="2:15" x14ac:dyDescent="0.35">
      <c r="B215" s="40"/>
      <c r="C215" s="201"/>
      <c r="D215" s="4"/>
      <c r="E215" s="4"/>
      <c r="F215" s="4"/>
      <c r="G215" s="229"/>
      <c r="H215" s="229"/>
      <c r="I215" s="1"/>
      <c r="J215" s="1"/>
      <c r="K215" s="1"/>
      <c r="L215" s="1"/>
      <c r="M215" s="1"/>
      <c r="N215" s="1"/>
      <c r="O215" s="1"/>
    </row>
    <row r="216" spans="2:15" x14ac:dyDescent="0.35">
      <c r="B216" s="40"/>
      <c r="C216" s="201"/>
      <c r="D216" s="4"/>
      <c r="E216" s="4"/>
      <c r="F216" s="4"/>
      <c r="G216" s="229"/>
      <c r="H216" s="229"/>
      <c r="I216" s="1"/>
      <c r="J216" s="1"/>
      <c r="K216" s="1"/>
      <c r="L216" s="1"/>
      <c r="M216" s="1"/>
      <c r="N216" s="1"/>
      <c r="O216" s="1"/>
    </row>
    <row r="217" spans="2:15" x14ac:dyDescent="0.35">
      <c r="B217" s="40"/>
      <c r="C217" s="201"/>
      <c r="D217" s="4"/>
      <c r="E217" s="4"/>
      <c r="F217" s="4"/>
      <c r="G217" s="229"/>
      <c r="H217" s="229"/>
      <c r="I217" s="1"/>
      <c r="J217" s="1"/>
      <c r="K217" s="1"/>
      <c r="L217" s="1"/>
      <c r="M217" s="1"/>
      <c r="N217" s="1"/>
      <c r="O217" s="1"/>
    </row>
    <row r="218" spans="2:15" x14ac:dyDescent="0.35">
      <c r="B218" s="40"/>
      <c r="C218" s="201"/>
      <c r="D218" s="4"/>
      <c r="E218" s="4"/>
      <c r="F218" s="4"/>
      <c r="G218" s="229"/>
      <c r="H218" s="229"/>
      <c r="I218" s="1"/>
      <c r="J218" s="1"/>
      <c r="K218" s="1"/>
      <c r="L218" s="1"/>
      <c r="M218" s="1"/>
      <c r="N218" s="1"/>
      <c r="O218" s="1"/>
    </row>
    <row r="219" spans="2:15" x14ac:dyDescent="0.35">
      <c r="B219" s="40"/>
      <c r="C219" s="201"/>
      <c r="D219" s="4"/>
      <c r="E219" s="4"/>
      <c r="F219" s="4"/>
      <c r="G219" s="229"/>
      <c r="H219" s="229"/>
      <c r="I219" s="1"/>
      <c r="J219" s="1"/>
      <c r="K219" s="1"/>
      <c r="L219" s="1"/>
      <c r="M219" s="1"/>
      <c r="N219" s="1"/>
      <c r="O219" s="1"/>
    </row>
    <row r="220" spans="2:15" x14ac:dyDescent="0.35">
      <c r="B220" s="40"/>
      <c r="C220" s="201"/>
      <c r="D220" s="4"/>
      <c r="E220" s="4"/>
      <c r="F220" s="4"/>
      <c r="G220" s="229"/>
      <c r="H220" s="229"/>
      <c r="I220" s="1"/>
      <c r="J220" s="1"/>
      <c r="K220" s="1"/>
      <c r="L220" s="1"/>
      <c r="M220" s="1"/>
      <c r="N220" s="1"/>
      <c r="O220" s="1"/>
    </row>
    <row r="221" spans="2:15" x14ac:dyDescent="0.35">
      <c r="B221" s="40"/>
      <c r="C221" s="201"/>
      <c r="D221" s="4"/>
      <c r="E221" s="4"/>
      <c r="F221" s="4"/>
      <c r="G221" s="229"/>
      <c r="H221" s="229"/>
      <c r="I221" s="1"/>
      <c r="J221" s="1"/>
      <c r="K221" s="1"/>
      <c r="L221" s="1"/>
      <c r="M221" s="1"/>
      <c r="N221" s="1"/>
      <c r="O221" s="1"/>
    </row>
    <row r="222" spans="2:15" x14ac:dyDescent="0.35">
      <c r="B222" s="40"/>
      <c r="C222" s="201"/>
      <c r="D222" s="4"/>
      <c r="E222" s="4"/>
      <c r="F222" s="4"/>
      <c r="G222" s="229"/>
      <c r="H222" s="229"/>
      <c r="I222" s="1"/>
      <c r="J222" s="1"/>
      <c r="K222" s="1"/>
      <c r="L222" s="1"/>
      <c r="M222" s="1"/>
      <c r="N222" s="1"/>
      <c r="O222" s="1"/>
    </row>
    <row r="223" spans="2:15" x14ac:dyDescent="0.35">
      <c r="B223" s="40"/>
      <c r="C223" s="201"/>
      <c r="D223" s="4"/>
      <c r="E223" s="4"/>
      <c r="F223" s="4"/>
      <c r="G223" s="229"/>
      <c r="H223" s="229"/>
      <c r="I223" s="1"/>
      <c r="J223" s="1"/>
      <c r="K223" s="1"/>
      <c r="L223" s="1"/>
      <c r="M223" s="1"/>
      <c r="N223" s="1"/>
      <c r="O223" s="1"/>
    </row>
    <row r="224" spans="2:15" x14ac:dyDescent="0.35">
      <c r="B224" s="40"/>
      <c r="C224" s="201"/>
      <c r="D224" s="4"/>
      <c r="E224" s="4"/>
      <c r="F224" s="4"/>
      <c r="G224" s="229"/>
      <c r="H224" s="229"/>
      <c r="I224" s="1"/>
      <c r="J224" s="1"/>
      <c r="K224" s="1"/>
      <c r="L224" s="1"/>
      <c r="M224" s="1"/>
      <c r="N224" s="1"/>
      <c r="O224" s="1"/>
    </row>
    <row r="225" spans="2:15" x14ac:dyDescent="0.35">
      <c r="B225" s="40"/>
      <c r="C225" s="201"/>
      <c r="D225" s="4"/>
      <c r="E225" s="4"/>
      <c r="F225" s="4"/>
      <c r="G225" s="229"/>
      <c r="H225" s="229"/>
      <c r="I225" s="1"/>
      <c r="J225" s="1"/>
      <c r="K225" s="1"/>
      <c r="L225" s="1"/>
      <c r="M225" s="1"/>
      <c r="N225" s="1"/>
      <c r="O225" s="1"/>
    </row>
    <row r="226" spans="2:15" x14ac:dyDescent="0.35">
      <c r="B226" s="40"/>
      <c r="C226" s="201"/>
      <c r="D226" s="4"/>
      <c r="E226" s="4"/>
      <c r="F226" s="4"/>
      <c r="G226" s="229"/>
      <c r="H226" s="229"/>
      <c r="I226" s="1"/>
      <c r="J226" s="1"/>
      <c r="K226" s="1"/>
      <c r="L226" s="1"/>
      <c r="M226" s="1"/>
      <c r="N226" s="1"/>
      <c r="O226" s="1"/>
    </row>
    <row r="227" spans="2:15" x14ac:dyDescent="0.35">
      <c r="B227" s="40"/>
      <c r="C227" s="201"/>
      <c r="D227" s="4"/>
      <c r="E227" s="4"/>
      <c r="F227" s="4"/>
      <c r="G227" s="229"/>
      <c r="H227" s="229"/>
      <c r="I227" s="1"/>
      <c r="J227" s="1"/>
      <c r="K227" s="1"/>
      <c r="L227" s="1"/>
      <c r="M227" s="1"/>
      <c r="N227" s="1"/>
      <c r="O227" s="1"/>
    </row>
    <row r="228" spans="2:15" x14ac:dyDescent="0.35">
      <c r="B228" s="40"/>
      <c r="C228" s="201"/>
      <c r="D228" s="4"/>
      <c r="E228" s="4"/>
      <c r="F228" s="4"/>
      <c r="G228" s="229"/>
      <c r="H228" s="229"/>
      <c r="I228" s="1"/>
      <c r="J228" s="1"/>
      <c r="K228" s="1"/>
      <c r="L228" s="1"/>
      <c r="M228" s="1"/>
      <c r="N228" s="1"/>
      <c r="O228" s="1"/>
    </row>
    <row r="229" spans="2:15" x14ac:dyDescent="0.35">
      <c r="B229" s="40"/>
      <c r="C229" s="201"/>
      <c r="D229" s="4"/>
      <c r="E229" s="4"/>
      <c r="F229" s="4"/>
      <c r="G229" s="229"/>
      <c r="H229" s="229"/>
      <c r="I229" s="1"/>
      <c r="J229" s="1"/>
      <c r="K229" s="1"/>
      <c r="L229" s="1"/>
      <c r="M229" s="1"/>
      <c r="N229" s="1"/>
      <c r="O229" s="1"/>
    </row>
    <row r="230" spans="2:15" x14ac:dyDescent="0.35">
      <c r="B230" s="40"/>
      <c r="C230" s="201"/>
      <c r="D230" s="4"/>
      <c r="E230" s="4"/>
      <c r="F230" s="4"/>
      <c r="G230" s="229"/>
      <c r="H230" s="229"/>
      <c r="I230" s="1"/>
      <c r="J230" s="1"/>
      <c r="K230" s="1"/>
      <c r="L230" s="1"/>
      <c r="M230" s="1"/>
      <c r="N230" s="1"/>
      <c r="O230" s="1"/>
    </row>
    <row r="231" spans="2:15" x14ac:dyDescent="0.35">
      <c r="B231" s="40"/>
      <c r="C231" s="201"/>
      <c r="D231" s="4"/>
      <c r="E231" s="4"/>
      <c r="F231" s="4"/>
      <c r="G231" s="229"/>
      <c r="H231" s="229"/>
      <c r="I231" s="1"/>
      <c r="J231" s="1"/>
      <c r="K231" s="1"/>
      <c r="L231" s="1"/>
      <c r="M231" s="1"/>
      <c r="N231" s="1"/>
      <c r="O231" s="1"/>
    </row>
    <row r="232" spans="2:15" x14ac:dyDescent="0.35">
      <c r="B232" s="40"/>
      <c r="C232" s="201"/>
      <c r="D232" s="4"/>
      <c r="E232" s="4"/>
      <c r="F232" s="4"/>
      <c r="G232" s="229"/>
      <c r="H232" s="229"/>
      <c r="I232" s="1"/>
      <c r="J232" s="1"/>
      <c r="K232" s="1"/>
      <c r="L232" s="1"/>
      <c r="M232" s="1"/>
      <c r="N232" s="1"/>
      <c r="O232" s="1"/>
    </row>
    <row r="233" spans="2:15" x14ac:dyDescent="0.35">
      <c r="B233" s="40"/>
      <c r="C233" s="201"/>
      <c r="D233" s="4"/>
      <c r="E233" s="4"/>
      <c r="F233" s="4"/>
      <c r="G233" s="229"/>
      <c r="H233" s="229"/>
      <c r="I233" s="1"/>
      <c r="J233" s="1"/>
      <c r="K233" s="1"/>
      <c r="L233" s="1"/>
      <c r="M233" s="1"/>
      <c r="N233" s="1"/>
      <c r="O233" s="1"/>
    </row>
    <row r="234" spans="2:15" x14ac:dyDescent="0.35">
      <c r="B234" s="40"/>
      <c r="C234" s="201"/>
      <c r="D234" s="4"/>
      <c r="E234" s="4"/>
      <c r="F234" s="4"/>
      <c r="G234" s="229"/>
      <c r="H234" s="229"/>
      <c r="I234" s="1"/>
      <c r="J234" s="1"/>
      <c r="K234" s="1"/>
      <c r="L234" s="1"/>
      <c r="M234" s="1"/>
      <c r="N234" s="1"/>
      <c r="O234" s="1"/>
    </row>
    <row r="235" spans="2:15" x14ac:dyDescent="0.35">
      <c r="B235" s="40"/>
      <c r="C235" s="201"/>
      <c r="D235" s="4"/>
      <c r="E235" s="4"/>
      <c r="F235" s="4"/>
      <c r="G235" s="229"/>
      <c r="H235" s="229"/>
      <c r="I235" s="1"/>
      <c r="J235" s="1"/>
      <c r="K235" s="1"/>
      <c r="L235" s="1"/>
      <c r="M235" s="1"/>
      <c r="N235" s="1"/>
      <c r="O235" s="1"/>
    </row>
    <row r="236" spans="2:15" x14ac:dyDescent="0.35">
      <c r="B236" s="40"/>
      <c r="C236" s="201"/>
      <c r="D236" s="4"/>
      <c r="E236" s="4"/>
      <c r="F236" s="4"/>
      <c r="G236" s="229"/>
      <c r="H236" s="229"/>
      <c r="I236" s="1"/>
      <c r="J236" s="1"/>
      <c r="K236" s="1"/>
      <c r="L236" s="1"/>
      <c r="M236" s="1"/>
      <c r="N236" s="1"/>
      <c r="O236" s="1"/>
    </row>
    <row r="237" spans="2:15" x14ac:dyDescent="0.35">
      <c r="B237" s="40"/>
      <c r="C237" s="201"/>
      <c r="D237" s="4"/>
      <c r="E237" s="4"/>
      <c r="F237" s="4"/>
      <c r="G237" s="229"/>
      <c r="H237" s="229"/>
      <c r="I237" s="1"/>
      <c r="J237" s="1"/>
      <c r="K237" s="1"/>
      <c r="L237" s="1"/>
      <c r="M237" s="1"/>
      <c r="N237" s="1"/>
      <c r="O237" s="1"/>
    </row>
    <row r="238" spans="2:15" x14ac:dyDescent="0.35">
      <c r="B238" s="40"/>
      <c r="C238" s="201"/>
      <c r="D238" s="4"/>
      <c r="E238" s="4"/>
      <c r="F238" s="4"/>
      <c r="G238" s="229"/>
      <c r="H238" s="229"/>
      <c r="I238" s="1"/>
      <c r="J238" s="1"/>
      <c r="K238" s="1"/>
      <c r="L238" s="1"/>
      <c r="M238" s="1"/>
      <c r="N238" s="1"/>
      <c r="O238" s="1"/>
    </row>
    <row r="239" spans="2:15" x14ac:dyDescent="0.35">
      <c r="B239" s="40"/>
      <c r="C239" s="201"/>
      <c r="D239" s="4"/>
      <c r="E239" s="4"/>
      <c r="F239" s="4"/>
      <c r="G239" s="229"/>
      <c r="H239" s="229"/>
      <c r="I239" s="1"/>
      <c r="J239" s="1"/>
      <c r="K239" s="1"/>
      <c r="L239" s="1"/>
      <c r="M239" s="1"/>
      <c r="N239" s="1"/>
      <c r="O239" s="1"/>
    </row>
    <row r="240" spans="2:15" x14ac:dyDescent="0.35">
      <c r="B240" s="40"/>
      <c r="C240" s="201"/>
      <c r="D240" s="4"/>
      <c r="E240" s="4"/>
      <c r="F240" s="4"/>
      <c r="G240" s="229"/>
      <c r="H240" s="229"/>
      <c r="I240" s="1"/>
      <c r="J240" s="1"/>
      <c r="K240" s="1"/>
      <c r="L240" s="1"/>
      <c r="M240" s="1"/>
      <c r="N240" s="1"/>
      <c r="O240" s="1"/>
    </row>
    <row r="241" spans="2:15" x14ac:dyDescent="0.35">
      <c r="B241" s="40"/>
      <c r="C241" s="201"/>
      <c r="D241" s="4"/>
      <c r="E241" s="4"/>
      <c r="F241" s="4"/>
      <c r="G241" s="229"/>
      <c r="H241" s="229"/>
      <c r="I241" s="1"/>
      <c r="J241" s="1"/>
      <c r="K241" s="1"/>
      <c r="L241" s="1"/>
      <c r="M241" s="1"/>
      <c r="N241" s="1"/>
      <c r="O241" s="1"/>
    </row>
    <row r="242" spans="2:15" x14ac:dyDescent="0.35">
      <c r="B242" s="40"/>
      <c r="C242" s="201"/>
      <c r="D242" s="4"/>
      <c r="E242" s="4"/>
      <c r="F242" s="4"/>
      <c r="G242" s="229"/>
      <c r="H242" s="229"/>
      <c r="I242" s="1"/>
      <c r="J242" s="1"/>
      <c r="K242" s="1"/>
      <c r="L242" s="1"/>
      <c r="M242" s="1"/>
      <c r="N242" s="1"/>
      <c r="O242" s="1"/>
    </row>
    <row r="243" spans="2:15" x14ac:dyDescent="0.35">
      <c r="B243" s="40"/>
      <c r="C243" s="201"/>
      <c r="D243" s="4"/>
      <c r="E243" s="4"/>
      <c r="F243" s="4"/>
      <c r="G243" s="229"/>
      <c r="H243" s="229"/>
      <c r="I243" s="1"/>
      <c r="J243" s="1"/>
      <c r="K243" s="1"/>
      <c r="L243" s="1"/>
      <c r="M243" s="1"/>
      <c r="N243" s="1"/>
      <c r="O243" s="1"/>
    </row>
    <row r="244" spans="2:15" x14ac:dyDescent="0.35">
      <c r="B244" s="40"/>
      <c r="C244" s="201"/>
      <c r="D244" s="4"/>
      <c r="E244" s="4"/>
      <c r="F244" s="4"/>
      <c r="G244" s="229"/>
      <c r="H244" s="229"/>
      <c r="I244" s="1"/>
      <c r="J244" s="1"/>
      <c r="K244" s="1"/>
      <c r="L244" s="1"/>
      <c r="M244" s="1"/>
      <c r="N244" s="1"/>
      <c r="O244" s="1"/>
    </row>
    <row r="245" spans="2:15" x14ac:dyDescent="0.35">
      <c r="B245" s="40"/>
      <c r="C245" s="201"/>
      <c r="D245" s="4"/>
      <c r="E245" s="4"/>
      <c r="F245" s="4"/>
      <c r="G245" s="229"/>
      <c r="H245" s="229"/>
      <c r="I245" s="1"/>
      <c r="J245" s="1"/>
      <c r="K245" s="1"/>
      <c r="L245" s="1"/>
      <c r="M245" s="1"/>
      <c r="N245" s="1"/>
      <c r="O245" s="1"/>
    </row>
    <row r="246" spans="2:15" x14ac:dyDescent="0.35">
      <c r="B246" s="40"/>
      <c r="C246" s="201"/>
      <c r="D246" s="4"/>
      <c r="E246" s="4"/>
      <c r="F246" s="4"/>
      <c r="G246" s="229"/>
      <c r="H246" s="229"/>
      <c r="I246" s="1"/>
      <c r="J246" s="1"/>
      <c r="K246" s="1"/>
      <c r="L246" s="1"/>
      <c r="M246" s="1"/>
      <c r="N246" s="1"/>
      <c r="O246" s="1"/>
    </row>
    <row r="247" spans="2:15" x14ac:dyDescent="0.35">
      <c r="B247" s="40"/>
      <c r="C247" s="201"/>
      <c r="D247" s="4"/>
      <c r="E247" s="4"/>
      <c r="F247" s="4"/>
      <c r="G247" s="229"/>
      <c r="H247" s="229"/>
      <c r="I247" s="1"/>
      <c r="J247" s="1"/>
      <c r="K247" s="1"/>
      <c r="L247" s="1"/>
      <c r="M247" s="1"/>
      <c r="N247" s="1"/>
      <c r="O247" s="1"/>
    </row>
    <row r="248" spans="2:15" x14ac:dyDescent="0.35">
      <c r="B248" s="40"/>
      <c r="C248" s="201"/>
      <c r="D248" s="4"/>
      <c r="E248" s="4"/>
      <c r="F248" s="4"/>
      <c r="G248" s="229"/>
      <c r="H248" s="229"/>
      <c r="I248" s="1"/>
      <c r="J248" s="1"/>
      <c r="K248" s="1"/>
      <c r="L248" s="1"/>
      <c r="M248" s="1"/>
      <c r="N248" s="1"/>
      <c r="O248" s="1"/>
    </row>
    <row r="249" spans="2:15" x14ac:dyDescent="0.35">
      <c r="B249" s="40"/>
      <c r="C249" s="201"/>
      <c r="D249" s="4"/>
      <c r="E249" s="4"/>
      <c r="F249" s="4"/>
      <c r="G249" s="229"/>
      <c r="H249" s="229"/>
      <c r="I249" s="1"/>
      <c r="J249" s="1"/>
      <c r="K249" s="1"/>
      <c r="L249" s="1"/>
      <c r="M249" s="1"/>
      <c r="N249" s="1"/>
      <c r="O249" s="1"/>
    </row>
    <row r="250" spans="2:15" x14ac:dyDescent="0.35">
      <c r="B250" s="40"/>
      <c r="C250" s="201"/>
      <c r="D250" s="4"/>
      <c r="E250" s="4"/>
      <c r="F250" s="4"/>
      <c r="G250" s="229"/>
      <c r="H250" s="229"/>
      <c r="I250" s="1"/>
      <c r="J250" s="1"/>
      <c r="K250" s="1"/>
      <c r="L250" s="1"/>
      <c r="M250" s="1"/>
      <c r="N250" s="1"/>
      <c r="O250" s="1"/>
    </row>
    <row r="251" spans="2:15" x14ac:dyDescent="0.35">
      <c r="B251" s="40"/>
      <c r="C251" s="201"/>
      <c r="D251" s="4"/>
      <c r="E251" s="4"/>
      <c r="F251" s="4"/>
      <c r="G251" s="229"/>
      <c r="H251" s="229"/>
      <c r="I251" s="1"/>
      <c r="J251" s="1"/>
      <c r="K251" s="1"/>
      <c r="L251" s="1"/>
      <c r="M251" s="1"/>
      <c r="N251" s="1"/>
      <c r="O251" s="1"/>
    </row>
    <row r="252" spans="2:15" x14ac:dyDescent="0.35">
      <c r="B252" s="40"/>
      <c r="C252" s="201"/>
      <c r="D252" s="4"/>
      <c r="E252" s="4"/>
      <c r="F252" s="4"/>
      <c r="G252" s="229"/>
      <c r="H252" s="229"/>
      <c r="I252" s="1"/>
      <c r="J252" s="1"/>
      <c r="K252" s="1"/>
      <c r="L252" s="1"/>
      <c r="M252" s="1"/>
      <c r="N252" s="1"/>
      <c r="O252" s="1"/>
    </row>
    <row r="253" spans="2:15" x14ac:dyDescent="0.35">
      <c r="B253" s="40"/>
      <c r="C253" s="201"/>
      <c r="D253" s="4"/>
      <c r="E253" s="4"/>
      <c r="F253" s="4"/>
      <c r="G253" s="229"/>
      <c r="H253" s="229"/>
      <c r="I253" s="1"/>
      <c r="J253" s="1"/>
      <c r="K253" s="1"/>
      <c r="L253" s="1"/>
      <c r="M253" s="1"/>
      <c r="N253" s="1"/>
      <c r="O253" s="1"/>
    </row>
    <row r="254" spans="2:15" x14ac:dyDescent="0.35">
      <c r="B254" s="40"/>
      <c r="C254" s="201"/>
      <c r="D254" s="4"/>
      <c r="E254" s="4"/>
      <c r="F254" s="4"/>
      <c r="G254" s="229"/>
      <c r="H254" s="229"/>
      <c r="I254" s="1"/>
      <c r="J254" s="1"/>
      <c r="K254" s="1"/>
      <c r="L254" s="1"/>
      <c r="M254" s="1"/>
      <c r="N254" s="1"/>
      <c r="O254" s="1"/>
    </row>
    <row r="255" spans="2:15" x14ac:dyDescent="0.35">
      <c r="B255" s="40"/>
      <c r="C255" s="201"/>
      <c r="D255" s="4"/>
      <c r="E255" s="4"/>
      <c r="F255" s="4"/>
      <c r="G255" s="229"/>
      <c r="H255" s="229"/>
      <c r="I255" s="1"/>
      <c r="J255" s="1"/>
      <c r="K255" s="1"/>
      <c r="L255" s="1"/>
      <c r="M255" s="1"/>
      <c r="N255" s="1"/>
      <c r="O255" s="1"/>
    </row>
    <row r="256" spans="2:15" x14ac:dyDescent="0.35">
      <c r="B256" s="40"/>
      <c r="C256" s="201"/>
      <c r="D256" s="4"/>
      <c r="E256" s="4"/>
      <c r="F256" s="4"/>
      <c r="G256" s="229"/>
      <c r="H256" s="229"/>
      <c r="I256" s="1"/>
      <c r="J256" s="1"/>
      <c r="K256" s="1"/>
      <c r="L256" s="1"/>
      <c r="M256" s="1"/>
      <c r="N256" s="1"/>
      <c r="O256" s="1"/>
    </row>
    <row r="257" spans="2:15" x14ac:dyDescent="0.35">
      <c r="B257" s="40"/>
      <c r="C257" s="201"/>
      <c r="D257" s="4"/>
      <c r="E257" s="4"/>
      <c r="F257" s="4"/>
      <c r="G257" s="229"/>
      <c r="H257" s="229"/>
      <c r="I257" s="1"/>
      <c r="J257" s="1"/>
      <c r="K257" s="1"/>
      <c r="L257" s="1"/>
      <c r="M257" s="1"/>
      <c r="N257" s="1"/>
      <c r="O257" s="1"/>
    </row>
    <row r="258" spans="2:15" x14ac:dyDescent="0.35">
      <c r="B258" s="40"/>
      <c r="C258" s="201"/>
      <c r="D258" s="4"/>
      <c r="E258" s="4"/>
      <c r="F258" s="4"/>
      <c r="G258" s="229"/>
      <c r="H258" s="229"/>
      <c r="I258" s="1"/>
      <c r="J258" s="1"/>
      <c r="K258" s="1"/>
      <c r="L258" s="1"/>
      <c r="M258" s="1"/>
      <c r="N258" s="1"/>
      <c r="O258" s="1"/>
    </row>
    <row r="259" spans="2:15" x14ac:dyDescent="0.35">
      <c r="B259" s="40"/>
      <c r="C259" s="201"/>
      <c r="D259" s="4"/>
      <c r="E259" s="4"/>
      <c r="F259" s="4"/>
      <c r="G259" s="229"/>
      <c r="H259" s="229"/>
      <c r="I259" s="1"/>
      <c r="J259" s="1"/>
      <c r="K259" s="1"/>
      <c r="L259" s="1"/>
      <c r="M259" s="1"/>
      <c r="N259" s="1"/>
      <c r="O259" s="1"/>
    </row>
    <row r="260" spans="2:15" x14ac:dyDescent="0.35">
      <c r="B260" s="40"/>
      <c r="C260" s="201"/>
      <c r="D260" s="4"/>
      <c r="E260" s="4"/>
      <c r="F260" s="4"/>
      <c r="G260" s="229"/>
      <c r="H260" s="229"/>
      <c r="I260" s="1"/>
      <c r="J260" s="1"/>
      <c r="K260" s="1"/>
      <c r="L260" s="1"/>
      <c r="M260" s="1"/>
      <c r="N260" s="1"/>
      <c r="O260" s="1"/>
    </row>
    <row r="261" spans="2:15" x14ac:dyDescent="0.35">
      <c r="B261" s="40"/>
      <c r="C261" s="201"/>
      <c r="D261" s="4"/>
      <c r="E261" s="4"/>
      <c r="F261" s="4"/>
      <c r="G261" s="229"/>
      <c r="H261" s="229"/>
      <c r="I261" s="1"/>
      <c r="J261" s="1"/>
      <c r="K261" s="1"/>
      <c r="L261" s="1"/>
      <c r="M261" s="1"/>
      <c r="N261" s="1"/>
      <c r="O261" s="1"/>
    </row>
    <row r="262" spans="2:15" x14ac:dyDescent="0.35">
      <c r="B262" s="40"/>
      <c r="C262" s="201"/>
      <c r="D262" s="4"/>
      <c r="E262" s="4"/>
      <c r="F262" s="4"/>
      <c r="G262" s="229"/>
      <c r="H262" s="229"/>
      <c r="I262" s="1"/>
      <c r="J262" s="1"/>
      <c r="K262" s="1"/>
      <c r="L262" s="1"/>
      <c r="M262" s="1"/>
      <c r="N262" s="1"/>
      <c r="O262" s="1"/>
    </row>
    <row r="263" spans="2:15" x14ac:dyDescent="0.35">
      <c r="B263" s="40"/>
      <c r="C263" s="201"/>
      <c r="D263" s="4"/>
      <c r="E263" s="4"/>
      <c r="F263" s="4"/>
      <c r="G263" s="229"/>
      <c r="H263" s="229"/>
      <c r="I263" s="1"/>
      <c r="J263" s="1"/>
      <c r="K263" s="1"/>
      <c r="L263" s="1"/>
      <c r="M263" s="1"/>
      <c r="N263" s="1"/>
      <c r="O263" s="1"/>
    </row>
    <row r="264" spans="2:15" x14ac:dyDescent="0.35">
      <c r="B264" s="40"/>
      <c r="C264" s="201"/>
      <c r="D264" s="4"/>
      <c r="E264" s="4"/>
      <c r="F264" s="4"/>
      <c r="G264" s="229"/>
      <c r="H264" s="229"/>
      <c r="I264" s="1"/>
      <c r="J264" s="1"/>
      <c r="K264" s="1"/>
      <c r="L264" s="1"/>
      <c r="M264" s="1"/>
      <c r="N264" s="1"/>
      <c r="O264" s="1"/>
    </row>
    <row r="265" spans="2:15" x14ac:dyDescent="0.35">
      <c r="B265" s="40"/>
      <c r="C265" s="201"/>
      <c r="D265" s="4"/>
      <c r="E265" s="4"/>
      <c r="F265" s="4"/>
      <c r="G265" s="229"/>
      <c r="H265" s="229"/>
      <c r="I265" s="1"/>
      <c r="J265" s="1"/>
      <c r="K265" s="1"/>
      <c r="L265" s="1"/>
      <c r="M265" s="1"/>
      <c r="N265" s="1"/>
      <c r="O265" s="1"/>
    </row>
    <row r="266" spans="2:15" x14ac:dyDescent="0.35">
      <c r="B266" s="40"/>
      <c r="C266" s="201"/>
      <c r="D266" s="4"/>
      <c r="E266" s="4"/>
      <c r="F266" s="4"/>
      <c r="G266" s="229"/>
      <c r="H266" s="229"/>
      <c r="I266" s="1"/>
      <c r="J266" s="1"/>
      <c r="K266" s="1"/>
      <c r="L266" s="1"/>
      <c r="M266" s="1"/>
      <c r="N266" s="1"/>
      <c r="O266" s="1"/>
    </row>
    <row r="267" spans="2:15" x14ac:dyDescent="0.35">
      <c r="B267" s="40"/>
      <c r="C267" s="201"/>
      <c r="D267" s="4"/>
      <c r="E267" s="4"/>
      <c r="F267" s="4"/>
      <c r="G267" s="229"/>
      <c r="H267" s="229"/>
      <c r="I267" s="1"/>
      <c r="J267" s="1"/>
      <c r="K267" s="1"/>
      <c r="L267" s="1"/>
      <c r="M267" s="1"/>
      <c r="N267" s="1"/>
      <c r="O267" s="1"/>
    </row>
    <row r="268" spans="2:15" x14ac:dyDescent="0.35">
      <c r="B268" s="40"/>
      <c r="C268" s="201"/>
      <c r="D268" s="4"/>
      <c r="E268" s="4"/>
      <c r="F268" s="4"/>
      <c r="G268" s="229"/>
      <c r="H268" s="229"/>
      <c r="I268" s="1"/>
      <c r="J268" s="1"/>
      <c r="K268" s="1"/>
      <c r="L268" s="1"/>
      <c r="M268" s="1"/>
      <c r="N268" s="1"/>
      <c r="O268" s="1"/>
    </row>
    <row r="269" spans="2:15" x14ac:dyDescent="0.35">
      <c r="B269" s="40"/>
      <c r="C269" s="201"/>
      <c r="D269" s="4"/>
      <c r="E269" s="4"/>
      <c r="F269" s="4"/>
      <c r="G269" s="229"/>
      <c r="H269" s="229"/>
      <c r="I269" s="1"/>
      <c r="J269" s="1"/>
      <c r="K269" s="1"/>
      <c r="L269" s="1"/>
      <c r="M269" s="1"/>
      <c r="N269" s="1"/>
      <c r="O269" s="1"/>
    </row>
    <row r="270" spans="2:15" x14ac:dyDescent="0.35">
      <c r="B270" s="40"/>
      <c r="C270" s="201"/>
      <c r="D270" s="4"/>
      <c r="E270" s="4"/>
      <c r="F270" s="4"/>
      <c r="G270" s="229"/>
      <c r="H270" s="229"/>
      <c r="I270" s="1"/>
      <c r="J270" s="1"/>
      <c r="K270" s="1"/>
      <c r="L270" s="1"/>
      <c r="M270" s="1"/>
      <c r="N270" s="1"/>
      <c r="O270" s="1"/>
    </row>
    <row r="271" spans="2:15" x14ac:dyDescent="0.35">
      <c r="B271" s="40"/>
      <c r="C271" s="201"/>
      <c r="D271" s="4"/>
      <c r="E271" s="4"/>
      <c r="F271" s="4"/>
      <c r="G271" s="229"/>
      <c r="H271" s="229"/>
      <c r="I271" s="1"/>
      <c r="J271" s="1"/>
      <c r="K271" s="1"/>
      <c r="L271" s="1"/>
      <c r="M271" s="1"/>
      <c r="N271" s="1"/>
      <c r="O271" s="1"/>
    </row>
    <row r="272" spans="2:15" x14ac:dyDescent="0.35">
      <c r="B272" s="40"/>
      <c r="C272" s="201"/>
      <c r="D272" s="4"/>
      <c r="E272" s="4"/>
      <c r="F272" s="4"/>
      <c r="G272" s="229"/>
      <c r="H272" s="229"/>
      <c r="I272" s="1"/>
      <c r="J272" s="1"/>
      <c r="K272" s="1"/>
      <c r="L272" s="1"/>
      <c r="M272" s="1"/>
      <c r="N272" s="1"/>
      <c r="O272" s="1"/>
    </row>
    <row r="273" spans="2:15" x14ac:dyDescent="0.35">
      <c r="B273" s="40"/>
      <c r="C273" s="201"/>
      <c r="D273" s="4"/>
      <c r="E273" s="4"/>
      <c r="F273" s="4"/>
      <c r="G273" s="229"/>
      <c r="H273" s="229"/>
      <c r="I273" s="1"/>
      <c r="J273" s="1"/>
      <c r="K273" s="1"/>
      <c r="L273" s="1"/>
      <c r="M273" s="1"/>
      <c r="N273" s="1"/>
      <c r="O273" s="1"/>
    </row>
    <row r="274" spans="2:15" x14ac:dyDescent="0.35">
      <c r="B274" s="40"/>
      <c r="C274" s="201"/>
      <c r="D274" s="4"/>
      <c r="E274" s="4"/>
      <c r="F274" s="4"/>
      <c r="G274" s="229"/>
      <c r="H274" s="229"/>
      <c r="I274" s="1"/>
      <c r="J274" s="1"/>
      <c r="K274" s="1"/>
      <c r="L274" s="1"/>
      <c r="M274" s="1"/>
      <c r="N274" s="1"/>
      <c r="O274" s="1"/>
    </row>
    <row r="275" spans="2:15" x14ac:dyDescent="0.35">
      <c r="B275" s="40"/>
      <c r="C275" s="201"/>
      <c r="D275" s="4"/>
      <c r="E275" s="4"/>
      <c r="F275" s="4"/>
      <c r="G275" s="229"/>
      <c r="H275" s="229"/>
      <c r="I275" s="1"/>
      <c r="J275" s="1"/>
      <c r="K275" s="1"/>
      <c r="L275" s="1"/>
      <c r="M275" s="1"/>
      <c r="N275" s="1"/>
      <c r="O275" s="1"/>
    </row>
    <row r="276" spans="2:15" x14ac:dyDescent="0.35">
      <c r="B276" s="40"/>
      <c r="C276" s="201"/>
      <c r="D276" s="4"/>
      <c r="E276" s="4"/>
      <c r="F276" s="4"/>
      <c r="G276" s="229"/>
      <c r="H276" s="229"/>
      <c r="I276" s="1"/>
      <c r="J276" s="1"/>
      <c r="K276" s="1"/>
      <c r="L276" s="1"/>
      <c r="M276" s="1"/>
      <c r="N276" s="1"/>
      <c r="O276" s="1"/>
    </row>
    <row r="277" spans="2:15" x14ac:dyDescent="0.35">
      <c r="B277" s="40"/>
      <c r="C277" s="201"/>
      <c r="D277" s="4"/>
      <c r="E277" s="4"/>
      <c r="F277" s="4"/>
      <c r="G277" s="229"/>
      <c r="H277" s="229"/>
      <c r="I277" s="1"/>
      <c r="J277" s="1"/>
      <c r="K277" s="1"/>
      <c r="L277" s="1"/>
      <c r="M277" s="1"/>
      <c r="N277" s="1"/>
      <c r="O277" s="1"/>
    </row>
    <row r="278" spans="2:15" x14ac:dyDescent="0.35">
      <c r="B278" s="40"/>
      <c r="C278" s="201"/>
      <c r="D278" s="4"/>
      <c r="E278" s="4"/>
      <c r="F278" s="4"/>
      <c r="G278" s="229"/>
      <c r="H278" s="229"/>
      <c r="I278" s="1"/>
      <c r="J278" s="1"/>
      <c r="K278" s="1"/>
      <c r="L278" s="1"/>
      <c r="M278" s="1"/>
      <c r="N278" s="1"/>
      <c r="O278" s="1"/>
    </row>
    <row r="279" spans="2:15" x14ac:dyDescent="0.35">
      <c r="B279" s="40"/>
      <c r="C279" s="201"/>
      <c r="D279" s="4"/>
      <c r="E279" s="4"/>
      <c r="F279" s="4"/>
      <c r="G279" s="229"/>
      <c r="H279" s="229"/>
      <c r="I279" s="1"/>
      <c r="J279" s="1"/>
      <c r="K279" s="1"/>
      <c r="L279" s="1"/>
      <c r="M279" s="1"/>
      <c r="N279" s="1"/>
      <c r="O279" s="1"/>
    </row>
    <row r="280" spans="2:15" x14ac:dyDescent="0.35">
      <c r="B280" s="40"/>
      <c r="C280" s="201"/>
      <c r="D280" s="4"/>
      <c r="E280" s="4"/>
      <c r="F280" s="4"/>
      <c r="G280" s="229"/>
      <c r="H280" s="229"/>
      <c r="I280" s="1"/>
      <c r="J280" s="1"/>
      <c r="K280" s="1"/>
      <c r="L280" s="1"/>
      <c r="M280" s="1"/>
      <c r="N280" s="1"/>
      <c r="O280" s="1"/>
    </row>
    <row r="281" spans="2:15" x14ac:dyDescent="0.35">
      <c r="B281" s="40"/>
      <c r="C281" s="201"/>
      <c r="D281" s="4"/>
      <c r="E281" s="4"/>
      <c r="F281" s="4"/>
      <c r="G281" s="229"/>
      <c r="H281" s="229"/>
      <c r="I281" s="1"/>
      <c r="J281" s="1"/>
      <c r="K281" s="1"/>
      <c r="L281" s="1"/>
      <c r="M281" s="1"/>
      <c r="N281" s="1"/>
      <c r="O281" s="1"/>
    </row>
    <row r="282" spans="2:15" x14ac:dyDescent="0.35">
      <c r="B282" s="40"/>
      <c r="C282" s="201"/>
      <c r="D282" s="4"/>
      <c r="E282" s="4"/>
      <c r="F282" s="4"/>
      <c r="G282" s="229"/>
      <c r="H282" s="229"/>
      <c r="I282" s="1"/>
      <c r="J282" s="1"/>
      <c r="K282" s="1"/>
      <c r="L282" s="1"/>
      <c r="M282" s="1"/>
      <c r="N282" s="1"/>
      <c r="O282" s="1"/>
    </row>
    <row r="283" spans="2:15" x14ac:dyDescent="0.35">
      <c r="B283" s="40"/>
      <c r="C283" s="201"/>
      <c r="D283" s="4"/>
      <c r="E283" s="4"/>
      <c r="F283" s="4"/>
      <c r="G283" s="229"/>
      <c r="H283" s="229"/>
      <c r="I283" s="1"/>
      <c r="J283" s="1"/>
      <c r="K283" s="1"/>
      <c r="L283" s="1"/>
      <c r="M283" s="1"/>
      <c r="N283" s="1"/>
      <c r="O283" s="1"/>
    </row>
    <row r="284" spans="2:15" x14ac:dyDescent="0.35">
      <c r="B284" s="40"/>
      <c r="C284" s="201"/>
      <c r="D284" s="4"/>
      <c r="E284" s="4"/>
      <c r="F284" s="4"/>
      <c r="G284" s="229"/>
      <c r="H284" s="229"/>
      <c r="I284" s="1"/>
      <c r="J284" s="1"/>
      <c r="K284" s="1"/>
      <c r="L284" s="1"/>
      <c r="M284" s="1"/>
      <c r="N284" s="1"/>
      <c r="O284" s="1"/>
    </row>
    <row r="285" spans="2:15" x14ac:dyDescent="0.35">
      <c r="B285" s="40"/>
      <c r="C285" s="201"/>
      <c r="D285" s="4"/>
      <c r="E285" s="4"/>
      <c r="F285" s="4"/>
      <c r="G285" s="229"/>
      <c r="H285" s="229"/>
      <c r="I285" s="1"/>
      <c r="J285" s="1"/>
      <c r="K285" s="1"/>
      <c r="L285" s="1"/>
      <c r="M285" s="1"/>
      <c r="N285" s="1"/>
      <c r="O285" s="1"/>
    </row>
    <row r="286" spans="2:15" x14ac:dyDescent="0.35">
      <c r="B286" s="40"/>
      <c r="C286" s="201"/>
      <c r="D286" s="4"/>
      <c r="E286" s="4"/>
      <c r="F286" s="4"/>
      <c r="G286" s="229"/>
      <c r="H286" s="229"/>
      <c r="I286" s="1"/>
      <c r="J286" s="1"/>
      <c r="K286" s="1"/>
      <c r="L286" s="1"/>
      <c r="M286" s="1"/>
      <c r="N286" s="1"/>
      <c r="O286" s="1"/>
    </row>
    <row r="287" spans="2:15" x14ac:dyDescent="0.35">
      <c r="B287" s="40"/>
      <c r="C287" s="201"/>
      <c r="D287" s="4"/>
      <c r="E287" s="4"/>
      <c r="F287" s="4"/>
      <c r="G287" s="229"/>
      <c r="H287" s="229"/>
      <c r="I287" s="1"/>
      <c r="J287" s="1"/>
      <c r="K287" s="1"/>
      <c r="L287" s="1"/>
      <c r="M287" s="1"/>
      <c r="N287" s="1"/>
      <c r="O287" s="1"/>
    </row>
    <row r="288" spans="2:15" x14ac:dyDescent="0.35">
      <c r="B288" s="40"/>
      <c r="C288" s="201"/>
      <c r="D288" s="4"/>
      <c r="E288" s="4"/>
      <c r="F288" s="4"/>
      <c r="G288" s="229"/>
      <c r="H288" s="229"/>
      <c r="I288" s="1"/>
      <c r="J288" s="1"/>
      <c r="K288" s="1"/>
      <c r="L288" s="1"/>
      <c r="M288" s="1"/>
      <c r="N288" s="1"/>
      <c r="O288" s="1"/>
    </row>
    <row r="289" spans="2:15" x14ac:dyDescent="0.35">
      <c r="B289" s="40"/>
      <c r="C289" s="201"/>
      <c r="D289" s="4"/>
      <c r="E289" s="4"/>
      <c r="F289" s="4"/>
      <c r="G289" s="229"/>
      <c r="H289" s="229"/>
      <c r="I289" s="1"/>
      <c r="J289" s="1"/>
      <c r="K289" s="1"/>
      <c r="L289" s="1"/>
      <c r="M289" s="1"/>
      <c r="N289" s="1"/>
      <c r="O289" s="1"/>
    </row>
    <row r="290" spans="2:15" x14ac:dyDescent="0.35">
      <c r="B290" s="40"/>
      <c r="C290" s="201"/>
      <c r="D290" s="4"/>
      <c r="E290" s="4"/>
      <c r="F290" s="4"/>
      <c r="G290" s="229"/>
      <c r="H290" s="229"/>
      <c r="I290" s="1"/>
      <c r="J290" s="1"/>
      <c r="K290" s="1"/>
      <c r="L290" s="1"/>
      <c r="M290" s="1"/>
      <c r="N290" s="1"/>
      <c r="O290" s="1"/>
    </row>
    <row r="291" spans="2:15" x14ac:dyDescent="0.35">
      <c r="B291" s="40"/>
      <c r="C291" s="201"/>
      <c r="D291" s="4"/>
      <c r="E291" s="4"/>
      <c r="F291" s="4"/>
      <c r="G291" s="229"/>
      <c r="H291" s="229"/>
      <c r="I291" s="1"/>
      <c r="J291" s="1"/>
      <c r="K291" s="1"/>
      <c r="L291" s="1"/>
      <c r="M291" s="1"/>
      <c r="N291" s="1"/>
      <c r="O291" s="1"/>
    </row>
    <row r="292" spans="2:15" x14ac:dyDescent="0.35">
      <c r="B292" s="40"/>
      <c r="C292" s="201"/>
      <c r="D292" s="4"/>
      <c r="E292" s="4"/>
      <c r="F292" s="4"/>
      <c r="G292" s="229"/>
      <c r="H292" s="229"/>
      <c r="I292" s="1"/>
      <c r="J292" s="1"/>
      <c r="K292" s="1"/>
      <c r="L292" s="1"/>
      <c r="M292" s="1"/>
      <c r="N292" s="1"/>
      <c r="O292" s="1"/>
    </row>
    <row r="293" spans="2:15" x14ac:dyDescent="0.35">
      <c r="B293" s="40"/>
      <c r="C293" s="201"/>
      <c r="D293" s="4"/>
      <c r="E293" s="4"/>
      <c r="F293" s="4"/>
      <c r="G293" s="229"/>
      <c r="H293" s="229"/>
      <c r="I293" s="1"/>
      <c r="J293" s="1"/>
      <c r="K293" s="1"/>
      <c r="L293" s="1"/>
      <c r="M293" s="1"/>
      <c r="N293" s="1"/>
      <c r="O293" s="1"/>
    </row>
    <row r="294" spans="2:15" x14ac:dyDescent="0.35">
      <c r="B294" s="40"/>
      <c r="C294" s="201"/>
      <c r="D294" s="4"/>
      <c r="E294" s="4"/>
      <c r="F294" s="4"/>
      <c r="G294" s="229"/>
      <c r="H294" s="229"/>
      <c r="I294" s="1"/>
      <c r="J294" s="1"/>
      <c r="K294" s="1"/>
      <c r="L294" s="1"/>
      <c r="M294" s="1"/>
      <c r="N294" s="1"/>
      <c r="O294" s="1"/>
    </row>
    <row r="295" spans="2:15" x14ac:dyDescent="0.35">
      <c r="B295" s="40"/>
      <c r="C295" s="201"/>
      <c r="D295" s="4"/>
      <c r="E295" s="4"/>
      <c r="F295" s="4"/>
      <c r="G295" s="229"/>
      <c r="H295" s="229"/>
      <c r="I295" s="1"/>
      <c r="J295" s="1"/>
      <c r="K295" s="1"/>
      <c r="L295" s="1"/>
      <c r="M295" s="1"/>
      <c r="N295" s="1"/>
      <c r="O295" s="1"/>
    </row>
    <row r="296" spans="2:15" x14ac:dyDescent="0.35">
      <c r="B296" s="40"/>
      <c r="C296" s="201"/>
      <c r="D296" s="4"/>
      <c r="E296" s="4"/>
      <c r="F296" s="4"/>
      <c r="G296" s="229"/>
      <c r="H296" s="229"/>
      <c r="I296" s="1"/>
      <c r="J296" s="1"/>
      <c r="K296" s="1"/>
      <c r="L296" s="1"/>
      <c r="M296" s="1"/>
      <c r="N296" s="1"/>
      <c r="O296" s="1"/>
    </row>
    <row r="297" spans="2:15" x14ac:dyDescent="0.35">
      <c r="B297" s="40"/>
      <c r="C297" s="201"/>
      <c r="D297" s="4"/>
      <c r="E297" s="4"/>
      <c r="F297" s="4"/>
      <c r="G297" s="229"/>
      <c r="H297" s="229"/>
      <c r="I297" s="1"/>
      <c r="J297" s="1"/>
      <c r="K297" s="1"/>
      <c r="L297" s="1"/>
      <c r="M297" s="1"/>
      <c r="N297" s="1"/>
      <c r="O297" s="1"/>
    </row>
    <row r="298" spans="2:15" x14ac:dyDescent="0.35">
      <c r="B298" s="40"/>
      <c r="C298" s="201"/>
      <c r="D298" s="4"/>
      <c r="E298" s="4"/>
      <c r="F298" s="4"/>
      <c r="G298" s="229"/>
      <c r="H298" s="229"/>
      <c r="I298" s="1"/>
      <c r="J298" s="1"/>
      <c r="K298" s="1"/>
      <c r="L298" s="1"/>
      <c r="M298" s="1"/>
      <c r="N298" s="1"/>
      <c r="O298" s="1"/>
    </row>
    <row r="299" spans="2:15" x14ac:dyDescent="0.35">
      <c r="B299" s="40"/>
      <c r="C299" s="201"/>
      <c r="D299" s="4"/>
      <c r="E299" s="4"/>
      <c r="F299" s="4"/>
      <c r="G299" s="229"/>
      <c r="H299" s="229"/>
      <c r="I299" s="1"/>
      <c r="J299" s="1"/>
      <c r="K299" s="1"/>
      <c r="L299" s="1"/>
      <c r="M299" s="1"/>
      <c r="N299" s="1"/>
      <c r="O299" s="1"/>
    </row>
    <row r="300" spans="2:15" x14ac:dyDescent="0.35">
      <c r="B300" s="40"/>
      <c r="C300" s="201"/>
      <c r="D300" s="4"/>
      <c r="E300" s="4"/>
      <c r="F300" s="4"/>
      <c r="G300" s="229"/>
      <c r="H300" s="229"/>
      <c r="I300" s="1"/>
      <c r="J300" s="1"/>
      <c r="K300" s="1"/>
      <c r="L300" s="1"/>
      <c r="M300" s="1"/>
      <c r="N300" s="1"/>
      <c r="O300" s="1"/>
    </row>
    <row r="301" spans="2:15" x14ac:dyDescent="0.35">
      <c r="B301" s="40"/>
      <c r="C301" s="201"/>
      <c r="D301" s="4"/>
      <c r="E301" s="4"/>
      <c r="F301" s="4"/>
      <c r="G301" s="229"/>
      <c r="H301" s="229"/>
      <c r="I301" s="1"/>
      <c r="J301" s="1"/>
      <c r="K301" s="1"/>
      <c r="L301" s="1"/>
      <c r="M301" s="1"/>
      <c r="N301" s="1"/>
      <c r="O301" s="1"/>
    </row>
    <row r="302" spans="2:15" x14ac:dyDescent="0.35">
      <c r="B302" s="40"/>
      <c r="C302" s="201"/>
      <c r="D302" s="4"/>
      <c r="E302" s="4"/>
      <c r="F302" s="4"/>
      <c r="G302" s="229"/>
      <c r="H302" s="229"/>
      <c r="I302" s="1"/>
      <c r="J302" s="1"/>
      <c r="K302" s="1"/>
      <c r="L302" s="1"/>
      <c r="M302" s="1"/>
      <c r="N302" s="1"/>
      <c r="O302" s="1"/>
    </row>
    <row r="303" spans="2:15" x14ac:dyDescent="0.35">
      <c r="B303" s="40"/>
      <c r="C303" s="201"/>
      <c r="D303" s="4"/>
      <c r="E303" s="4"/>
      <c r="F303" s="4"/>
      <c r="G303" s="229"/>
      <c r="H303" s="229"/>
      <c r="I303" s="1"/>
      <c r="J303" s="1"/>
      <c r="K303" s="1"/>
      <c r="L303" s="1"/>
      <c r="M303" s="1"/>
      <c r="N303" s="1"/>
      <c r="O303" s="1"/>
    </row>
    <row r="304" spans="2:15" x14ac:dyDescent="0.35">
      <c r="B304" s="40"/>
      <c r="C304" s="201"/>
      <c r="D304" s="4"/>
      <c r="E304" s="4"/>
      <c r="F304" s="4"/>
      <c r="G304" s="229"/>
      <c r="H304" s="229"/>
      <c r="I304" s="1"/>
      <c r="J304" s="1"/>
      <c r="K304" s="1"/>
      <c r="L304" s="1"/>
      <c r="M304" s="1"/>
      <c r="N304" s="1"/>
      <c r="O304" s="1"/>
    </row>
    <row r="305" spans="2:15" x14ac:dyDescent="0.35">
      <c r="B305" s="40"/>
      <c r="C305" s="201"/>
      <c r="D305" s="4"/>
      <c r="E305" s="4"/>
      <c r="F305" s="4"/>
      <c r="G305" s="229"/>
      <c r="H305" s="229"/>
      <c r="I305" s="1"/>
      <c r="J305" s="1"/>
      <c r="K305" s="1"/>
      <c r="L305" s="1"/>
      <c r="M305" s="1"/>
      <c r="N305" s="1"/>
      <c r="O305" s="1"/>
    </row>
    <row r="306" spans="2:15" x14ac:dyDescent="0.35">
      <c r="B306" s="40"/>
      <c r="C306" s="201"/>
      <c r="D306" s="4"/>
      <c r="E306" s="4"/>
      <c r="F306" s="4"/>
      <c r="G306" s="229"/>
      <c r="H306" s="229"/>
      <c r="I306" s="1"/>
      <c r="J306" s="1"/>
      <c r="K306" s="1"/>
      <c r="L306" s="1"/>
      <c r="M306" s="1"/>
      <c r="N306" s="1"/>
      <c r="O306" s="1"/>
    </row>
    <row r="307" spans="2:15" x14ac:dyDescent="0.35">
      <c r="B307" s="40"/>
      <c r="C307" s="201"/>
      <c r="D307" s="4"/>
      <c r="E307" s="4"/>
      <c r="F307" s="4"/>
      <c r="G307" s="229"/>
      <c r="H307" s="229"/>
      <c r="I307" s="1"/>
      <c r="J307" s="1"/>
      <c r="K307" s="1"/>
      <c r="L307" s="1"/>
      <c r="M307" s="1"/>
      <c r="N307" s="1"/>
      <c r="O307" s="1"/>
    </row>
    <row r="308" spans="2:15" x14ac:dyDescent="0.35">
      <c r="B308" s="40"/>
      <c r="C308" s="201"/>
      <c r="D308" s="4"/>
      <c r="E308" s="4"/>
      <c r="F308" s="4"/>
      <c r="G308" s="229"/>
      <c r="H308" s="229"/>
      <c r="I308" s="1"/>
      <c r="J308" s="1"/>
      <c r="K308" s="1"/>
      <c r="L308" s="1"/>
      <c r="M308" s="1"/>
      <c r="N308" s="1"/>
      <c r="O308" s="1"/>
    </row>
    <row r="309" spans="2:15" x14ac:dyDescent="0.35">
      <c r="B309" s="40"/>
      <c r="C309" s="201"/>
      <c r="D309" s="4"/>
      <c r="E309" s="4"/>
      <c r="F309" s="4"/>
      <c r="G309" s="229"/>
      <c r="H309" s="229"/>
      <c r="I309" s="1"/>
      <c r="J309" s="1"/>
      <c r="K309" s="1"/>
      <c r="L309" s="1"/>
      <c r="M309" s="1"/>
      <c r="N309" s="1"/>
      <c r="O309" s="1"/>
    </row>
    <row r="310" spans="2:15" x14ac:dyDescent="0.35">
      <c r="B310" s="40"/>
      <c r="C310" s="201"/>
      <c r="D310" s="4"/>
      <c r="E310" s="4"/>
      <c r="F310" s="4"/>
      <c r="G310" s="229"/>
      <c r="H310" s="229"/>
      <c r="I310" s="1"/>
      <c r="J310" s="1"/>
      <c r="K310" s="1"/>
      <c r="L310" s="1"/>
      <c r="M310" s="1"/>
      <c r="N310" s="1"/>
      <c r="O310" s="1"/>
    </row>
    <row r="311" spans="2:15" x14ac:dyDescent="0.35">
      <c r="B311" s="40"/>
      <c r="C311" s="201"/>
      <c r="D311" s="4"/>
      <c r="E311" s="4"/>
      <c r="F311" s="4"/>
      <c r="G311" s="229"/>
      <c r="H311" s="229"/>
      <c r="I311" s="1"/>
      <c r="J311" s="1"/>
      <c r="K311" s="1"/>
      <c r="L311" s="1"/>
      <c r="M311" s="1"/>
      <c r="N311" s="1"/>
      <c r="O311" s="1"/>
    </row>
    <row r="312" spans="2:15" x14ac:dyDescent="0.35">
      <c r="B312" s="40"/>
      <c r="C312" s="201"/>
      <c r="D312" s="4"/>
      <c r="E312" s="4"/>
      <c r="F312" s="4"/>
      <c r="G312" s="229"/>
      <c r="H312" s="229"/>
      <c r="I312" s="1"/>
      <c r="J312" s="1"/>
      <c r="K312" s="1"/>
      <c r="L312" s="1"/>
      <c r="M312" s="1"/>
      <c r="N312" s="1"/>
      <c r="O312" s="1"/>
    </row>
    <row r="313" spans="2:15" x14ac:dyDescent="0.35">
      <c r="B313" s="40"/>
      <c r="C313" s="201"/>
      <c r="D313" s="4"/>
      <c r="E313" s="4"/>
      <c r="F313" s="4"/>
      <c r="G313" s="229"/>
      <c r="H313" s="229"/>
      <c r="I313" s="1"/>
      <c r="J313" s="1"/>
      <c r="K313" s="1"/>
      <c r="L313" s="1"/>
      <c r="M313" s="1"/>
      <c r="N313" s="1"/>
      <c r="O313" s="1"/>
    </row>
    <row r="314" spans="2:15" x14ac:dyDescent="0.35">
      <c r="B314" s="40"/>
      <c r="C314" s="201"/>
      <c r="D314" s="4"/>
      <c r="E314" s="4"/>
      <c r="F314" s="4"/>
      <c r="G314" s="229"/>
      <c r="H314" s="229"/>
      <c r="I314" s="1"/>
      <c r="J314" s="1"/>
      <c r="K314" s="1"/>
      <c r="L314" s="1"/>
      <c r="M314" s="1"/>
      <c r="N314" s="1"/>
      <c r="O314" s="1"/>
    </row>
    <row r="315" spans="2:15" x14ac:dyDescent="0.35">
      <c r="B315" s="40"/>
      <c r="C315" s="201"/>
      <c r="D315" s="4"/>
      <c r="E315" s="4"/>
      <c r="F315" s="4"/>
      <c r="G315" s="229"/>
      <c r="H315" s="229"/>
      <c r="I315" s="1"/>
      <c r="J315" s="1"/>
      <c r="K315" s="1"/>
      <c r="L315" s="1"/>
      <c r="M315" s="1"/>
      <c r="N315" s="1"/>
      <c r="O315" s="1"/>
    </row>
    <row r="316" spans="2:15" x14ac:dyDescent="0.35">
      <c r="B316" s="40"/>
      <c r="C316" s="201"/>
      <c r="D316" s="4"/>
      <c r="E316" s="4"/>
      <c r="F316" s="4"/>
      <c r="G316" s="229"/>
      <c r="H316" s="229"/>
      <c r="I316" s="1"/>
      <c r="J316" s="1"/>
      <c r="K316" s="1"/>
      <c r="L316" s="1"/>
      <c r="M316" s="1"/>
      <c r="N316" s="1"/>
      <c r="O316" s="1"/>
    </row>
    <row r="317" spans="2:15" x14ac:dyDescent="0.35">
      <c r="B317" s="40"/>
      <c r="C317" s="201"/>
      <c r="D317" s="4"/>
      <c r="E317" s="4"/>
      <c r="F317" s="4"/>
      <c r="G317" s="229"/>
      <c r="H317" s="229"/>
      <c r="I317" s="1"/>
      <c r="J317" s="1"/>
      <c r="K317" s="1"/>
      <c r="L317" s="1"/>
      <c r="M317" s="1"/>
      <c r="N317" s="1"/>
      <c r="O317" s="1"/>
    </row>
    <row r="318" spans="2:15" x14ac:dyDescent="0.35">
      <c r="B318" s="40"/>
      <c r="C318" s="201"/>
      <c r="D318" s="4"/>
      <c r="E318" s="4"/>
      <c r="F318" s="4"/>
      <c r="G318" s="229"/>
      <c r="H318" s="229"/>
      <c r="I318" s="1"/>
      <c r="J318" s="1"/>
      <c r="K318" s="1"/>
      <c r="L318" s="1"/>
      <c r="M318" s="1"/>
      <c r="N318" s="1"/>
      <c r="O318" s="1"/>
    </row>
    <row r="319" spans="2:15" x14ac:dyDescent="0.35">
      <c r="B319" s="40"/>
      <c r="C319" s="201"/>
      <c r="D319" s="4"/>
      <c r="E319" s="4"/>
      <c r="F319" s="4"/>
      <c r="G319" s="229"/>
      <c r="H319" s="229"/>
      <c r="I319" s="1"/>
      <c r="J319" s="1"/>
      <c r="K319" s="1"/>
      <c r="L319" s="1"/>
      <c r="M319" s="1"/>
      <c r="N319" s="1"/>
      <c r="O319" s="1"/>
    </row>
  </sheetData>
  <autoFilter ref="A4:N150" xr:uid="{93722677-F22D-47A7-A701-9A5BCE71C9B7}">
    <filterColumn colId="0">
      <filters>
        <filter val="VEG"/>
      </filters>
    </filterColumn>
    <filterColumn colId="9">
      <filters>
        <filter val="1"/>
        <filter val="10"/>
        <filter val="100"/>
        <filter val="1016"/>
        <filter val="1052"/>
        <filter val="110"/>
        <filter val="117"/>
        <filter val="1207"/>
        <filter val="1309"/>
        <filter val="134"/>
        <filter val="1367"/>
        <filter val="143"/>
        <filter val="148"/>
        <filter val="15"/>
        <filter val="1511"/>
        <filter val="152"/>
        <filter val="172"/>
        <filter val="173"/>
        <filter val="174"/>
        <filter val="176"/>
        <filter val="179"/>
        <filter val="1829"/>
        <filter val="185"/>
        <filter val="187"/>
        <filter val="2"/>
        <filter val="20"/>
        <filter val="200"/>
        <filter val="21"/>
        <filter val="211"/>
        <filter val="213"/>
        <filter val="2164"/>
        <filter val="229"/>
        <filter val="236"/>
        <filter val="237"/>
        <filter val="240"/>
        <filter val="241"/>
        <filter val="2434"/>
        <filter val="245"/>
        <filter val="248"/>
        <filter val="26"/>
        <filter val="2771"/>
        <filter val="283"/>
        <filter val="284"/>
        <filter val="288"/>
        <filter val="29"/>
        <filter val="294"/>
        <filter val="296"/>
        <filter val="305"/>
        <filter val="31"/>
        <filter val="311"/>
        <filter val="312"/>
        <filter val="323"/>
        <filter val="355"/>
        <filter val="366"/>
        <filter val="37"/>
        <filter val="37435"/>
        <filter val="381"/>
        <filter val="402"/>
        <filter val="418"/>
        <filter val="42"/>
        <filter val="426"/>
        <filter val="433"/>
        <filter val="44"/>
        <filter val="441"/>
        <filter val="468"/>
        <filter val="472"/>
        <filter val="488"/>
        <filter val="49"/>
        <filter val="494"/>
        <filter val="496"/>
        <filter val="497"/>
        <filter val="50"/>
        <filter val="500"/>
        <filter val="508"/>
        <filter val="545"/>
        <filter val="55"/>
        <filter val="557"/>
        <filter val="59"/>
        <filter val="60"/>
        <filter val="61"/>
        <filter val="647"/>
        <filter val="685"/>
        <filter val="69"/>
        <filter val="70"/>
        <filter val="722"/>
        <filter val="73"/>
        <filter val="8"/>
        <filter val="846"/>
        <filter val="87"/>
        <filter val="886"/>
        <filter val="9"/>
        <filter val="97"/>
        <filter val="99"/>
      </filters>
    </filterColumn>
    <sortState xmlns:xlrd2="http://schemas.microsoft.com/office/spreadsheetml/2017/richdata2" ref="A5:N150">
      <sortCondition ref="L4:L150"/>
    </sortState>
  </autoFilter>
  <sortState xmlns:xlrd2="http://schemas.microsoft.com/office/spreadsheetml/2017/richdata2" ref="A5:N149">
    <sortCondition ref="L5:L149"/>
    <sortCondition descending="1" ref="K5:K149"/>
  </sortState>
  <mergeCells count="1">
    <mergeCell ref="A2:N3"/>
  </mergeCells>
  <conditionalFormatting sqref="L4:L1048576 L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2F7F-4DAF-407F-842E-C0B2DE2503BA}">
  <dimension ref="A1:R266"/>
  <sheetViews>
    <sheetView workbookViewId="0">
      <selection activeCell="B9" sqref="B9"/>
    </sheetView>
  </sheetViews>
  <sheetFormatPr defaultRowHeight="14.5" x14ac:dyDescent="0.35"/>
  <cols>
    <col min="1" max="1" width="5.7265625" customWidth="1"/>
    <col min="3" max="3" width="13.54296875" bestFit="1" customWidth="1"/>
    <col min="4" max="4" width="13.1796875" customWidth="1"/>
  </cols>
  <sheetData>
    <row r="1" spans="1:18" x14ac:dyDescent="0.35">
      <c r="A1" s="1"/>
      <c r="B1" s="4"/>
      <c r="C1" s="4"/>
      <c r="D1" s="4"/>
      <c r="E1" s="4"/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1"/>
      <c r="B2" s="399" t="s">
        <v>220</v>
      </c>
      <c r="C2" s="400"/>
      <c r="D2" s="400"/>
      <c r="E2" s="400"/>
      <c r="F2" s="400"/>
      <c r="G2" s="400"/>
      <c r="H2" s="400"/>
      <c r="I2" s="400"/>
      <c r="J2" s="400"/>
      <c r="K2" s="400"/>
      <c r="L2" s="409"/>
      <c r="M2" s="1"/>
      <c r="N2" s="1"/>
      <c r="O2" s="14"/>
      <c r="P2" s="14"/>
      <c r="Q2" s="1"/>
      <c r="R2" s="1"/>
    </row>
    <row r="3" spans="1:18" x14ac:dyDescent="0.35">
      <c r="A3" s="1"/>
      <c r="B3" s="410"/>
      <c r="C3" s="403"/>
      <c r="D3" s="403"/>
      <c r="E3" s="403"/>
      <c r="F3" s="403"/>
      <c r="G3" s="403"/>
      <c r="H3" s="403"/>
      <c r="I3" s="403"/>
      <c r="J3" s="403"/>
      <c r="K3" s="403"/>
      <c r="L3" s="411"/>
      <c r="M3" s="1"/>
      <c r="N3" s="1"/>
      <c r="O3" s="14"/>
      <c r="P3" s="14"/>
      <c r="Q3" s="1"/>
      <c r="R3" s="1"/>
    </row>
    <row r="4" spans="1:18" ht="43.5" x14ac:dyDescent="0.35">
      <c r="A4" s="13"/>
      <c r="B4" s="9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64</v>
      </c>
      <c r="H4" s="10" t="s">
        <v>8</v>
      </c>
      <c r="I4" s="10" t="s">
        <v>65</v>
      </c>
      <c r="J4" s="10" t="s">
        <v>10</v>
      </c>
      <c r="K4" s="10" t="s">
        <v>11</v>
      </c>
      <c r="L4" s="11" t="s">
        <v>4</v>
      </c>
      <c r="M4" s="1"/>
      <c r="N4" s="1"/>
      <c r="O4" s="14"/>
      <c r="P4" s="14"/>
      <c r="Q4" s="1"/>
      <c r="R4" s="1"/>
    </row>
    <row r="5" spans="1:18" x14ac:dyDescent="0.35">
      <c r="A5" s="2"/>
      <c r="B5" s="8">
        <v>66917</v>
      </c>
      <c r="C5" s="3" t="s">
        <v>221</v>
      </c>
      <c r="D5" s="3" t="s">
        <v>222</v>
      </c>
      <c r="E5" s="139">
        <v>0</v>
      </c>
      <c r="F5" s="25">
        <v>0</v>
      </c>
      <c r="G5" s="5">
        <v>0</v>
      </c>
      <c r="H5" s="6">
        <v>0</v>
      </c>
      <c r="I5" s="7">
        <f t="shared" ref="I5:I79" si="0">SUM(E5:H5)</f>
        <v>0</v>
      </c>
      <c r="J5" s="7">
        <f t="shared" ref="J5:J58" si="1">I5*L5</f>
        <v>0</v>
      </c>
      <c r="K5" s="22" t="s">
        <v>223</v>
      </c>
      <c r="L5" s="12">
        <v>2</v>
      </c>
      <c r="M5" s="1"/>
      <c r="N5" s="1"/>
      <c r="O5" s="14"/>
      <c r="P5" s="14"/>
      <c r="Q5" s="1"/>
      <c r="R5" s="1"/>
    </row>
    <row r="6" spans="1:18" x14ac:dyDescent="0.35">
      <c r="A6" s="2"/>
      <c r="B6" s="8">
        <v>66917</v>
      </c>
      <c r="C6" s="3" t="s">
        <v>221</v>
      </c>
      <c r="D6" s="3" t="s">
        <v>222</v>
      </c>
      <c r="E6" s="139">
        <v>0</v>
      </c>
      <c r="F6" s="25">
        <v>0</v>
      </c>
      <c r="G6" s="5"/>
      <c r="H6" s="6">
        <v>0</v>
      </c>
      <c r="I6" s="7">
        <f t="shared" si="0"/>
        <v>0</v>
      </c>
      <c r="J6" s="7">
        <f t="shared" si="1"/>
        <v>0</v>
      </c>
      <c r="K6" s="22" t="s">
        <v>224</v>
      </c>
      <c r="L6" s="12">
        <v>2</v>
      </c>
      <c r="M6" s="1"/>
      <c r="N6" s="1"/>
      <c r="O6" s="14"/>
      <c r="P6" s="14"/>
      <c r="Q6" s="1"/>
      <c r="R6" s="1"/>
    </row>
    <row r="7" spans="1:18" x14ac:dyDescent="0.35">
      <c r="A7" s="2"/>
      <c r="B7" s="8">
        <v>66917</v>
      </c>
      <c r="C7" s="3" t="s">
        <v>221</v>
      </c>
      <c r="D7" s="3" t="s">
        <v>222</v>
      </c>
      <c r="E7" s="139">
        <v>0</v>
      </c>
      <c r="F7" s="25"/>
      <c r="G7" s="5">
        <v>0</v>
      </c>
      <c r="H7" s="6"/>
      <c r="I7" s="7">
        <f t="shared" si="0"/>
        <v>0</v>
      </c>
      <c r="J7" s="7"/>
      <c r="K7" s="22" t="s">
        <v>225</v>
      </c>
      <c r="L7" s="12"/>
      <c r="M7" s="1"/>
      <c r="N7" s="1"/>
      <c r="O7" s="14"/>
      <c r="P7" s="14"/>
      <c r="Q7" s="1"/>
      <c r="R7" s="1"/>
    </row>
    <row r="8" spans="1:18" x14ac:dyDescent="0.35">
      <c r="A8" s="2"/>
      <c r="B8" s="8">
        <v>64213</v>
      </c>
      <c r="C8" s="3" t="s">
        <v>221</v>
      </c>
      <c r="D8" s="3" t="s">
        <v>226</v>
      </c>
      <c r="E8" s="139">
        <v>0</v>
      </c>
      <c r="F8" s="25"/>
      <c r="G8" s="5">
        <v>0</v>
      </c>
      <c r="H8" s="6"/>
      <c r="I8" s="7">
        <f t="shared" si="0"/>
        <v>0</v>
      </c>
      <c r="J8" s="7"/>
      <c r="K8" s="22" t="s">
        <v>225</v>
      </c>
      <c r="L8" s="12"/>
      <c r="M8" s="1"/>
      <c r="N8" s="1"/>
      <c r="O8" s="14"/>
      <c r="P8" s="14"/>
      <c r="Q8" s="1"/>
      <c r="R8" s="1"/>
    </row>
    <row r="9" spans="1:18" x14ac:dyDescent="0.35">
      <c r="A9" s="2"/>
      <c r="B9" s="60">
        <v>64213</v>
      </c>
      <c r="C9" s="3" t="s">
        <v>221</v>
      </c>
      <c r="D9" s="3" t="s">
        <v>227</v>
      </c>
      <c r="E9" s="139">
        <v>0</v>
      </c>
      <c r="F9" s="25"/>
      <c r="G9" s="5">
        <v>0</v>
      </c>
      <c r="H9" s="6"/>
      <c r="I9" s="7">
        <f t="shared" si="0"/>
        <v>0</v>
      </c>
      <c r="J9" s="7"/>
      <c r="K9" s="22" t="s">
        <v>223</v>
      </c>
      <c r="L9" s="12"/>
      <c r="M9" s="1"/>
      <c r="N9" s="1"/>
      <c r="O9" s="14"/>
      <c r="P9" s="14"/>
      <c r="Q9" s="1"/>
      <c r="R9" s="1"/>
    </row>
    <row r="10" spans="1:18" x14ac:dyDescent="0.35">
      <c r="A10" s="1"/>
      <c r="B10" s="8">
        <v>30593</v>
      </c>
      <c r="C10" s="3" t="s">
        <v>228</v>
      </c>
      <c r="D10" s="3" t="s">
        <v>61</v>
      </c>
      <c r="E10" s="139">
        <v>0</v>
      </c>
      <c r="F10" s="25">
        <v>0</v>
      </c>
      <c r="G10" s="5">
        <v>0</v>
      </c>
      <c r="H10" s="6">
        <v>0</v>
      </c>
      <c r="I10" s="7">
        <f t="shared" si="0"/>
        <v>0</v>
      </c>
      <c r="J10" s="7">
        <f t="shared" si="1"/>
        <v>0</v>
      </c>
      <c r="K10" s="22" t="s">
        <v>229</v>
      </c>
      <c r="L10" s="12">
        <v>2</v>
      </c>
      <c r="M10" s="1"/>
      <c r="N10" s="1"/>
      <c r="O10" s="1"/>
      <c r="P10" s="1"/>
      <c r="Q10" s="1"/>
      <c r="R10" s="1"/>
    </row>
    <row r="11" spans="1:18" x14ac:dyDescent="0.35">
      <c r="A11" s="1"/>
      <c r="B11" s="8">
        <v>30593</v>
      </c>
      <c r="C11" s="3" t="s">
        <v>228</v>
      </c>
      <c r="D11" s="3" t="s">
        <v>61</v>
      </c>
      <c r="E11" s="139">
        <v>0</v>
      </c>
      <c r="F11" s="25">
        <v>0</v>
      </c>
      <c r="G11" s="5">
        <v>0</v>
      </c>
      <c r="H11" s="6">
        <v>0</v>
      </c>
      <c r="I11" s="7">
        <f t="shared" si="0"/>
        <v>0</v>
      </c>
      <c r="J11" s="7">
        <f t="shared" si="1"/>
        <v>0</v>
      </c>
      <c r="K11" s="22" t="s">
        <v>230</v>
      </c>
      <c r="L11" s="12">
        <v>2</v>
      </c>
      <c r="M11" s="1"/>
      <c r="N11" s="1"/>
      <c r="O11" s="1"/>
      <c r="P11" s="1"/>
      <c r="Q11" s="1"/>
      <c r="R11" s="1"/>
    </row>
    <row r="12" spans="1:18" x14ac:dyDescent="0.35">
      <c r="A12" s="1"/>
      <c r="B12" s="8">
        <v>34001</v>
      </c>
      <c r="C12" s="3" t="s">
        <v>228</v>
      </c>
      <c r="D12" s="3" t="s">
        <v>231</v>
      </c>
      <c r="E12" s="139">
        <v>0</v>
      </c>
      <c r="F12" s="25">
        <v>0</v>
      </c>
      <c r="G12" s="5"/>
      <c r="H12" s="6">
        <v>0</v>
      </c>
      <c r="I12" s="7">
        <f t="shared" si="0"/>
        <v>0</v>
      </c>
      <c r="J12" s="7">
        <f t="shared" si="1"/>
        <v>0</v>
      </c>
      <c r="K12" s="22" t="s">
        <v>230</v>
      </c>
      <c r="L12" s="12">
        <v>5</v>
      </c>
      <c r="M12" s="1"/>
      <c r="N12" s="1"/>
      <c r="O12" s="1"/>
      <c r="P12" s="1"/>
      <c r="Q12" s="1"/>
      <c r="R12" s="1"/>
    </row>
    <row r="13" spans="1:18" x14ac:dyDescent="0.35">
      <c r="A13" s="1"/>
      <c r="B13" s="8"/>
      <c r="C13" s="3" t="s">
        <v>232</v>
      </c>
      <c r="D13" s="3" t="s">
        <v>233</v>
      </c>
      <c r="E13" s="139">
        <v>0</v>
      </c>
      <c r="F13" s="25">
        <v>0</v>
      </c>
      <c r="G13" s="17">
        <v>37</v>
      </c>
      <c r="H13" s="18"/>
      <c r="I13" s="7">
        <f t="shared" si="0"/>
        <v>37</v>
      </c>
      <c r="J13" s="7"/>
      <c r="K13" s="22" t="s">
        <v>224</v>
      </c>
      <c r="L13" s="21"/>
      <c r="M13" s="1"/>
      <c r="N13" s="1"/>
      <c r="O13" s="1"/>
      <c r="P13" s="1"/>
      <c r="Q13" s="1"/>
      <c r="R13" s="1"/>
    </row>
    <row r="14" spans="1:18" x14ac:dyDescent="0.35">
      <c r="A14" s="1"/>
      <c r="B14" s="8">
        <v>64213</v>
      </c>
      <c r="C14" s="3" t="s">
        <v>221</v>
      </c>
      <c r="D14" s="3" t="s">
        <v>234</v>
      </c>
      <c r="E14" s="139">
        <v>0</v>
      </c>
      <c r="F14" s="150"/>
      <c r="G14" s="17"/>
      <c r="H14" s="18">
        <v>0</v>
      </c>
      <c r="I14" s="7"/>
      <c r="J14" s="7"/>
      <c r="K14" s="22" t="s">
        <v>223</v>
      </c>
      <c r="L14" s="21"/>
      <c r="M14" s="1"/>
      <c r="N14" s="1"/>
      <c r="O14" s="1"/>
      <c r="P14" s="1"/>
      <c r="Q14" s="1"/>
      <c r="R14" s="1"/>
    </row>
    <row r="15" spans="1:18" x14ac:dyDescent="0.35">
      <c r="A15" s="2"/>
      <c r="B15" s="8">
        <v>64213</v>
      </c>
      <c r="C15" s="3" t="s">
        <v>221</v>
      </c>
      <c r="D15" s="3" t="s">
        <v>234</v>
      </c>
      <c r="E15" s="139">
        <v>0</v>
      </c>
      <c r="F15" s="151">
        <v>0</v>
      </c>
      <c r="G15" s="17">
        <v>0</v>
      </c>
      <c r="H15" s="18">
        <v>0</v>
      </c>
      <c r="I15" s="7">
        <f t="shared" si="0"/>
        <v>0</v>
      </c>
      <c r="J15" s="7">
        <f t="shared" si="1"/>
        <v>0</v>
      </c>
      <c r="K15" s="33">
        <v>45696</v>
      </c>
      <c r="L15" s="21">
        <v>2</v>
      </c>
      <c r="M15" s="1"/>
      <c r="N15" s="1"/>
      <c r="O15" s="14"/>
      <c r="P15" s="14"/>
      <c r="Q15" s="1"/>
      <c r="R15" s="1"/>
    </row>
    <row r="16" spans="1:18" x14ac:dyDescent="0.35">
      <c r="A16" s="2"/>
      <c r="B16" s="8">
        <v>35348</v>
      </c>
      <c r="C16" s="3" t="s">
        <v>235</v>
      </c>
      <c r="D16" s="3" t="s">
        <v>61</v>
      </c>
      <c r="E16" s="139">
        <v>0</v>
      </c>
      <c r="F16" s="24">
        <v>1615</v>
      </c>
      <c r="G16" s="17"/>
      <c r="H16" s="18">
        <v>0</v>
      </c>
      <c r="I16" s="7">
        <f t="shared" si="0"/>
        <v>1615</v>
      </c>
      <c r="J16" s="7">
        <f t="shared" si="1"/>
        <v>3230</v>
      </c>
      <c r="K16" s="33">
        <v>45863</v>
      </c>
      <c r="L16" s="21">
        <v>2</v>
      </c>
      <c r="M16" s="1"/>
      <c r="N16" s="1"/>
      <c r="O16" s="14"/>
      <c r="P16" s="14"/>
      <c r="Q16" s="1"/>
      <c r="R16" s="1"/>
    </row>
    <row r="17" spans="1:18" x14ac:dyDescent="0.35">
      <c r="A17" s="2"/>
      <c r="B17" s="8">
        <v>35348</v>
      </c>
      <c r="C17" s="3" t="s">
        <v>235</v>
      </c>
      <c r="D17" s="3" t="s">
        <v>61</v>
      </c>
      <c r="E17" s="139">
        <v>0</v>
      </c>
      <c r="F17" s="24">
        <v>1105</v>
      </c>
      <c r="G17" s="17">
        <v>10</v>
      </c>
      <c r="H17" s="18"/>
      <c r="I17" s="7">
        <f t="shared" si="0"/>
        <v>1115</v>
      </c>
      <c r="J17" s="7"/>
      <c r="K17" s="20" t="s">
        <v>68</v>
      </c>
      <c r="L17" s="21"/>
      <c r="M17" s="1"/>
      <c r="N17" s="1"/>
      <c r="O17" s="14"/>
      <c r="P17" s="14"/>
      <c r="Q17" s="1"/>
      <c r="R17" s="1"/>
    </row>
    <row r="18" spans="1:18" x14ac:dyDescent="0.35">
      <c r="A18" s="2"/>
      <c r="B18" s="8">
        <v>35348</v>
      </c>
      <c r="C18" s="3" t="s">
        <v>235</v>
      </c>
      <c r="D18" s="3" t="s">
        <v>61</v>
      </c>
      <c r="E18" s="139">
        <v>0</v>
      </c>
      <c r="F18" s="24">
        <v>0</v>
      </c>
      <c r="G18" s="17">
        <v>127</v>
      </c>
      <c r="H18" s="18">
        <v>0</v>
      </c>
      <c r="I18" s="7">
        <f t="shared" si="0"/>
        <v>127</v>
      </c>
      <c r="J18" s="7">
        <f t="shared" si="1"/>
        <v>254</v>
      </c>
      <c r="K18" s="33">
        <v>45772</v>
      </c>
      <c r="L18" s="21">
        <v>2</v>
      </c>
      <c r="M18" s="1"/>
      <c r="N18" s="1"/>
      <c r="O18" s="14"/>
      <c r="P18" s="14"/>
      <c r="Q18" s="1"/>
      <c r="R18" s="1"/>
    </row>
    <row r="19" spans="1:18" x14ac:dyDescent="0.35">
      <c r="A19" s="2"/>
      <c r="B19" s="8">
        <v>30688</v>
      </c>
      <c r="C19" s="3" t="s">
        <v>235</v>
      </c>
      <c r="D19" s="3" t="s">
        <v>236</v>
      </c>
      <c r="E19" s="139">
        <v>0</v>
      </c>
      <c r="F19" s="24">
        <v>0</v>
      </c>
      <c r="G19" s="17">
        <v>6</v>
      </c>
      <c r="H19" s="18">
        <v>0</v>
      </c>
      <c r="I19" s="7">
        <f t="shared" si="0"/>
        <v>6</v>
      </c>
      <c r="J19" s="7">
        <f t="shared" si="1"/>
        <v>30</v>
      </c>
      <c r="K19" s="20">
        <v>45498</v>
      </c>
      <c r="L19" s="21">
        <v>5</v>
      </c>
      <c r="M19" s="1"/>
      <c r="N19" s="1"/>
      <c r="O19" s="14"/>
      <c r="P19" s="14"/>
      <c r="Q19" s="1"/>
      <c r="R19" s="1"/>
    </row>
    <row r="20" spans="1:18" x14ac:dyDescent="0.35">
      <c r="A20" s="2"/>
      <c r="B20" s="8">
        <v>30688</v>
      </c>
      <c r="C20" s="3" t="s">
        <v>235</v>
      </c>
      <c r="D20" s="3" t="s">
        <v>236</v>
      </c>
      <c r="E20" s="139">
        <v>0</v>
      </c>
      <c r="F20" s="24">
        <v>404</v>
      </c>
      <c r="G20" s="17">
        <v>7</v>
      </c>
      <c r="H20" s="18"/>
      <c r="I20" s="7">
        <f t="shared" si="0"/>
        <v>411</v>
      </c>
      <c r="J20" s="7">
        <f t="shared" si="1"/>
        <v>2055</v>
      </c>
      <c r="K20" s="20" t="s">
        <v>237</v>
      </c>
      <c r="L20" s="21">
        <v>5</v>
      </c>
      <c r="M20" s="1"/>
      <c r="N20" s="1"/>
      <c r="O20" s="14"/>
      <c r="P20" s="14"/>
      <c r="Q20" s="1"/>
      <c r="R20" s="1"/>
    </row>
    <row r="21" spans="1:18" x14ac:dyDescent="0.35">
      <c r="A21" s="2"/>
      <c r="B21" s="15">
        <v>30689</v>
      </c>
      <c r="C21" s="3" t="s">
        <v>235</v>
      </c>
      <c r="D21" s="3" t="s">
        <v>236</v>
      </c>
      <c r="E21" s="139">
        <v>0</v>
      </c>
      <c r="F21" s="24"/>
      <c r="G21" s="17">
        <v>0</v>
      </c>
      <c r="H21" s="18"/>
      <c r="I21" s="7">
        <f t="shared" si="0"/>
        <v>0</v>
      </c>
      <c r="J21" s="7">
        <f t="shared" si="1"/>
        <v>0</v>
      </c>
      <c r="K21" s="20">
        <v>45802</v>
      </c>
      <c r="L21" s="21">
        <v>5</v>
      </c>
      <c r="M21" s="1"/>
      <c r="N21" s="1"/>
      <c r="O21" s="14"/>
      <c r="P21" s="14"/>
      <c r="Q21" s="1"/>
      <c r="R21" s="1"/>
    </row>
    <row r="22" spans="1:18" x14ac:dyDescent="0.35">
      <c r="A22" s="2"/>
      <c r="B22" s="412">
        <v>30689</v>
      </c>
      <c r="C22" s="64" t="s">
        <v>235</v>
      </c>
      <c r="D22" s="3" t="s">
        <v>231</v>
      </c>
      <c r="E22" s="139">
        <v>0</v>
      </c>
      <c r="F22" s="24">
        <v>73</v>
      </c>
      <c r="G22" s="17"/>
      <c r="H22" s="18"/>
      <c r="I22" s="7"/>
      <c r="J22" s="7"/>
      <c r="K22" s="20" t="s">
        <v>238</v>
      </c>
      <c r="L22" s="21"/>
      <c r="M22" s="1"/>
      <c r="N22" s="1"/>
      <c r="O22" s="14"/>
      <c r="P22" s="14"/>
      <c r="Q22" s="1"/>
      <c r="R22" s="1"/>
    </row>
    <row r="23" spans="1:18" x14ac:dyDescent="0.35">
      <c r="A23" s="2"/>
      <c r="B23" s="412"/>
      <c r="C23" s="64" t="s">
        <v>235</v>
      </c>
      <c r="D23" s="3" t="s">
        <v>231</v>
      </c>
      <c r="E23" s="139">
        <v>0</v>
      </c>
      <c r="F23" s="24">
        <v>910</v>
      </c>
      <c r="G23" s="17"/>
      <c r="H23" s="18"/>
      <c r="I23" s="7"/>
      <c r="J23" s="7"/>
      <c r="K23" s="20" t="s">
        <v>68</v>
      </c>
      <c r="L23" s="21"/>
      <c r="M23" s="1"/>
      <c r="N23" s="1"/>
      <c r="O23" s="14"/>
      <c r="P23" s="14"/>
      <c r="Q23" s="1"/>
      <c r="R23" s="1"/>
    </row>
    <row r="24" spans="1:18" x14ac:dyDescent="0.35">
      <c r="A24" s="2"/>
      <c r="B24" s="152">
        <v>67637</v>
      </c>
      <c r="C24" s="3" t="s">
        <v>239</v>
      </c>
      <c r="D24" s="3" t="s">
        <v>240</v>
      </c>
      <c r="E24" s="139">
        <v>0</v>
      </c>
      <c r="F24" s="24"/>
      <c r="G24" s="17">
        <v>5</v>
      </c>
      <c r="H24" s="18"/>
      <c r="I24" s="7">
        <f t="shared" si="0"/>
        <v>5</v>
      </c>
      <c r="J24" s="7"/>
      <c r="K24" s="20">
        <v>45622</v>
      </c>
      <c r="L24" s="21"/>
      <c r="M24" s="1"/>
      <c r="N24" s="1"/>
      <c r="O24" s="14"/>
      <c r="P24" s="14"/>
      <c r="Q24" s="1"/>
      <c r="R24" s="1"/>
    </row>
    <row r="25" spans="1:18" x14ac:dyDescent="0.35">
      <c r="A25" s="2"/>
      <c r="B25" s="39">
        <v>67637</v>
      </c>
      <c r="C25" s="3" t="s">
        <v>239</v>
      </c>
      <c r="D25" s="3" t="s">
        <v>240</v>
      </c>
      <c r="E25" s="139">
        <v>0</v>
      </c>
      <c r="F25" s="24"/>
      <c r="G25" s="17">
        <v>2</v>
      </c>
      <c r="H25" s="18"/>
      <c r="I25" s="7">
        <f t="shared" si="0"/>
        <v>2</v>
      </c>
      <c r="J25" s="7"/>
      <c r="K25" s="20">
        <v>45957</v>
      </c>
      <c r="L25" s="21"/>
      <c r="M25" s="1"/>
      <c r="N25" s="1"/>
      <c r="O25" s="14"/>
      <c r="P25" s="14"/>
      <c r="Q25" s="1"/>
      <c r="R25" s="1"/>
    </row>
    <row r="26" spans="1:18" x14ac:dyDescent="0.35">
      <c r="A26" s="2"/>
      <c r="B26" s="8">
        <v>59997</v>
      </c>
      <c r="C26" s="3" t="s">
        <v>241</v>
      </c>
      <c r="D26" s="3" t="s">
        <v>49</v>
      </c>
      <c r="E26" s="139">
        <v>0</v>
      </c>
      <c r="F26" s="24">
        <v>115</v>
      </c>
      <c r="G26" s="17"/>
      <c r="H26" s="18"/>
      <c r="I26" s="7">
        <f t="shared" si="0"/>
        <v>115</v>
      </c>
      <c r="J26" s="7">
        <f t="shared" si="1"/>
        <v>230</v>
      </c>
      <c r="K26" s="20" t="s">
        <v>223</v>
      </c>
      <c r="L26" s="21">
        <v>2</v>
      </c>
      <c r="M26" s="1"/>
      <c r="N26" s="1"/>
      <c r="O26" s="14"/>
      <c r="P26" s="14"/>
      <c r="Q26" s="1"/>
      <c r="R26" s="1"/>
    </row>
    <row r="27" spans="1:18" x14ac:dyDescent="0.35">
      <c r="A27" s="2"/>
      <c r="B27" s="8">
        <v>56655</v>
      </c>
      <c r="C27" s="3" t="s">
        <v>88</v>
      </c>
      <c r="D27" s="3" t="s">
        <v>242</v>
      </c>
      <c r="E27" s="139">
        <v>0</v>
      </c>
      <c r="F27" s="153">
        <v>0</v>
      </c>
      <c r="G27" s="17"/>
      <c r="H27" s="18"/>
      <c r="I27" s="7">
        <f t="shared" si="0"/>
        <v>0</v>
      </c>
      <c r="J27" s="7">
        <f t="shared" si="1"/>
        <v>0</v>
      </c>
      <c r="K27" s="20" t="s">
        <v>243</v>
      </c>
      <c r="L27" s="21">
        <v>10</v>
      </c>
      <c r="M27" s="1"/>
      <c r="N27" s="1"/>
      <c r="O27" s="14"/>
      <c r="P27" s="14"/>
      <c r="Q27" s="1"/>
      <c r="R27" s="1"/>
    </row>
    <row r="28" spans="1:18" x14ac:dyDescent="0.35">
      <c r="A28" s="2"/>
      <c r="B28" s="8">
        <v>56655</v>
      </c>
      <c r="C28" s="3" t="s">
        <v>88</v>
      </c>
      <c r="D28" s="3" t="s">
        <v>242</v>
      </c>
      <c r="E28" s="139">
        <v>0</v>
      </c>
      <c r="F28" s="154"/>
      <c r="G28" s="17">
        <v>760</v>
      </c>
      <c r="H28" s="18"/>
      <c r="I28" s="7">
        <f t="shared" si="0"/>
        <v>760</v>
      </c>
      <c r="J28" s="7">
        <f t="shared" si="1"/>
        <v>0</v>
      </c>
      <c r="K28" s="20" t="s">
        <v>230</v>
      </c>
      <c r="L28" s="21"/>
      <c r="M28" s="1"/>
      <c r="N28" s="1"/>
      <c r="O28" s="14"/>
      <c r="P28" s="14"/>
      <c r="Q28" s="1"/>
      <c r="R28" s="1"/>
    </row>
    <row r="29" spans="1:18" x14ac:dyDescent="0.35">
      <c r="A29" s="2"/>
      <c r="B29" s="8">
        <v>56655</v>
      </c>
      <c r="C29" s="3" t="s">
        <v>88</v>
      </c>
      <c r="D29" s="3" t="s">
        <v>242</v>
      </c>
      <c r="E29" s="139">
        <v>0</v>
      </c>
      <c r="F29" s="154"/>
      <c r="G29" s="17">
        <v>609</v>
      </c>
      <c r="H29" s="18"/>
      <c r="I29" s="7">
        <f t="shared" si="0"/>
        <v>609</v>
      </c>
      <c r="J29" s="7">
        <f t="shared" si="1"/>
        <v>0</v>
      </c>
      <c r="K29" s="20" t="s">
        <v>229</v>
      </c>
      <c r="L29" s="21"/>
      <c r="M29" s="1"/>
      <c r="N29" s="1"/>
      <c r="O29" s="14"/>
      <c r="P29" s="14"/>
      <c r="Q29" s="1"/>
      <c r="R29" s="1"/>
    </row>
    <row r="30" spans="1:18" x14ac:dyDescent="0.35">
      <c r="A30" s="2"/>
      <c r="B30" s="8">
        <v>35440</v>
      </c>
      <c r="C30" s="3" t="s">
        <v>88</v>
      </c>
      <c r="D30" s="3" t="s">
        <v>244</v>
      </c>
      <c r="E30" s="139">
        <v>0</v>
      </c>
      <c r="F30" s="154"/>
      <c r="G30" s="17">
        <v>1091</v>
      </c>
      <c r="H30" s="18"/>
      <c r="I30" s="7">
        <f t="shared" si="0"/>
        <v>1091</v>
      </c>
      <c r="J30" s="7">
        <f t="shared" si="1"/>
        <v>0</v>
      </c>
      <c r="K30" s="20" t="s">
        <v>245</v>
      </c>
      <c r="L30" s="21"/>
      <c r="M30" s="1"/>
      <c r="N30" s="1"/>
      <c r="O30" s="14"/>
      <c r="P30" s="14"/>
      <c r="Q30" s="1"/>
      <c r="R30" s="1"/>
    </row>
    <row r="31" spans="1:18" x14ac:dyDescent="0.35">
      <c r="A31" s="2"/>
      <c r="B31" s="8">
        <v>35440</v>
      </c>
      <c r="C31" s="3" t="s">
        <v>88</v>
      </c>
      <c r="D31" s="3" t="s">
        <v>244</v>
      </c>
      <c r="E31" s="139">
        <v>0</v>
      </c>
      <c r="F31" s="154"/>
      <c r="G31" s="17">
        <v>780</v>
      </c>
      <c r="H31" s="18"/>
      <c r="I31" s="7">
        <f t="shared" si="0"/>
        <v>780</v>
      </c>
      <c r="J31" s="7"/>
      <c r="K31" s="20" t="s">
        <v>229</v>
      </c>
      <c r="L31" s="21"/>
      <c r="M31" s="1"/>
      <c r="N31" s="1"/>
      <c r="O31" s="14"/>
      <c r="P31" s="14"/>
      <c r="Q31" s="1"/>
      <c r="R31" s="1"/>
    </row>
    <row r="32" spans="1:18" x14ac:dyDescent="0.35">
      <c r="A32" s="2"/>
      <c r="B32" s="8">
        <v>72597</v>
      </c>
      <c r="C32" s="3" t="s">
        <v>66</v>
      </c>
      <c r="D32" s="3" t="s">
        <v>67</v>
      </c>
      <c r="E32" s="139">
        <v>0</v>
      </c>
      <c r="F32" s="23">
        <v>0</v>
      </c>
      <c r="G32" s="17">
        <v>260</v>
      </c>
      <c r="H32" s="18"/>
      <c r="I32" s="7">
        <f t="shared" si="0"/>
        <v>260</v>
      </c>
      <c r="J32" s="7">
        <f t="shared" si="1"/>
        <v>156</v>
      </c>
      <c r="K32" s="20" t="s">
        <v>229</v>
      </c>
      <c r="L32" s="21">
        <v>0.6</v>
      </c>
      <c r="M32" s="1"/>
      <c r="N32" s="1"/>
      <c r="O32" s="14"/>
      <c r="P32" s="14"/>
      <c r="Q32" s="1"/>
      <c r="R32" s="1"/>
    </row>
    <row r="33" spans="1:18" x14ac:dyDescent="0.35">
      <c r="A33" s="2"/>
      <c r="B33" s="8">
        <v>72597</v>
      </c>
      <c r="C33" s="3" t="s">
        <v>66</v>
      </c>
      <c r="D33" s="3" t="s">
        <v>67</v>
      </c>
      <c r="E33" s="139">
        <v>0</v>
      </c>
      <c r="F33" s="23">
        <v>0</v>
      </c>
      <c r="G33" s="17">
        <v>152</v>
      </c>
      <c r="H33" s="18"/>
      <c r="I33" s="7">
        <f t="shared" si="0"/>
        <v>152</v>
      </c>
      <c r="J33" s="7"/>
      <c r="K33" s="20" t="s">
        <v>223</v>
      </c>
      <c r="L33" s="21"/>
      <c r="M33" s="1"/>
      <c r="N33" s="1"/>
      <c r="O33" s="14"/>
      <c r="P33" s="14"/>
      <c r="Q33" s="1"/>
      <c r="R33" s="1"/>
    </row>
    <row r="34" spans="1:18" x14ac:dyDescent="0.35">
      <c r="A34" s="2"/>
      <c r="B34" s="8">
        <v>72598</v>
      </c>
      <c r="C34" s="3" t="s">
        <v>246</v>
      </c>
      <c r="D34" s="3" t="s">
        <v>247</v>
      </c>
      <c r="E34" s="139">
        <v>0</v>
      </c>
      <c r="F34" s="23"/>
      <c r="G34" s="17">
        <v>1200</v>
      </c>
      <c r="H34" s="18"/>
      <c r="I34" s="7">
        <f t="shared" si="0"/>
        <v>1200</v>
      </c>
      <c r="J34" s="7">
        <f t="shared" si="1"/>
        <v>480</v>
      </c>
      <c r="K34" s="20" t="s">
        <v>229</v>
      </c>
      <c r="L34" s="21">
        <v>0.4</v>
      </c>
      <c r="M34" s="1"/>
      <c r="N34" s="1"/>
      <c r="O34" s="14"/>
      <c r="P34" s="14"/>
      <c r="Q34" s="1"/>
      <c r="R34" s="1"/>
    </row>
    <row r="35" spans="1:18" x14ac:dyDescent="0.35">
      <c r="A35" s="2"/>
      <c r="B35" s="8">
        <v>72598</v>
      </c>
      <c r="C35" s="3" t="s">
        <v>246</v>
      </c>
      <c r="D35" s="3" t="s">
        <v>247</v>
      </c>
      <c r="E35" s="139">
        <v>0</v>
      </c>
      <c r="F35" s="23"/>
      <c r="G35" s="17"/>
      <c r="H35" s="18"/>
      <c r="I35" s="7">
        <f t="shared" si="0"/>
        <v>0</v>
      </c>
      <c r="J35" s="7"/>
      <c r="K35" s="31" t="s">
        <v>223</v>
      </c>
      <c r="L35" s="42"/>
      <c r="M35" s="1"/>
      <c r="N35" s="1"/>
      <c r="O35" s="14"/>
      <c r="P35" s="14"/>
      <c r="Q35" s="1"/>
      <c r="R35" s="1"/>
    </row>
    <row r="36" spans="1:18" x14ac:dyDescent="0.35">
      <c r="A36" s="2"/>
      <c r="B36" s="8">
        <v>55458</v>
      </c>
      <c r="C36" s="28" t="s">
        <v>34</v>
      </c>
      <c r="D36" s="3" t="s">
        <v>248</v>
      </c>
      <c r="E36" s="139">
        <v>0</v>
      </c>
      <c r="F36" s="23"/>
      <c r="G36" s="17">
        <v>0</v>
      </c>
      <c r="H36" s="18">
        <v>0</v>
      </c>
      <c r="I36" s="7">
        <f t="shared" si="0"/>
        <v>0</v>
      </c>
      <c r="J36" s="7">
        <f t="shared" si="1"/>
        <v>0</v>
      </c>
      <c r="K36" s="31" t="s">
        <v>249</v>
      </c>
      <c r="L36" s="56">
        <v>1</v>
      </c>
      <c r="M36" s="1"/>
      <c r="N36" s="1"/>
      <c r="O36" s="14"/>
      <c r="P36" s="14"/>
      <c r="Q36" s="1"/>
      <c r="R36" s="1"/>
    </row>
    <row r="37" spans="1:18" x14ac:dyDescent="0.35">
      <c r="A37" s="2"/>
      <c r="B37" s="8">
        <v>55458</v>
      </c>
      <c r="C37" s="28" t="s">
        <v>34</v>
      </c>
      <c r="D37" s="3" t="s">
        <v>248</v>
      </c>
      <c r="E37" s="139">
        <v>0</v>
      </c>
      <c r="F37" s="23"/>
      <c r="G37" s="17">
        <v>35</v>
      </c>
      <c r="H37" s="18"/>
      <c r="I37" s="7">
        <f t="shared" si="0"/>
        <v>35</v>
      </c>
      <c r="J37" s="7"/>
      <c r="K37" s="31" t="s">
        <v>224</v>
      </c>
      <c r="L37" s="29"/>
      <c r="M37" s="1"/>
      <c r="N37" s="1"/>
      <c r="O37" s="14"/>
      <c r="P37" s="14"/>
      <c r="Q37" s="1"/>
      <c r="R37" s="1"/>
    </row>
    <row r="38" spans="1:18" x14ac:dyDescent="0.35">
      <c r="A38" s="2"/>
      <c r="B38" s="8">
        <v>55458</v>
      </c>
      <c r="C38" s="28" t="s">
        <v>34</v>
      </c>
      <c r="D38" s="3" t="s">
        <v>248</v>
      </c>
      <c r="E38" s="139">
        <v>0</v>
      </c>
      <c r="F38" s="23"/>
      <c r="G38" s="17"/>
      <c r="H38" s="18"/>
      <c r="I38" s="7">
        <f t="shared" si="0"/>
        <v>0</v>
      </c>
      <c r="J38" s="7"/>
      <c r="K38" s="31" t="s">
        <v>224</v>
      </c>
      <c r="L38" s="42"/>
      <c r="M38" s="1"/>
      <c r="N38" s="1"/>
      <c r="O38" s="14"/>
      <c r="P38" s="14"/>
      <c r="Q38" s="1"/>
      <c r="R38" s="1"/>
    </row>
    <row r="39" spans="1:18" x14ac:dyDescent="0.35">
      <c r="A39" s="2"/>
      <c r="B39" s="8">
        <v>46420</v>
      </c>
      <c r="C39" s="28" t="s">
        <v>34</v>
      </c>
      <c r="D39" s="3" t="s">
        <v>49</v>
      </c>
      <c r="E39" s="139">
        <v>0</v>
      </c>
      <c r="F39" s="23"/>
      <c r="G39" s="17">
        <v>20</v>
      </c>
      <c r="H39" s="18"/>
      <c r="I39" s="7">
        <f t="shared" si="0"/>
        <v>20</v>
      </c>
      <c r="J39" s="7"/>
      <c r="K39" s="31" t="s">
        <v>224</v>
      </c>
      <c r="L39" s="42"/>
      <c r="M39" s="1"/>
      <c r="N39" s="1"/>
      <c r="O39" s="14"/>
      <c r="P39" s="14"/>
      <c r="Q39" s="1"/>
      <c r="R39" s="1"/>
    </row>
    <row r="40" spans="1:18" x14ac:dyDescent="0.35">
      <c r="A40" s="2"/>
      <c r="B40" s="8">
        <v>46420</v>
      </c>
      <c r="C40" s="28" t="s">
        <v>34</v>
      </c>
      <c r="D40" s="3" t="s">
        <v>49</v>
      </c>
      <c r="E40" s="139">
        <v>0</v>
      </c>
      <c r="F40" s="23"/>
      <c r="G40" s="17">
        <v>3</v>
      </c>
      <c r="H40" s="18"/>
      <c r="I40" s="7">
        <f t="shared" si="0"/>
        <v>3</v>
      </c>
      <c r="J40" s="7"/>
      <c r="K40" s="31">
        <v>45772</v>
      </c>
      <c r="L40" s="42"/>
      <c r="M40" s="1"/>
      <c r="N40" s="1"/>
      <c r="O40" s="14"/>
      <c r="P40" s="14"/>
      <c r="Q40" s="1"/>
      <c r="R40" s="1"/>
    </row>
    <row r="41" spans="1:18" x14ac:dyDescent="0.35">
      <c r="A41" s="2"/>
      <c r="B41" s="27">
        <v>71016</v>
      </c>
      <c r="C41" s="28" t="s">
        <v>250</v>
      </c>
      <c r="D41" s="3" t="s">
        <v>251</v>
      </c>
      <c r="E41" s="139">
        <v>0</v>
      </c>
      <c r="F41" s="23">
        <v>0</v>
      </c>
      <c r="G41" s="17">
        <v>10</v>
      </c>
      <c r="H41" s="18"/>
      <c r="I41" s="7">
        <f t="shared" si="0"/>
        <v>10</v>
      </c>
      <c r="J41" s="7">
        <f t="shared" si="1"/>
        <v>30</v>
      </c>
      <c r="K41" s="31" t="s">
        <v>229</v>
      </c>
      <c r="L41" s="56">
        <v>3</v>
      </c>
      <c r="M41" s="1"/>
      <c r="N41" s="1"/>
      <c r="O41" s="14"/>
      <c r="P41" s="14"/>
      <c r="Q41" s="1"/>
      <c r="R41" s="1"/>
    </row>
    <row r="42" spans="1:18" x14ac:dyDescent="0.35">
      <c r="A42" s="2"/>
      <c r="B42" s="27">
        <v>70887</v>
      </c>
      <c r="C42" s="3" t="s">
        <v>71</v>
      </c>
      <c r="D42" s="3" t="s">
        <v>72</v>
      </c>
      <c r="E42" s="139">
        <v>0</v>
      </c>
      <c r="F42" s="23">
        <v>1726</v>
      </c>
      <c r="G42" s="17"/>
      <c r="H42" s="18">
        <v>0</v>
      </c>
      <c r="I42" s="7">
        <f t="shared" si="0"/>
        <v>1726</v>
      </c>
      <c r="J42" s="7">
        <f t="shared" si="1"/>
        <v>690.40000000000009</v>
      </c>
      <c r="K42" s="31" t="s">
        <v>73</v>
      </c>
      <c r="L42" s="29">
        <v>0.4</v>
      </c>
      <c r="M42" s="1"/>
      <c r="N42" s="1"/>
      <c r="O42" s="14"/>
      <c r="P42" s="14"/>
      <c r="Q42" s="1"/>
      <c r="R42" s="1"/>
    </row>
    <row r="43" spans="1:18" x14ac:dyDescent="0.35">
      <c r="A43" s="2"/>
      <c r="B43" s="27">
        <v>70887</v>
      </c>
      <c r="C43" s="3" t="s">
        <v>71</v>
      </c>
      <c r="D43" s="3" t="s">
        <v>72</v>
      </c>
      <c r="E43" s="139">
        <v>0</v>
      </c>
      <c r="F43" s="23">
        <v>0</v>
      </c>
      <c r="G43" s="17">
        <v>0</v>
      </c>
      <c r="H43" s="18"/>
      <c r="I43" s="7">
        <f t="shared" si="0"/>
        <v>0</v>
      </c>
      <c r="J43" s="7">
        <f t="shared" si="1"/>
        <v>0</v>
      </c>
      <c r="K43" s="31" t="s">
        <v>238</v>
      </c>
      <c r="L43" s="29">
        <v>0.4</v>
      </c>
      <c r="M43" s="1"/>
      <c r="N43" s="1"/>
      <c r="O43" s="14"/>
      <c r="P43" s="14"/>
      <c r="Q43" s="1"/>
      <c r="R43" s="1"/>
    </row>
    <row r="44" spans="1:18" x14ac:dyDescent="0.35">
      <c r="A44" s="2"/>
      <c r="B44" s="27">
        <v>70897</v>
      </c>
      <c r="C44" s="3" t="s">
        <v>71</v>
      </c>
      <c r="D44" s="3" t="s">
        <v>252</v>
      </c>
      <c r="E44" s="139">
        <v>0</v>
      </c>
      <c r="F44" s="23">
        <v>0</v>
      </c>
      <c r="G44" s="17">
        <v>0</v>
      </c>
      <c r="H44" s="18"/>
      <c r="I44" s="7">
        <f t="shared" si="0"/>
        <v>0</v>
      </c>
      <c r="J44" s="7">
        <f t="shared" si="1"/>
        <v>0</v>
      </c>
      <c r="K44" s="31" t="s">
        <v>73</v>
      </c>
      <c r="L44" s="29">
        <v>0.6</v>
      </c>
      <c r="M44" s="1"/>
      <c r="N44" s="1"/>
      <c r="O44" s="14"/>
      <c r="P44" s="14"/>
      <c r="Q44" s="1"/>
      <c r="R44" s="1"/>
    </row>
    <row r="45" spans="1:18" x14ac:dyDescent="0.35">
      <c r="A45" s="2"/>
      <c r="B45" s="8">
        <v>55296</v>
      </c>
      <c r="C45" s="3" t="s">
        <v>23</v>
      </c>
      <c r="D45" s="3" t="s">
        <v>253</v>
      </c>
      <c r="E45" s="139">
        <v>0</v>
      </c>
      <c r="F45" s="36"/>
      <c r="G45" s="37"/>
      <c r="H45" s="38"/>
      <c r="I45" s="7">
        <f t="shared" si="0"/>
        <v>0</v>
      </c>
      <c r="J45" s="7">
        <f t="shared" si="1"/>
        <v>0</v>
      </c>
      <c r="K45" s="31" t="s">
        <v>254</v>
      </c>
      <c r="L45" s="42">
        <v>10</v>
      </c>
      <c r="M45" s="1"/>
      <c r="N45" s="1"/>
      <c r="O45" s="14"/>
      <c r="P45" s="14"/>
      <c r="Q45" s="1"/>
      <c r="R45" s="1"/>
    </row>
    <row r="46" spans="1:18" x14ac:dyDescent="0.35">
      <c r="A46" s="2"/>
      <c r="B46" s="61">
        <v>63731</v>
      </c>
      <c r="C46" s="3" t="s">
        <v>23</v>
      </c>
      <c r="D46" s="3" t="s">
        <v>255</v>
      </c>
      <c r="E46" s="139">
        <v>0</v>
      </c>
      <c r="F46" s="36">
        <v>767</v>
      </c>
      <c r="G46" s="37"/>
      <c r="H46" s="38"/>
      <c r="I46" s="7">
        <f t="shared" si="0"/>
        <v>767</v>
      </c>
      <c r="J46" s="7"/>
      <c r="K46" s="31" t="s">
        <v>254</v>
      </c>
      <c r="L46" s="35"/>
      <c r="M46" s="1"/>
      <c r="N46" s="1"/>
      <c r="O46" s="14"/>
      <c r="P46" s="14"/>
      <c r="Q46" s="1"/>
      <c r="R46" s="1"/>
    </row>
    <row r="47" spans="1:18" x14ac:dyDescent="0.35">
      <c r="A47" s="2"/>
      <c r="B47" s="8">
        <v>63728</v>
      </c>
      <c r="C47" s="3" t="s">
        <v>81</v>
      </c>
      <c r="D47" s="3" t="s">
        <v>256</v>
      </c>
      <c r="E47" s="139">
        <v>0</v>
      </c>
      <c r="F47" s="36"/>
      <c r="G47" s="37">
        <v>101</v>
      </c>
      <c r="H47" s="38"/>
      <c r="I47" s="7">
        <f t="shared" si="0"/>
        <v>101</v>
      </c>
      <c r="J47" s="7">
        <f t="shared" si="1"/>
        <v>303</v>
      </c>
      <c r="K47" s="31" t="s">
        <v>229</v>
      </c>
      <c r="L47" s="35">
        <v>3</v>
      </c>
      <c r="M47" s="1"/>
      <c r="N47" s="1"/>
      <c r="O47" s="14"/>
      <c r="P47" s="14"/>
      <c r="Q47" s="1"/>
      <c r="R47" s="1"/>
    </row>
    <row r="48" spans="1:18" x14ac:dyDescent="0.35">
      <c r="A48" s="2"/>
      <c r="B48" s="8">
        <v>63728</v>
      </c>
      <c r="C48" s="3" t="s">
        <v>81</v>
      </c>
      <c r="D48" s="3" t="s">
        <v>256</v>
      </c>
      <c r="E48" s="139">
        <v>0</v>
      </c>
      <c r="F48" s="36"/>
      <c r="G48" s="37">
        <v>48</v>
      </c>
      <c r="H48" s="38"/>
      <c r="I48" s="7">
        <f t="shared" si="0"/>
        <v>48</v>
      </c>
      <c r="J48" s="7"/>
      <c r="K48" s="31" t="s">
        <v>230</v>
      </c>
      <c r="L48" s="35"/>
      <c r="M48" s="1"/>
      <c r="N48" s="1"/>
      <c r="O48" s="14"/>
      <c r="P48" s="14"/>
      <c r="Q48" s="1"/>
      <c r="R48" s="1"/>
    </row>
    <row r="49" spans="1:18" x14ac:dyDescent="0.35">
      <c r="A49" s="2"/>
      <c r="B49" s="8">
        <v>63728</v>
      </c>
      <c r="C49" s="3" t="s">
        <v>81</v>
      </c>
      <c r="D49" s="3" t="s">
        <v>256</v>
      </c>
      <c r="E49" s="139">
        <v>0</v>
      </c>
      <c r="F49" s="36"/>
      <c r="G49" s="37">
        <v>49</v>
      </c>
      <c r="H49" s="38"/>
      <c r="I49" s="7">
        <f t="shared" si="0"/>
        <v>49</v>
      </c>
      <c r="J49" s="7"/>
      <c r="K49" s="31" t="s">
        <v>73</v>
      </c>
      <c r="L49" s="35"/>
      <c r="M49" s="1"/>
      <c r="N49" s="1"/>
      <c r="O49" s="14"/>
      <c r="P49" s="14"/>
      <c r="Q49" s="1"/>
      <c r="R49" s="1"/>
    </row>
    <row r="50" spans="1:18" x14ac:dyDescent="0.35">
      <c r="A50" s="2"/>
      <c r="B50" s="8">
        <v>63728</v>
      </c>
      <c r="C50" s="3" t="s">
        <v>81</v>
      </c>
      <c r="D50" s="3" t="s">
        <v>256</v>
      </c>
      <c r="E50" s="139">
        <v>0</v>
      </c>
      <c r="F50" s="36"/>
      <c r="G50" s="37">
        <v>18</v>
      </c>
      <c r="H50" s="38"/>
      <c r="I50" s="7">
        <f t="shared" si="0"/>
        <v>18</v>
      </c>
      <c r="J50" s="7"/>
      <c r="K50" s="31" t="s">
        <v>257</v>
      </c>
      <c r="L50" s="35"/>
      <c r="M50" s="1"/>
      <c r="N50" s="1"/>
      <c r="O50" s="14"/>
      <c r="P50" s="14"/>
      <c r="Q50" s="1"/>
      <c r="R50" s="1"/>
    </row>
    <row r="51" spans="1:18" x14ac:dyDescent="0.35">
      <c r="A51" s="2"/>
      <c r="B51" s="8">
        <v>63728</v>
      </c>
      <c r="C51" s="3" t="s">
        <v>81</v>
      </c>
      <c r="D51" s="3" t="s">
        <v>256</v>
      </c>
      <c r="E51" s="139">
        <v>0</v>
      </c>
      <c r="F51" s="36"/>
      <c r="G51" s="37">
        <v>63</v>
      </c>
      <c r="H51" s="38"/>
      <c r="I51" s="7">
        <f t="shared" si="0"/>
        <v>63</v>
      </c>
      <c r="J51" s="7"/>
      <c r="K51" s="31" t="s">
        <v>257</v>
      </c>
      <c r="L51" s="35"/>
      <c r="M51" s="1"/>
      <c r="N51" s="1"/>
      <c r="O51" s="14"/>
      <c r="P51" s="14"/>
      <c r="Q51" s="1"/>
      <c r="R51" s="1"/>
    </row>
    <row r="52" spans="1:18" x14ac:dyDescent="0.35">
      <c r="A52" s="2"/>
      <c r="B52" s="8">
        <v>63730</v>
      </c>
      <c r="C52" s="3" t="s">
        <v>81</v>
      </c>
      <c r="D52" s="3" t="s">
        <v>258</v>
      </c>
      <c r="E52" s="139">
        <v>0</v>
      </c>
      <c r="F52" s="36">
        <v>197</v>
      </c>
      <c r="G52" s="37">
        <v>113</v>
      </c>
      <c r="H52" s="38"/>
      <c r="I52" s="7">
        <f t="shared" si="0"/>
        <v>310</v>
      </c>
      <c r="J52" s="7"/>
      <c r="K52" s="31" t="s">
        <v>230</v>
      </c>
      <c r="L52" s="35"/>
      <c r="M52" s="1"/>
      <c r="N52" s="1"/>
      <c r="O52" s="14"/>
      <c r="P52" s="14"/>
      <c r="Q52" s="1"/>
      <c r="R52" s="1"/>
    </row>
    <row r="53" spans="1:18" x14ac:dyDescent="0.35">
      <c r="A53" s="2"/>
      <c r="B53" s="8">
        <v>63730</v>
      </c>
      <c r="C53" s="3" t="s">
        <v>81</v>
      </c>
      <c r="D53" s="3" t="s">
        <v>258</v>
      </c>
      <c r="E53" s="139">
        <v>0</v>
      </c>
      <c r="F53" s="36">
        <v>712</v>
      </c>
      <c r="G53" s="37">
        <v>68</v>
      </c>
      <c r="H53" s="38"/>
      <c r="I53" s="7">
        <f t="shared" si="0"/>
        <v>780</v>
      </c>
      <c r="J53" s="7"/>
      <c r="K53" s="31" t="s">
        <v>229</v>
      </c>
      <c r="L53" s="35"/>
      <c r="M53" s="1"/>
      <c r="N53" s="1"/>
      <c r="O53" s="14"/>
      <c r="P53" s="14"/>
      <c r="Q53" s="1"/>
      <c r="R53" s="1"/>
    </row>
    <row r="54" spans="1:18" x14ac:dyDescent="0.35">
      <c r="A54" s="2"/>
      <c r="B54" s="8">
        <v>63730</v>
      </c>
      <c r="C54" s="3" t="s">
        <v>81</v>
      </c>
      <c r="D54" s="3" t="s">
        <v>258</v>
      </c>
      <c r="E54" s="139">
        <v>0</v>
      </c>
      <c r="F54" s="36">
        <v>267</v>
      </c>
      <c r="G54" s="37">
        <v>81</v>
      </c>
      <c r="H54" s="38">
        <v>0</v>
      </c>
      <c r="I54" s="7">
        <f t="shared" si="0"/>
        <v>348</v>
      </c>
      <c r="J54" s="7">
        <f t="shared" si="1"/>
        <v>3480</v>
      </c>
      <c r="K54" s="31" t="s">
        <v>68</v>
      </c>
      <c r="L54" s="35">
        <v>10</v>
      </c>
      <c r="M54" s="1"/>
      <c r="N54" s="1"/>
      <c r="O54" s="14"/>
      <c r="P54" s="14"/>
      <c r="Q54" s="1"/>
      <c r="R54" s="1"/>
    </row>
    <row r="55" spans="1:18" x14ac:dyDescent="0.35">
      <c r="A55" s="2"/>
      <c r="B55" s="8">
        <v>69037</v>
      </c>
      <c r="C55" s="3" t="s">
        <v>259</v>
      </c>
      <c r="D55" s="3" t="s">
        <v>251</v>
      </c>
      <c r="E55" s="139">
        <v>0</v>
      </c>
      <c r="F55" s="36"/>
      <c r="G55" s="37">
        <v>0</v>
      </c>
      <c r="H55" s="38"/>
      <c r="I55" s="7">
        <f t="shared" si="0"/>
        <v>0</v>
      </c>
      <c r="J55" s="7">
        <f t="shared" si="1"/>
        <v>0</v>
      </c>
      <c r="K55" s="31" t="s">
        <v>73</v>
      </c>
      <c r="L55" s="35">
        <v>3</v>
      </c>
      <c r="M55" s="1"/>
      <c r="N55" s="1"/>
      <c r="O55" s="14"/>
      <c r="P55" s="14"/>
      <c r="Q55" s="1"/>
      <c r="R55" s="1"/>
    </row>
    <row r="56" spans="1:18" x14ac:dyDescent="0.35">
      <c r="A56" s="2"/>
      <c r="B56" s="8">
        <v>69037</v>
      </c>
      <c r="C56" s="3" t="s">
        <v>259</v>
      </c>
      <c r="D56" s="3" t="s">
        <v>251</v>
      </c>
      <c r="E56" s="139">
        <v>0</v>
      </c>
      <c r="F56" s="44"/>
      <c r="G56" s="45"/>
      <c r="H56" s="46"/>
      <c r="I56" s="7">
        <f t="shared" si="0"/>
        <v>0</v>
      </c>
      <c r="J56" s="7"/>
      <c r="K56" s="31" t="s">
        <v>260</v>
      </c>
      <c r="L56" s="35"/>
      <c r="M56" s="1"/>
      <c r="N56" s="1"/>
      <c r="O56" s="14"/>
      <c r="P56" s="14"/>
      <c r="Q56" s="1"/>
      <c r="R56" s="1"/>
    </row>
    <row r="57" spans="1:18" x14ac:dyDescent="0.35">
      <c r="A57" s="2"/>
      <c r="B57" s="8">
        <v>69037</v>
      </c>
      <c r="C57" s="3" t="s">
        <v>259</v>
      </c>
      <c r="D57" s="3" t="s">
        <v>251</v>
      </c>
      <c r="E57" s="139">
        <v>0</v>
      </c>
      <c r="F57" s="44"/>
      <c r="G57" s="45"/>
      <c r="H57" s="46"/>
      <c r="I57" s="7">
        <f t="shared" si="0"/>
        <v>0</v>
      </c>
      <c r="J57" s="7"/>
      <c r="K57" s="31" t="s">
        <v>261</v>
      </c>
      <c r="L57" s="35"/>
      <c r="M57" s="1"/>
      <c r="N57" s="1"/>
      <c r="O57" s="14"/>
      <c r="P57" s="14"/>
      <c r="Q57" s="1"/>
      <c r="R57" s="1"/>
    </row>
    <row r="58" spans="1:18" x14ac:dyDescent="0.35">
      <c r="A58" s="2"/>
      <c r="B58" s="15">
        <v>59688</v>
      </c>
      <c r="C58" s="16" t="s">
        <v>262</v>
      </c>
      <c r="D58" s="16" t="s">
        <v>72</v>
      </c>
      <c r="E58" s="139">
        <v>0</v>
      </c>
      <c r="F58" s="44">
        <v>0</v>
      </c>
      <c r="G58" s="45"/>
      <c r="H58" s="46"/>
      <c r="I58" s="7">
        <f t="shared" si="0"/>
        <v>0</v>
      </c>
      <c r="J58" s="7">
        <f t="shared" si="1"/>
        <v>0</v>
      </c>
      <c r="K58" s="31" t="s">
        <v>73</v>
      </c>
      <c r="L58" s="35">
        <v>0.4</v>
      </c>
      <c r="M58" s="1"/>
      <c r="N58" s="1"/>
      <c r="O58" s="14"/>
      <c r="P58" s="14"/>
      <c r="Q58" s="1"/>
      <c r="R58" s="1"/>
    </row>
    <row r="59" spans="1:18" x14ac:dyDescent="0.35">
      <c r="A59" s="2"/>
      <c r="B59" s="57">
        <v>72524</v>
      </c>
      <c r="C59" s="53" t="s">
        <v>263</v>
      </c>
      <c r="D59" s="53" t="s">
        <v>231</v>
      </c>
      <c r="E59" s="139">
        <v>0</v>
      </c>
      <c r="F59" s="48">
        <v>12</v>
      </c>
      <c r="G59" s="45"/>
      <c r="H59" s="46"/>
      <c r="I59" s="7">
        <f t="shared" si="0"/>
        <v>12</v>
      </c>
      <c r="J59" s="7"/>
      <c r="K59" s="31">
        <v>45833</v>
      </c>
      <c r="L59" s="35">
        <v>0.4</v>
      </c>
      <c r="M59" s="1"/>
      <c r="N59" s="1"/>
      <c r="O59" s="14"/>
      <c r="P59" s="14"/>
      <c r="Q59" s="1"/>
      <c r="R59" s="1"/>
    </row>
    <row r="60" spans="1:18" x14ac:dyDescent="0.35">
      <c r="A60" s="2"/>
      <c r="B60" s="57">
        <v>72524</v>
      </c>
      <c r="C60" s="53" t="s">
        <v>263</v>
      </c>
      <c r="D60" s="53" t="s">
        <v>231</v>
      </c>
      <c r="E60" s="139">
        <v>0</v>
      </c>
      <c r="F60" s="48"/>
      <c r="G60" s="45"/>
      <c r="H60" s="55"/>
      <c r="I60" s="7">
        <f t="shared" si="0"/>
        <v>0</v>
      </c>
      <c r="J60" s="7"/>
      <c r="K60" s="31">
        <v>45622</v>
      </c>
      <c r="L60" s="35"/>
      <c r="M60" s="1"/>
      <c r="N60" s="1"/>
      <c r="O60" s="14"/>
      <c r="P60" s="14"/>
      <c r="Q60" s="1"/>
      <c r="R60" s="1"/>
    </row>
    <row r="61" spans="1:18" x14ac:dyDescent="0.35">
      <c r="A61" s="2"/>
      <c r="B61" s="155">
        <v>71830</v>
      </c>
      <c r="C61" s="59" t="s">
        <v>263</v>
      </c>
      <c r="D61" s="26" t="s">
        <v>264</v>
      </c>
      <c r="E61" s="139">
        <v>0</v>
      </c>
      <c r="F61" s="48"/>
      <c r="G61" s="45"/>
      <c r="H61" s="55"/>
      <c r="I61" s="7">
        <f t="shared" si="0"/>
        <v>0</v>
      </c>
      <c r="J61" s="7"/>
      <c r="K61" s="31">
        <v>45622</v>
      </c>
      <c r="L61" s="35"/>
      <c r="M61" s="1"/>
      <c r="N61" s="1"/>
      <c r="O61" s="14"/>
      <c r="P61" s="14"/>
      <c r="Q61" s="1"/>
      <c r="R61" s="1"/>
    </row>
    <row r="62" spans="1:18" x14ac:dyDescent="0.35">
      <c r="A62" s="2"/>
      <c r="B62" s="62">
        <v>46652</v>
      </c>
      <c r="C62" s="43" t="s">
        <v>265</v>
      </c>
      <c r="D62" s="54" t="s">
        <v>266</v>
      </c>
      <c r="E62" s="139">
        <v>0</v>
      </c>
      <c r="F62" s="48"/>
      <c r="G62" s="49"/>
      <c r="H62" s="46"/>
      <c r="I62" s="7">
        <f t="shared" si="0"/>
        <v>0</v>
      </c>
      <c r="J62" s="7"/>
      <c r="K62" s="31" t="s">
        <v>260</v>
      </c>
      <c r="L62" s="35"/>
      <c r="M62" s="1"/>
      <c r="N62" s="1"/>
      <c r="O62" s="14"/>
      <c r="P62" s="14"/>
      <c r="Q62" s="1"/>
      <c r="R62" s="1"/>
    </row>
    <row r="63" spans="1:18" x14ac:dyDescent="0.35">
      <c r="A63" s="2"/>
      <c r="B63" s="62">
        <v>46652</v>
      </c>
      <c r="C63" s="43" t="s">
        <v>265</v>
      </c>
      <c r="D63" s="54" t="s">
        <v>266</v>
      </c>
      <c r="E63" s="139">
        <v>0</v>
      </c>
      <c r="F63" s="48"/>
      <c r="G63" s="49"/>
      <c r="H63" s="46"/>
      <c r="I63" s="7">
        <f t="shared" si="0"/>
        <v>0</v>
      </c>
      <c r="J63" s="7"/>
      <c r="K63" s="31" t="s">
        <v>267</v>
      </c>
      <c r="L63" s="35"/>
      <c r="M63" s="1"/>
      <c r="N63" s="1"/>
      <c r="O63" s="14"/>
      <c r="P63" s="14"/>
      <c r="Q63" s="1"/>
      <c r="R63" s="1"/>
    </row>
    <row r="64" spans="1:18" x14ac:dyDescent="0.35">
      <c r="A64" s="2"/>
      <c r="B64" s="62">
        <v>46652</v>
      </c>
      <c r="C64" s="43" t="s">
        <v>265</v>
      </c>
      <c r="D64" s="54" t="s">
        <v>266</v>
      </c>
      <c r="E64" s="139">
        <v>0</v>
      </c>
      <c r="F64" s="48"/>
      <c r="G64" s="49"/>
      <c r="H64" s="46"/>
      <c r="I64" s="7">
        <f t="shared" si="0"/>
        <v>0</v>
      </c>
      <c r="J64" s="7"/>
      <c r="K64" s="31" t="s">
        <v>261</v>
      </c>
      <c r="L64" s="35"/>
      <c r="M64" s="1"/>
      <c r="N64" s="1"/>
      <c r="O64" s="14"/>
      <c r="P64" s="14"/>
      <c r="Q64" s="1"/>
      <c r="R64" s="1"/>
    </row>
    <row r="65" spans="1:18" x14ac:dyDescent="0.35">
      <c r="A65" s="2"/>
      <c r="B65" s="39">
        <v>69667</v>
      </c>
      <c r="C65" s="26" t="s">
        <v>268</v>
      </c>
      <c r="D65" s="54" t="s">
        <v>269</v>
      </c>
      <c r="E65" s="139">
        <v>0</v>
      </c>
      <c r="F65" s="48"/>
      <c r="G65" s="49"/>
      <c r="H65" s="46"/>
      <c r="I65" s="7">
        <f t="shared" si="0"/>
        <v>0</v>
      </c>
      <c r="J65" s="52"/>
      <c r="K65" s="31" t="s">
        <v>260</v>
      </c>
      <c r="L65" s="35"/>
      <c r="M65" s="1"/>
      <c r="N65" s="1"/>
      <c r="O65" s="14"/>
      <c r="P65" s="14"/>
      <c r="Q65" s="1"/>
      <c r="R65" s="1"/>
    </row>
    <row r="66" spans="1:18" x14ac:dyDescent="0.35">
      <c r="A66" s="2"/>
      <c r="B66" s="156">
        <v>69667</v>
      </c>
      <c r="C66" s="58" t="s">
        <v>268</v>
      </c>
      <c r="D66" s="54" t="s">
        <v>269</v>
      </c>
      <c r="E66" s="139">
        <v>0</v>
      </c>
      <c r="F66" s="48"/>
      <c r="G66" s="49"/>
      <c r="H66" s="46"/>
      <c r="I66" s="7">
        <f t="shared" si="0"/>
        <v>0</v>
      </c>
      <c r="J66" s="52"/>
      <c r="K66" s="31" t="s">
        <v>225</v>
      </c>
      <c r="L66" s="35"/>
      <c r="M66" s="1"/>
      <c r="N66" s="1"/>
      <c r="O66" s="14"/>
      <c r="P66" s="14"/>
      <c r="Q66" s="1"/>
      <c r="R66" s="1"/>
    </row>
    <row r="67" spans="1:18" x14ac:dyDescent="0.35">
      <c r="A67" s="2"/>
      <c r="B67" s="157">
        <v>68508</v>
      </c>
      <c r="C67" s="51" t="s">
        <v>270</v>
      </c>
      <c r="D67" s="47" t="s">
        <v>271</v>
      </c>
      <c r="E67" s="158">
        <v>0</v>
      </c>
      <c r="F67" s="48"/>
      <c r="G67" s="49">
        <v>10</v>
      </c>
      <c r="H67" s="46"/>
      <c r="I67" s="7">
        <f t="shared" si="0"/>
        <v>10</v>
      </c>
      <c r="J67" s="52"/>
      <c r="K67" s="31" t="s">
        <v>224</v>
      </c>
      <c r="L67" s="35"/>
      <c r="M67" s="1"/>
      <c r="N67" s="1"/>
      <c r="O67" s="14"/>
      <c r="P67" s="14"/>
      <c r="Q67" s="1"/>
      <c r="R67" s="1"/>
    </row>
    <row r="68" spans="1:18" x14ac:dyDescent="0.35">
      <c r="A68" s="2"/>
      <c r="B68" s="39">
        <v>72523</v>
      </c>
      <c r="C68" s="26" t="s">
        <v>270</v>
      </c>
      <c r="D68" s="3" t="s">
        <v>272</v>
      </c>
      <c r="E68" s="159"/>
      <c r="F68" s="69"/>
      <c r="G68" s="37">
        <v>31</v>
      </c>
      <c r="H68" s="55"/>
      <c r="I68" s="7">
        <f t="shared" si="0"/>
        <v>31</v>
      </c>
      <c r="J68" s="52"/>
      <c r="K68" s="31" t="s">
        <v>73</v>
      </c>
      <c r="L68" s="35"/>
      <c r="M68" s="1"/>
      <c r="N68" s="1"/>
      <c r="O68" s="14"/>
      <c r="P68" s="14"/>
      <c r="Q68" s="1"/>
      <c r="R68" s="1"/>
    </row>
    <row r="69" spans="1:18" x14ac:dyDescent="0.35">
      <c r="A69" s="2"/>
      <c r="B69" s="39">
        <v>72523</v>
      </c>
      <c r="C69" s="26" t="s">
        <v>270</v>
      </c>
      <c r="D69" s="3" t="s">
        <v>272</v>
      </c>
      <c r="E69" s="159"/>
      <c r="F69" s="69"/>
      <c r="G69" s="37">
        <v>6</v>
      </c>
      <c r="H69" s="55"/>
      <c r="I69" s="7">
        <f t="shared" si="0"/>
        <v>6</v>
      </c>
      <c r="J69" s="52"/>
      <c r="K69" s="31">
        <v>45802</v>
      </c>
      <c r="L69" s="35"/>
      <c r="M69" s="1"/>
      <c r="N69" s="1"/>
      <c r="O69" s="14"/>
      <c r="P69" s="14"/>
      <c r="Q69" s="1"/>
      <c r="R69" s="1"/>
    </row>
    <row r="70" spans="1:18" x14ac:dyDescent="0.35">
      <c r="A70" s="2"/>
      <c r="B70" s="152">
        <v>45144</v>
      </c>
      <c r="C70" s="67" t="s">
        <v>273</v>
      </c>
      <c r="D70" s="51" t="s">
        <v>274</v>
      </c>
      <c r="E70" s="160">
        <v>0</v>
      </c>
      <c r="F70" s="68"/>
      <c r="G70" s="65"/>
      <c r="H70" s="55"/>
      <c r="I70" s="7">
        <f t="shared" si="0"/>
        <v>0</v>
      </c>
      <c r="J70" s="52"/>
      <c r="K70" s="31" t="s">
        <v>260</v>
      </c>
      <c r="L70" s="35"/>
      <c r="M70" s="1"/>
      <c r="N70" s="1"/>
      <c r="O70" s="14"/>
      <c r="P70" s="14"/>
      <c r="Q70" s="1"/>
      <c r="R70" s="1"/>
    </row>
    <row r="71" spans="1:18" x14ac:dyDescent="0.35">
      <c r="A71" s="2"/>
      <c r="B71" s="39">
        <v>52537</v>
      </c>
      <c r="C71" s="26" t="s">
        <v>273</v>
      </c>
      <c r="D71" s="54" t="s">
        <v>275</v>
      </c>
      <c r="E71" s="139">
        <v>0</v>
      </c>
      <c r="F71" s="48"/>
      <c r="G71" s="37">
        <v>57</v>
      </c>
      <c r="H71" s="55"/>
      <c r="I71" s="7">
        <f t="shared" si="0"/>
        <v>57</v>
      </c>
      <c r="J71" s="52"/>
      <c r="K71" s="31" t="s">
        <v>254</v>
      </c>
      <c r="L71" s="35"/>
      <c r="M71" s="1"/>
      <c r="N71" s="1"/>
      <c r="O71" s="14"/>
      <c r="P71" s="14"/>
      <c r="Q71" s="1"/>
      <c r="R71" s="1"/>
    </row>
    <row r="72" spans="1:18" x14ac:dyDescent="0.35">
      <c r="A72" s="2"/>
      <c r="B72" s="39">
        <v>52537</v>
      </c>
      <c r="C72" s="26" t="s">
        <v>273</v>
      </c>
      <c r="D72" s="54" t="s">
        <v>275</v>
      </c>
      <c r="E72" s="139">
        <v>0</v>
      </c>
      <c r="F72" s="48"/>
      <c r="G72" s="37">
        <v>113</v>
      </c>
      <c r="H72" s="55"/>
      <c r="I72" s="7">
        <f t="shared" si="0"/>
        <v>113</v>
      </c>
      <c r="J72" s="52"/>
      <c r="K72" s="31">
        <v>45894</v>
      </c>
      <c r="L72" s="35"/>
      <c r="M72" s="1"/>
      <c r="N72" s="1"/>
      <c r="O72" s="14"/>
      <c r="P72" s="14"/>
      <c r="Q72" s="1"/>
      <c r="R72" s="1"/>
    </row>
    <row r="73" spans="1:18" x14ac:dyDescent="0.35">
      <c r="A73" s="2"/>
      <c r="B73" s="39">
        <v>52539</v>
      </c>
      <c r="C73" s="50" t="s">
        <v>273</v>
      </c>
      <c r="D73" s="47" t="s">
        <v>276</v>
      </c>
      <c r="E73" s="139">
        <v>0</v>
      </c>
      <c r="F73" s="48"/>
      <c r="G73" s="37">
        <v>6</v>
      </c>
      <c r="H73" s="55"/>
      <c r="I73" s="7">
        <f t="shared" si="0"/>
        <v>6</v>
      </c>
      <c r="J73" s="52"/>
      <c r="K73" s="31" t="s">
        <v>254</v>
      </c>
      <c r="L73" s="35"/>
      <c r="M73" s="1"/>
      <c r="N73" s="1"/>
      <c r="O73" s="14"/>
      <c r="P73" s="14"/>
      <c r="Q73" s="1"/>
      <c r="R73" s="1"/>
    </row>
    <row r="74" spans="1:18" x14ac:dyDescent="0.35">
      <c r="A74" s="2"/>
      <c r="B74" s="39">
        <v>63731</v>
      </c>
      <c r="C74" s="26" t="s">
        <v>277</v>
      </c>
      <c r="D74" s="26" t="s">
        <v>278</v>
      </c>
      <c r="E74" s="139"/>
      <c r="F74" s="36"/>
      <c r="G74" s="37">
        <v>57</v>
      </c>
      <c r="H74" s="38"/>
      <c r="I74" s="7">
        <f t="shared" si="0"/>
        <v>57</v>
      </c>
      <c r="J74" s="52"/>
      <c r="K74" s="31" t="s">
        <v>224</v>
      </c>
      <c r="L74" s="35"/>
      <c r="M74" s="1"/>
      <c r="N74" s="1"/>
      <c r="O74" s="14"/>
      <c r="P74" s="14"/>
      <c r="Q74" s="1"/>
      <c r="R74" s="1"/>
    </row>
    <row r="75" spans="1:18" x14ac:dyDescent="0.35">
      <c r="A75" s="2"/>
      <c r="B75" s="39">
        <v>63731</v>
      </c>
      <c r="C75" s="26" t="s">
        <v>277</v>
      </c>
      <c r="D75" s="26" t="s">
        <v>278</v>
      </c>
      <c r="E75" s="139"/>
      <c r="F75" s="36"/>
      <c r="G75" s="37">
        <v>30</v>
      </c>
      <c r="H75" s="38"/>
      <c r="I75" s="7">
        <f t="shared" si="0"/>
        <v>30</v>
      </c>
      <c r="J75" s="52"/>
      <c r="K75" s="31" t="s">
        <v>254</v>
      </c>
      <c r="L75" s="35"/>
      <c r="M75" s="1"/>
      <c r="N75" s="1"/>
      <c r="O75" s="14"/>
      <c r="P75" s="14"/>
      <c r="Q75" s="1"/>
      <c r="R75" s="1"/>
    </row>
    <row r="76" spans="1:18" x14ac:dyDescent="0.35">
      <c r="A76" s="2"/>
      <c r="B76" s="39">
        <v>63731</v>
      </c>
      <c r="C76" s="26" t="s">
        <v>277</v>
      </c>
      <c r="D76" s="26" t="s">
        <v>278</v>
      </c>
      <c r="E76" s="139"/>
      <c r="F76" s="36"/>
      <c r="G76" s="37">
        <v>40</v>
      </c>
      <c r="H76" s="38"/>
      <c r="I76" s="7">
        <f t="shared" si="0"/>
        <v>40</v>
      </c>
      <c r="J76" s="52"/>
      <c r="K76" s="31">
        <v>45682</v>
      </c>
      <c r="L76" s="35"/>
      <c r="M76" s="1"/>
      <c r="N76" s="1"/>
      <c r="O76" s="14"/>
      <c r="P76" s="14"/>
      <c r="Q76" s="1"/>
      <c r="R76" s="1"/>
    </row>
    <row r="77" spans="1:18" x14ac:dyDescent="0.35">
      <c r="A77" s="2"/>
      <c r="B77" s="39">
        <v>55296</v>
      </c>
      <c r="C77" s="26" t="s">
        <v>277</v>
      </c>
      <c r="D77" s="26" t="s">
        <v>279</v>
      </c>
      <c r="E77" s="139"/>
      <c r="F77" s="36"/>
      <c r="G77" s="37">
        <v>57</v>
      </c>
      <c r="H77" s="38"/>
      <c r="I77" s="7">
        <f t="shared" si="0"/>
        <v>57</v>
      </c>
      <c r="J77" s="52"/>
      <c r="K77" s="31" t="s">
        <v>73</v>
      </c>
      <c r="L77" s="35"/>
      <c r="M77" s="1"/>
      <c r="N77" s="1"/>
      <c r="O77" s="14"/>
      <c r="P77" s="14"/>
      <c r="Q77" s="1"/>
      <c r="R77" s="1"/>
    </row>
    <row r="78" spans="1:18" x14ac:dyDescent="0.35">
      <c r="A78" s="2"/>
      <c r="B78" s="39">
        <v>55296</v>
      </c>
      <c r="C78" s="26" t="s">
        <v>277</v>
      </c>
      <c r="D78" s="26" t="s">
        <v>279</v>
      </c>
      <c r="E78" s="139">
        <v>0</v>
      </c>
      <c r="F78" s="36"/>
      <c r="G78" s="37">
        <v>70</v>
      </c>
      <c r="H78" s="38"/>
      <c r="I78" s="7">
        <f t="shared" si="0"/>
        <v>70</v>
      </c>
      <c r="J78" s="52"/>
      <c r="K78" s="31" t="s">
        <v>280</v>
      </c>
      <c r="L78" s="35"/>
      <c r="M78" s="1"/>
      <c r="N78" s="1"/>
      <c r="O78" s="14"/>
      <c r="P78" s="14"/>
      <c r="Q78" s="1"/>
      <c r="R78" s="1"/>
    </row>
    <row r="79" spans="1:18" x14ac:dyDescent="0.35">
      <c r="A79" s="2"/>
      <c r="B79" s="156">
        <v>55296</v>
      </c>
      <c r="C79" s="43" t="s">
        <v>277</v>
      </c>
      <c r="D79" s="43" t="s">
        <v>279</v>
      </c>
      <c r="E79" s="158">
        <v>0</v>
      </c>
      <c r="F79" s="44"/>
      <c r="G79" s="45">
        <v>31</v>
      </c>
      <c r="H79" s="46"/>
      <c r="I79" s="7">
        <f t="shared" si="0"/>
        <v>31</v>
      </c>
      <c r="J79" s="52"/>
      <c r="K79" s="31" t="s">
        <v>254</v>
      </c>
      <c r="L79" s="35"/>
      <c r="M79" s="1"/>
      <c r="N79" s="1"/>
      <c r="O79" s="14"/>
      <c r="P79" s="14"/>
      <c r="Q79" s="1"/>
      <c r="R79" s="1"/>
    </row>
    <row r="80" spans="1:18" x14ac:dyDescent="0.35">
      <c r="A80" s="2"/>
      <c r="B80" s="77">
        <v>70283</v>
      </c>
      <c r="C80" s="26" t="s">
        <v>281</v>
      </c>
      <c r="D80" s="26" t="s">
        <v>282</v>
      </c>
      <c r="E80" s="159"/>
      <c r="F80" s="36"/>
      <c r="G80" s="37">
        <v>3</v>
      </c>
      <c r="H80" s="38"/>
      <c r="I80" s="7">
        <f t="shared" ref="I80:I95" si="2">SUM(E80:H80)</f>
        <v>3</v>
      </c>
      <c r="J80" s="73"/>
      <c r="K80" s="31" t="s">
        <v>257</v>
      </c>
      <c r="L80" s="35"/>
      <c r="M80" s="1"/>
      <c r="N80" s="1"/>
      <c r="O80" s="14"/>
      <c r="P80" s="14"/>
      <c r="Q80" s="1"/>
      <c r="R80" s="1"/>
    </row>
    <row r="81" spans="1:18" x14ac:dyDescent="0.35">
      <c r="A81" s="2"/>
      <c r="B81" s="77">
        <v>68507</v>
      </c>
      <c r="C81" s="26" t="s">
        <v>281</v>
      </c>
      <c r="D81" s="26" t="s">
        <v>271</v>
      </c>
      <c r="E81" s="159"/>
      <c r="F81" s="36"/>
      <c r="G81" s="37">
        <v>12</v>
      </c>
      <c r="H81" s="38"/>
      <c r="I81" s="7">
        <f t="shared" si="2"/>
        <v>12</v>
      </c>
      <c r="J81" s="73"/>
      <c r="K81" s="31">
        <v>45833</v>
      </c>
      <c r="L81" s="35"/>
      <c r="M81" s="1"/>
      <c r="N81" s="1"/>
      <c r="O81" s="14"/>
      <c r="P81" s="14"/>
      <c r="Q81" s="1"/>
      <c r="R81" s="1"/>
    </row>
    <row r="82" spans="1:18" x14ac:dyDescent="0.35">
      <c r="A82" s="2"/>
      <c r="B82" s="77">
        <v>63913</v>
      </c>
      <c r="C82" s="26" t="s">
        <v>283</v>
      </c>
      <c r="D82" s="26" t="s">
        <v>284</v>
      </c>
      <c r="E82" s="159"/>
      <c r="F82" s="36"/>
      <c r="G82" s="37">
        <v>82</v>
      </c>
      <c r="H82" s="38"/>
      <c r="I82" s="7">
        <f t="shared" si="2"/>
        <v>82</v>
      </c>
      <c r="J82" s="73"/>
      <c r="K82" s="31">
        <v>45772</v>
      </c>
      <c r="L82" s="35"/>
      <c r="M82" s="1"/>
      <c r="N82" s="1"/>
      <c r="O82" s="14"/>
      <c r="P82" s="14"/>
      <c r="Q82" s="1"/>
      <c r="R82" s="1"/>
    </row>
    <row r="83" spans="1:18" x14ac:dyDescent="0.35">
      <c r="A83" s="2"/>
      <c r="B83" s="77">
        <v>63913</v>
      </c>
      <c r="C83" s="26" t="s">
        <v>283</v>
      </c>
      <c r="D83" s="26" t="s">
        <v>284</v>
      </c>
      <c r="E83" s="159"/>
      <c r="F83" s="36"/>
      <c r="G83" s="37">
        <v>88</v>
      </c>
      <c r="H83" s="38"/>
      <c r="I83" s="7">
        <f t="shared" si="2"/>
        <v>88</v>
      </c>
      <c r="J83" s="73"/>
      <c r="K83" s="31">
        <v>45802</v>
      </c>
      <c r="L83" s="35"/>
      <c r="M83" s="1"/>
      <c r="N83" s="1"/>
      <c r="O83" s="14"/>
      <c r="P83" s="14"/>
      <c r="Q83" s="1"/>
      <c r="R83" s="1"/>
    </row>
    <row r="84" spans="1:18" x14ac:dyDescent="0.35">
      <c r="A84" s="2"/>
      <c r="B84" s="77">
        <v>75062</v>
      </c>
      <c r="C84" s="43" t="s">
        <v>285</v>
      </c>
      <c r="D84" s="43" t="s">
        <v>286</v>
      </c>
      <c r="E84" s="161"/>
      <c r="F84" s="44"/>
      <c r="G84" s="45">
        <v>222</v>
      </c>
      <c r="H84" s="46"/>
      <c r="I84" s="7">
        <f t="shared" si="2"/>
        <v>222</v>
      </c>
      <c r="J84" s="76"/>
      <c r="K84" s="31">
        <v>45833</v>
      </c>
      <c r="L84" s="35"/>
      <c r="M84" s="1"/>
      <c r="N84" s="1"/>
      <c r="O84" s="14"/>
      <c r="P84" s="14"/>
      <c r="Q84" s="1"/>
      <c r="R84" s="1"/>
    </row>
    <row r="85" spans="1:18" x14ac:dyDescent="0.35">
      <c r="A85" s="2"/>
      <c r="B85" s="77">
        <v>59688</v>
      </c>
      <c r="C85" s="26" t="s">
        <v>262</v>
      </c>
      <c r="D85" s="26" t="s">
        <v>287</v>
      </c>
      <c r="E85" s="159"/>
      <c r="F85" s="36"/>
      <c r="G85" s="37">
        <v>2</v>
      </c>
      <c r="H85" s="38"/>
      <c r="I85" s="7">
        <f t="shared" si="2"/>
        <v>2</v>
      </c>
      <c r="J85" s="63"/>
      <c r="K85" s="74">
        <v>45772</v>
      </c>
      <c r="L85" s="35"/>
      <c r="M85" s="1"/>
      <c r="N85" s="1"/>
      <c r="O85" s="14"/>
      <c r="P85" s="14"/>
      <c r="Q85" s="1"/>
      <c r="R85" s="1"/>
    </row>
    <row r="86" spans="1:18" x14ac:dyDescent="0.35">
      <c r="A86" s="2"/>
      <c r="B86" s="77">
        <v>59688</v>
      </c>
      <c r="C86" s="43" t="s">
        <v>262</v>
      </c>
      <c r="D86" s="26" t="s">
        <v>287</v>
      </c>
      <c r="E86" s="161"/>
      <c r="F86" s="44"/>
      <c r="G86" s="45">
        <v>52</v>
      </c>
      <c r="H86" s="46"/>
      <c r="I86" s="19">
        <f t="shared" si="2"/>
        <v>52</v>
      </c>
      <c r="J86" s="75"/>
      <c r="K86" s="74">
        <v>45802</v>
      </c>
      <c r="L86" s="35"/>
      <c r="M86" s="1"/>
      <c r="N86" s="1"/>
      <c r="O86" s="14"/>
      <c r="P86" s="14"/>
      <c r="Q86" s="1"/>
      <c r="R86" s="1"/>
    </row>
    <row r="87" spans="1:18" x14ac:dyDescent="0.35">
      <c r="A87" s="2"/>
      <c r="B87" s="77">
        <v>58890</v>
      </c>
      <c r="C87" s="26" t="s">
        <v>288</v>
      </c>
      <c r="D87" s="26" t="s">
        <v>289</v>
      </c>
      <c r="E87" s="159"/>
      <c r="F87" s="36"/>
      <c r="G87" s="37">
        <v>50</v>
      </c>
      <c r="H87" s="38"/>
      <c r="I87" s="63">
        <f t="shared" si="2"/>
        <v>50</v>
      </c>
      <c r="J87" s="63"/>
      <c r="K87" s="74" t="s">
        <v>230</v>
      </c>
      <c r="L87" s="35"/>
      <c r="M87" s="1"/>
      <c r="N87" s="1"/>
      <c r="O87" s="14"/>
      <c r="P87" s="14"/>
      <c r="Q87" s="1"/>
      <c r="R87" s="1"/>
    </row>
    <row r="88" spans="1:18" x14ac:dyDescent="0.35">
      <c r="A88" s="2"/>
      <c r="B88" s="77">
        <v>43868</v>
      </c>
      <c r="C88" s="26" t="s">
        <v>290</v>
      </c>
      <c r="D88" s="26" t="s">
        <v>291</v>
      </c>
      <c r="E88" s="159"/>
      <c r="F88" s="36"/>
      <c r="G88" s="37">
        <v>1</v>
      </c>
      <c r="H88" s="38"/>
      <c r="I88" s="63">
        <f t="shared" si="2"/>
        <v>1</v>
      </c>
      <c r="J88" s="63"/>
      <c r="K88" s="74" t="s">
        <v>257</v>
      </c>
      <c r="L88" s="35"/>
      <c r="M88" s="1"/>
      <c r="N88" s="1"/>
      <c r="O88" s="14"/>
      <c r="P88" s="14"/>
      <c r="Q88" s="1"/>
      <c r="R88" s="1"/>
    </row>
    <row r="89" spans="1:18" x14ac:dyDescent="0.35">
      <c r="A89" s="2"/>
      <c r="B89" s="77">
        <v>61124</v>
      </c>
      <c r="C89" s="26" t="s">
        <v>292</v>
      </c>
      <c r="D89" s="26" t="s">
        <v>293</v>
      </c>
      <c r="E89" s="159"/>
      <c r="F89" s="36"/>
      <c r="G89" s="37">
        <v>70</v>
      </c>
      <c r="H89" s="38"/>
      <c r="I89" s="63">
        <f t="shared" si="2"/>
        <v>70</v>
      </c>
      <c r="J89" s="63"/>
      <c r="K89" s="74">
        <v>45772</v>
      </c>
      <c r="L89" s="35"/>
      <c r="M89" s="1"/>
      <c r="N89" s="1"/>
      <c r="O89" s="14"/>
      <c r="P89" s="14"/>
      <c r="Q89" s="1"/>
      <c r="R89" s="1"/>
    </row>
    <row r="90" spans="1:18" x14ac:dyDescent="0.35">
      <c r="A90" s="2"/>
      <c r="B90" s="77">
        <v>59214</v>
      </c>
      <c r="C90" s="26" t="s">
        <v>292</v>
      </c>
      <c r="D90" s="26" t="s">
        <v>269</v>
      </c>
      <c r="E90" s="159"/>
      <c r="F90" s="36"/>
      <c r="G90" s="37">
        <v>82</v>
      </c>
      <c r="H90" s="38"/>
      <c r="I90" s="63">
        <f t="shared" si="2"/>
        <v>82</v>
      </c>
      <c r="J90" s="63"/>
      <c r="K90" s="74" t="s">
        <v>230</v>
      </c>
      <c r="L90" s="35"/>
      <c r="M90" s="1"/>
      <c r="N90" s="1"/>
      <c r="O90" s="14"/>
      <c r="P90" s="14"/>
      <c r="Q90" s="1"/>
      <c r="R90" s="1"/>
    </row>
    <row r="91" spans="1:18" x14ac:dyDescent="0.35">
      <c r="A91" s="2"/>
      <c r="B91" s="77">
        <v>70897</v>
      </c>
      <c r="C91" s="26" t="s">
        <v>71</v>
      </c>
      <c r="D91" s="26" t="s">
        <v>294</v>
      </c>
      <c r="E91" s="159"/>
      <c r="F91" s="36"/>
      <c r="G91" s="37">
        <v>30</v>
      </c>
      <c r="H91" s="38"/>
      <c r="I91" s="63">
        <f t="shared" si="2"/>
        <v>30</v>
      </c>
      <c r="J91" s="63"/>
      <c r="K91" s="74" t="s">
        <v>223</v>
      </c>
      <c r="L91" s="35"/>
      <c r="M91" s="1"/>
      <c r="N91" s="1"/>
      <c r="O91" s="14"/>
      <c r="P91" s="14"/>
      <c r="Q91" s="1"/>
      <c r="R91" s="1"/>
    </row>
    <row r="92" spans="1:18" x14ac:dyDescent="0.35">
      <c r="A92" s="2"/>
      <c r="B92" s="77">
        <v>70897</v>
      </c>
      <c r="C92" s="26" t="s">
        <v>71</v>
      </c>
      <c r="D92" s="26" t="s">
        <v>294</v>
      </c>
      <c r="E92" s="159"/>
      <c r="F92" s="36"/>
      <c r="G92" s="37">
        <v>95</v>
      </c>
      <c r="H92" s="38"/>
      <c r="I92" s="63">
        <f t="shared" si="2"/>
        <v>95</v>
      </c>
      <c r="J92" s="63"/>
      <c r="K92" s="74" t="s">
        <v>224</v>
      </c>
      <c r="L92" s="35"/>
      <c r="M92" s="1"/>
      <c r="N92" s="1"/>
      <c r="O92" s="14"/>
      <c r="P92" s="14"/>
      <c r="Q92" s="1"/>
      <c r="R92" s="1"/>
    </row>
    <row r="93" spans="1:18" x14ac:dyDescent="0.35">
      <c r="A93" s="2"/>
      <c r="B93" s="77">
        <v>70897</v>
      </c>
      <c r="C93" s="26" t="s">
        <v>71</v>
      </c>
      <c r="D93" s="26" t="s">
        <v>294</v>
      </c>
      <c r="E93" s="159"/>
      <c r="F93" s="36"/>
      <c r="G93" s="37">
        <v>29</v>
      </c>
      <c r="H93" s="38"/>
      <c r="I93" s="63">
        <f t="shared" si="2"/>
        <v>29</v>
      </c>
      <c r="J93" s="63"/>
      <c r="K93" s="74" t="s">
        <v>229</v>
      </c>
      <c r="L93" s="35"/>
      <c r="M93" s="1"/>
      <c r="N93" s="1"/>
      <c r="O93" s="14"/>
      <c r="P93" s="14"/>
      <c r="Q93" s="1"/>
      <c r="R93" s="1"/>
    </row>
    <row r="94" spans="1:18" x14ac:dyDescent="0.35">
      <c r="A94" s="2"/>
      <c r="B94" s="77">
        <v>70887</v>
      </c>
      <c r="C94" s="26" t="s">
        <v>71</v>
      </c>
      <c r="D94" s="26" t="s">
        <v>295</v>
      </c>
      <c r="E94" s="159"/>
      <c r="F94" s="36"/>
      <c r="G94" s="37">
        <v>5</v>
      </c>
      <c r="H94" s="38"/>
      <c r="I94" s="63">
        <f t="shared" si="2"/>
        <v>5</v>
      </c>
      <c r="J94" s="63"/>
      <c r="K94" s="74" t="s">
        <v>73</v>
      </c>
      <c r="L94" s="35"/>
      <c r="M94" s="1"/>
      <c r="N94" s="1"/>
      <c r="O94" s="14"/>
      <c r="P94" s="14"/>
      <c r="Q94" s="1"/>
      <c r="R94" s="1"/>
    </row>
    <row r="95" spans="1:18" x14ac:dyDescent="0.35">
      <c r="A95" s="2"/>
      <c r="B95" s="77">
        <v>53924</v>
      </c>
      <c r="C95" s="26" t="s">
        <v>296</v>
      </c>
      <c r="D95" s="26" t="s">
        <v>297</v>
      </c>
      <c r="E95" s="159"/>
      <c r="F95" s="36"/>
      <c r="G95" s="37">
        <v>10</v>
      </c>
      <c r="H95" s="38"/>
      <c r="I95" s="63">
        <f t="shared" si="2"/>
        <v>10</v>
      </c>
      <c r="J95" s="63"/>
      <c r="K95" s="74" t="s">
        <v>68</v>
      </c>
      <c r="L95" s="35"/>
      <c r="M95" s="1"/>
      <c r="N95" s="1"/>
      <c r="O95" s="14"/>
      <c r="P95" s="14"/>
      <c r="Q95" s="1"/>
      <c r="R95" s="1"/>
    </row>
    <row r="96" spans="1:18" x14ac:dyDescent="0.35">
      <c r="A96" s="2"/>
      <c r="B96" s="162"/>
      <c r="C96" s="51"/>
      <c r="D96" s="51"/>
      <c r="E96" s="160"/>
      <c r="F96" s="70"/>
      <c r="G96" s="71"/>
      <c r="H96" s="72"/>
      <c r="I96" s="52"/>
      <c r="J96" s="52"/>
      <c r="K96" s="31"/>
      <c r="L96" s="35"/>
      <c r="M96" s="1"/>
      <c r="N96" s="1"/>
      <c r="O96" s="14"/>
      <c r="P96" s="14"/>
      <c r="Q96" s="1"/>
      <c r="R96" s="1"/>
    </row>
    <row r="97" spans="1:18" x14ac:dyDescent="0.35">
      <c r="A97" s="2"/>
      <c r="B97" s="413" t="s">
        <v>63</v>
      </c>
      <c r="C97" s="414"/>
      <c r="D97" s="415"/>
      <c r="E97" s="34">
        <f t="shared" ref="E97:J97" si="3">SUM(E5:E34)</f>
        <v>0</v>
      </c>
      <c r="F97" s="34">
        <f t="shared" si="3"/>
        <v>4222</v>
      </c>
      <c r="G97" s="34">
        <f t="shared" si="3"/>
        <v>5046</v>
      </c>
      <c r="H97" s="34">
        <f t="shared" si="3"/>
        <v>0</v>
      </c>
      <c r="I97" s="34">
        <f t="shared" si="3"/>
        <v>8285</v>
      </c>
      <c r="J97" s="34">
        <f t="shared" si="3"/>
        <v>6435</v>
      </c>
      <c r="K97" s="32"/>
      <c r="L97" s="30"/>
      <c r="M97" s="1"/>
      <c r="N97" s="1"/>
      <c r="O97" s="14"/>
      <c r="P97" s="14"/>
      <c r="Q97" s="1"/>
      <c r="R97" s="1"/>
    </row>
    <row r="98" spans="1:18" x14ac:dyDescent="0.35">
      <c r="A98" s="2">
        <f>IF(ISBLANK(#REF!),"",ROW()-ROW($A$4))</f>
        <v>94</v>
      </c>
      <c r="B98" s="1"/>
      <c r="C98" s="1"/>
      <c r="D98" s="4"/>
      <c r="E98" s="4"/>
      <c r="F98" s="4"/>
      <c r="G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35">
      <c r="A99" s="2">
        <f>IF(ISBLANK(#REF!),"",ROW()-ROW($A$4))</f>
        <v>95</v>
      </c>
      <c r="B99" s="4"/>
      <c r="C99" s="4"/>
      <c r="D99" s="4"/>
      <c r="E99" s="4"/>
      <c r="F99" s="4"/>
      <c r="G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35">
      <c r="A100" s="2">
        <f>IF(ISBLANK(#REF!),"",ROW()-ROW($A$4))</f>
        <v>96</v>
      </c>
      <c r="B100" s="4"/>
      <c r="C100" s="4"/>
      <c r="D100" s="4"/>
      <c r="E100" s="4"/>
      <c r="F100" s="4"/>
      <c r="G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35">
      <c r="A101" s="2">
        <f>IF(ISBLANK(#REF!),"",ROW()-ROW($A$4))</f>
        <v>97</v>
      </c>
      <c r="B101" s="4"/>
      <c r="C101" s="4"/>
      <c r="D101" s="4"/>
      <c r="E101" s="4"/>
      <c r="F101" s="4"/>
      <c r="G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35">
      <c r="A102" s="2">
        <f>IF(ISBLANK(#REF!),"",ROW()-ROW($A$4))</f>
        <v>98</v>
      </c>
      <c r="B102" s="4"/>
      <c r="C102" s="4"/>
      <c r="D102" s="4"/>
      <c r="E102" s="4"/>
      <c r="F102" s="4"/>
      <c r="G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35">
      <c r="A103" s="2">
        <f>IF(ISBLANK(#REF!),"",ROW()-ROW($A$4))</f>
        <v>99</v>
      </c>
      <c r="B103" s="4"/>
      <c r="C103" s="4"/>
      <c r="D103" s="4"/>
      <c r="E103" s="4"/>
      <c r="F103" s="4"/>
      <c r="G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35">
      <c r="A104" s="2">
        <f>IF(ISBLANK(#REF!),"",ROW()-ROW($A$4))</f>
        <v>100</v>
      </c>
      <c r="B104" s="4"/>
      <c r="C104" s="4"/>
      <c r="D104" s="4"/>
      <c r="E104" s="4"/>
      <c r="F104" s="4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35">
      <c r="A105" s="2">
        <f>IF(ISBLANK(#REF!),"",ROW()-ROW($A$4))</f>
        <v>101</v>
      </c>
      <c r="B105" s="4"/>
      <c r="C105" s="4"/>
      <c r="D105" s="4"/>
      <c r="E105" s="4"/>
      <c r="F105" s="4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35">
      <c r="A106" s="2">
        <f>IF(ISBLANK(#REF!),"",ROW()-ROW($A$4))</f>
        <v>102</v>
      </c>
      <c r="B106" s="4"/>
      <c r="C106" s="4"/>
      <c r="D106" s="4"/>
      <c r="E106" s="4"/>
      <c r="F106" s="4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35">
      <c r="A107" s="2">
        <f>IF(ISBLANK(#REF!),"",ROW()-ROW($A$4))</f>
        <v>103</v>
      </c>
      <c r="B107" s="4"/>
      <c r="C107" s="4"/>
      <c r="D107" s="4"/>
      <c r="E107" s="4"/>
      <c r="F107" s="4"/>
      <c r="G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35">
      <c r="A108" s="2">
        <f>IF(ISBLANK(#REF!),"",ROW()-ROW($A$4))</f>
        <v>104</v>
      </c>
      <c r="B108" s="4"/>
      <c r="C108" s="4"/>
      <c r="D108" s="4"/>
      <c r="E108" s="4"/>
      <c r="F108" s="4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35">
      <c r="A109" s="2">
        <f>IF(ISBLANK(#REF!),"",ROW()-ROW($A$4))</f>
        <v>105</v>
      </c>
      <c r="B109" s="4"/>
      <c r="C109" s="4"/>
      <c r="D109" s="4"/>
      <c r="E109" s="4"/>
      <c r="F109" s="4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35">
      <c r="A110" s="2">
        <f>IF(ISBLANK(#REF!),"",ROW()-ROW($A$4))</f>
        <v>106</v>
      </c>
      <c r="B110" s="4"/>
      <c r="C110" s="4"/>
      <c r="D110" s="4"/>
      <c r="E110" s="4"/>
      <c r="F110" s="4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35">
      <c r="A111" s="2">
        <f>IF(ISBLANK(#REF!),"",ROW()-ROW($A$4))</f>
        <v>107</v>
      </c>
      <c r="B111" s="4"/>
      <c r="C111" s="4"/>
      <c r="D111" s="4"/>
      <c r="E111" s="4"/>
      <c r="F111" s="4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35">
      <c r="A112" s="2">
        <f>IF(ISBLANK(#REF!),"",ROW()-ROW($A$4))</f>
        <v>108</v>
      </c>
      <c r="B112" s="4"/>
      <c r="C112" s="4"/>
      <c r="D112" s="4"/>
      <c r="E112" s="4"/>
      <c r="F112" s="4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x14ac:dyDescent="0.35">
      <c r="A113" s="2">
        <f>IF(ISBLANK(#REF!),"",ROW()-ROW($A$4))</f>
        <v>109</v>
      </c>
      <c r="B113" s="4"/>
      <c r="C113" s="4"/>
      <c r="D113" s="4"/>
      <c r="E113" s="4"/>
      <c r="F113" s="4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x14ac:dyDescent="0.35">
      <c r="A114" s="2">
        <f>IF(ISBLANK(#REF!),"",ROW()-ROW($A$4))</f>
        <v>110</v>
      </c>
      <c r="B114" s="4"/>
      <c r="C114" s="4"/>
      <c r="D114" s="4"/>
      <c r="E114" s="4"/>
      <c r="F114" s="4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35">
      <c r="A115" s="2">
        <f>IF(ISBLANK(#REF!),"",ROW()-ROW($A$4))</f>
        <v>111</v>
      </c>
      <c r="B115" s="4"/>
      <c r="C115" s="4"/>
      <c r="D115" s="4"/>
      <c r="E115" s="4"/>
      <c r="F115" s="4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x14ac:dyDescent="0.35">
      <c r="A116" s="2">
        <f>IF(ISBLANK(#REF!),"",ROW()-ROW($A$4))</f>
        <v>112</v>
      </c>
      <c r="B116" s="4"/>
      <c r="C116" s="4"/>
      <c r="D116" s="4"/>
      <c r="E116" s="4"/>
      <c r="F116" s="4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x14ac:dyDescent="0.35">
      <c r="A117" s="2">
        <f>IF(ISBLANK(#REF!),"",ROW()-ROW($A$4))</f>
        <v>113</v>
      </c>
      <c r="B117" s="4"/>
      <c r="C117" s="4"/>
      <c r="D117" s="4"/>
      <c r="E117" s="4"/>
      <c r="F117" s="4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x14ac:dyDescent="0.35">
      <c r="A118" s="2">
        <f>IF(ISBLANK(#REF!),"",ROW()-ROW($A$4))</f>
        <v>114</v>
      </c>
      <c r="B118" s="4"/>
      <c r="C118" s="4"/>
      <c r="D118" s="4"/>
      <c r="E118" s="4"/>
      <c r="F118" s="4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x14ac:dyDescent="0.35">
      <c r="A119" s="2">
        <f>IF(ISBLANK(#REF!),"",ROW()-ROW($A$4))</f>
        <v>115</v>
      </c>
      <c r="B119" s="4"/>
      <c r="C119" s="4"/>
      <c r="D119" s="4"/>
      <c r="E119" s="4"/>
      <c r="F119" s="4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x14ac:dyDescent="0.35">
      <c r="A120" s="2">
        <f>IF(ISBLANK(#REF!),"",ROW()-ROW($A$4))</f>
        <v>116</v>
      </c>
      <c r="B120" s="4"/>
      <c r="C120" s="4"/>
      <c r="D120" s="4"/>
      <c r="E120" s="4"/>
      <c r="F120" s="4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x14ac:dyDescent="0.35">
      <c r="A121" s="2">
        <f>IF(ISBLANK(#REF!),"",ROW()-ROW($A$4))</f>
        <v>117</v>
      </c>
      <c r="B121" s="4"/>
      <c r="C121" s="4"/>
      <c r="D121" s="4"/>
      <c r="E121" s="4"/>
      <c r="F121" s="4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35">
      <c r="A122" s="2">
        <f>IF(ISBLANK(#REF!),"",ROW()-ROW($A$4))</f>
        <v>118</v>
      </c>
      <c r="B122" s="4"/>
      <c r="C122" s="4"/>
      <c r="D122" s="4"/>
      <c r="E122" s="4"/>
      <c r="F122" s="4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x14ac:dyDescent="0.35">
      <c r="A123" s="2">
        <f>IF(ISBLANK(#REF!),"",ROW()-ROW($A$4))</f>
        <v>119</v>
      </c>
      <c r="B123" s="4"/>
      <c r="C123" s="4"/>
      <c r="D123" s="4"/>
      <c r="E123" s="4"/>
      <c r="F123" s="4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35">
      <c r="A124" s="2">
        <f>IF(ISBLANK(#REF!),"",ROW()-ROW($A$4))</f>
        <v>120</v>
      </c>
      <c r="B124" s="4"/>
      <c r="C124" s="4"/>
      <c r="D124" s="4"/>
      <c r="E124" s="4"/>
      <c r="F124" s="4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35">
      <c r="A125" s="2">
        <f>IF(ISBLANK(#REF!),"",ROW()-ROW($A$4))</f>
        <v>121</v>
      </c>
      <c r="B125" s="4"/>
      <c r="C125" s="4"/>
      <c r="D125" s="4"/>
      <c r="E125" s="4"/>
      <c r="F125" s="4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x14ac:dyDescent="0.35">
      <c r="A126" s="2">
        <f>IF(ISBLANK(#REF!),"",ROW()-ROW($A$4))</f>
        <v>122</v>
      </c>
      <c r="B126" s="4"/>
      <c r="C126" s="4"/>
      <c r="D126" s="4"/>
      <c r="E126" s="4"/>
      <c r="F126" s="4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x14ac:dyDescent="0.35">
      <c r="A127" s="2">
        <f>IF(ISBLANK(#REF!),"",ROW()-ROW($A$4))</f>
        <v>123</v>
      </c>
      <c r="B127" s="4"/>
      <c r="C127" s="4"/>
      <c r="D127" s="4"/>
      <c r="E127" s="4"/>
      <c r="F127" s="4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x14ac:dyDescent="0.35">
      <c r="A128" s="2">
        <f>IF(ISBLANK(#REF!),"",ROW()-ROW($A$4))</f>
        <v>124</v>
      </c>
      <c r="B128" s="4"/>
      <c r="C128" s="4"/>
      <c r="D128" s="4"/>
      <c r="E128" s="4"/>
      <c r="F128" s="4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x14ac:dyDescent="0.35">
      <c r="A129" s="2">
        <f>IF(ISBLANK(#REF!),"",ROW()-ROW($A$4))</f>
        <v>125</v>
      </c>
      <c r="B129" s="4"/>
      <c r="C129" s="4"/>
      <c r="D129" s="4"/>
      <c r="E129" s="4"/>
      <c r="F129" s="4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x14ac:dyDescent="0.35">
      <c r="A130" s="2">
        <f>IF(ISBLANK(#REF!),"",ROW()-ROW($A$4))</f>
        <v>126</v>
      </c>
      <c r="B130" s="4"/>
      <c r="C130" s="4"/>
      <c r="D130" s="4"/>
      <c r="E130" s="4"/>
      <c r="F130" s="4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x14ac:dyDescent="0.35">
      <c r="A131" s="2">
        <f>IF(ISBLANK(#REF!),"",ROW()-ROW($A$4))</f>
        <v>127</v>
      </c>
      <c r="B131" s="4"/>
      <c r="C131" s="4"/>
      <c r="D131" s="4"/>
      <c r="E131" s="4"/>
      <c r="F131" s="4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x14ac:dyDescent="0.35">
      <c r="A132" s="2">
        <f>IF(ISBLANK(#REF!),"",ROW()-ROW($A$4))</f>
        <v>128</v>
      </c>
      <c r="B132" s="4"/>
      <c r="C132" s="4"/>
      <c r="D132" s="4"/>
      <c r="E132" s="4"/>
      <c r="F132" s="4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35">
      <c r="A133" s="2">
        <f>IF(ISBLANK(#REF!),"",ROW()-ROW($A$4))</f>
        <v>129</v>
      </c>
      <c r="B133" s="4"/>
      <c r="C133" s="4"/>
      <c r="D133" s="4"/>
      <c r="E133" s="4"/>
      <c r="F133" s="4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35">
      <c r="A134" s="2">
        <f>IF(ISBLANK(#REF!),"",ROW()-ROW($A$4))</f>
        <v>130</v>
      </c>
      <c r="B134" s="4"/>
      <c r="C134" s="4"/>
      <c r="D134" s="4"/>
      <c r="E134" s="4"/>
      <c r="F134" s="4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x14ac:dyDescent="0.35">
      <c r="A135" s="2">
        <f>IF(ISBLANK(#REF!),"",ROW()-ROW($A$4))</f>
        <v>131</v>
      </c>
      <c r="B135" s="4"/>
      <c r="C135" s="4"/>
      <c r="D135" s="4"/>
      <c r="E135" s="4"/>
      <c r="F135" s="4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35">
      <c r="A136" s="2">
        <f>IF(ISBLANK(#REF!),"",ROW()-ROW($A$4))</f>
        <v>132</v>
      </c>
      <c r="B136" s="4"/>
      <c r="C136" s="4"/>
      <c r="D136" s="4"/>
      <c r="E136" s="4"/>
      <c r="F136" s="4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x14ac:dyDescent="0.35">
      <c r="A137" s="2">
        <f>IF(ISBLANK(#REF!),"",ROW()-ROW($A$4))</f>
        <v>133</v>
      </c>
      <c r="B137" s="4"/>
      <c r="C137" s="4"/>
      <c r="D137" s="4"/>
      <c r="E137" s="4"/>
      <c r="F137" s="4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x14ac:dyDescent="0.35">
      <c r="A138" s="2">
        <f>IF(ISBLANK(#REF!),"",ROW()-ROW($A$4))</f>
        <v>134</v>
      </c>
      <c r="B138" s="4"/>
      <c r="C138" s="4"/>
      <c r="D138" s="4"/>
      <c r="E138" s="4"/>
      <c r="F138" s="4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x14ac:dyDescent="0.35">
      <c r="A139" s="2">
        <f>IF(ISBLANK(#REF!),"",ROW()-ROW($A$4))</f>
        <v>135</v>
      </c>
      <c r="B139" s="4"/>
      <c r="C139" s="4"/>
      <c r="D139" s="4"/>
      <c r="E139" s="4"/>
      <c r="F139" s="4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x14ac:dyDescent="0.35">
      <c r="A140" s="2">
        <f>IF(ISBLANK(#REF!),"",ROW()-ROW($A$4))</f>
        <v>136</v>
      </c>
      <c r="B140" s="4"/>
      <c r="C140" s="4"/>
      <c r="D140" s="4"/>
      <c r="E140" s="4"/>
      <c r="F140" s="4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x14ac:dyDescent="0.35">
      <c r="A141" s="2">
        <f>IF(ISBLANK(#REF!),"",ROW()-ROW($A$4))</f>
        <v>137</v>
      </c>
      <c r="B141" s="4"/>
      <c r="C141" s="4"/>
      <c r="D141" s="4"/>
      <c r="E141" s="4"/>
      <c r="F141" s="4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x14ac:dyDescent="0.35">
      <c r="A142" s="2">
        <f>IF(ISBLANK(#REF!),"",ROW()-ROW($A$4))</f>
        <v>138</v>
      </c>
      <c r="B142" s="4"/>
      <c r="C142" s="4"/>
      <c r="D142" s="4"/>
      <c r="E142" s="4"/>
      <c r="F142" s="4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x14ac:dyDescent="0.35">
      <c r="A143" s="2">
        <f>IF(ISBLANK(#REF!),"",ROW()-ROW($A$4))</f>
        <v>139</v>
      </c>
      <c r="B143" s="4"/>
      <c r="C143" s="4"/>
      <c r="D143" s="4"/>
      <c r="E143" s="4"/>
      <c r="F143" s="4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x14ac:dyDescent="0.35">
      <c r="A144" s="2">
        <f>IF(ISBLANK(#REF!),"",ROW()-ROW($A$4))</f>
        <v>140</v>
      </c>
      <c r="B144" s="4"/>
      <c r="C144" s="4"/>
      <c r="D144" s="4"/>
      <c r="E144" s="4"/>
      <c r="F144" s="4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x14ac:dyDescent="0.35">
      <c r="A145" s="2">
        <f>IF(ISBLANK(#REF!),"",ROW()-ROW($A$4))</f>
        <v>141</v>
      </c>
      <c r="B145" s="4"/>
      <c r="C145" s="4"/>
      <c r="D145" s="4"/>
      <c r="E145" s="4"/>
      <c r="F145" s="4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x14ac:dyDescent="0.35">
      <c r="A146" s="2">
        <f>IF(ISBLANK(#REF!),"",ROW()-ROW($A$4))</f>
        <v>142</v>
      </c>
      <c r="B146" s="4"/>
      <c r="C146" s="4"/>
      <c r="D146" s="4"/>
      <c r="E146" s="4"/>
      <c r="F146" s="4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x14ac:dyDescent="0.35">
      <c r="A147" s="2">
        <f>IF(ISBLANK(#REF!),"",ROW()-ROW($A$4))</f>
        <v>143</v>
      </c>
      <c r="B147" s="4"/>
      <c r="C147" s="4"/>
      <c r="D147" s="4"/>
      <c r="E147" s="4"/>
      <c r="F147" s="4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x14ac:dyDescent="0.35">
      <c r="A148" s="2">
        <f>IF(ISBLANK(#REF!),"",ROW()-ROW($A$4))</f>
        <v>144</v>
      </c>
      <c r="B148" s="4"/>
      <c r="C148" s="4"/>
      <c r="D148" s="4"/>
      <c r="E148" s="4"/>
      <c r="F148" s="4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x14ac:dyDescent="0.35">
      <c r="A149" s="2">
        <f>IF(ISBLANK(#REF!),"",ROW()-ROW($A$4))</f>
        <v>145</v>
      </c>
      <c r="B149" s="4"/>
      <c r="C149" s="4"/>
      <c r="D149" s="4"/>
      <c r="E149" s="4"/>
      <c r="F149" s="4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x14ac:dyDescent="0.35">
      <c r="A150" s="2">
        <f>IF(ISBLANK(#REF!),"",ROW()-ROW($A$4))</f>
        <v>146</v>
      </c>
      <c r="B150" s="4"/>
      <c r="C150" s="4"/>
      <c r="D150" s="4"/>
      <c r="E150" s="4"/>
      <c r="F150" s="4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x14ac:dyDescent="0.35">
      <c r="A151" s="2">
        <f>IF(ISBLANK(#REF!),"",ROW()-ROW($A$4))</f>
        <v>147</v>
      </c>
      <c r="B151" s="4"/>
      <c r="C151" s="4"/>
      <c r="D151" s="4"/>
      <c r="E151" s="4"/>
      <c r="F151" s="4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x14ac:dyDescent="0.35">
      <c r="A152" s="2">
        <f>IF(ISBLANK(#REF!),"",ROW()-ROW($A$4))</f>
        <v>148</v>
      </c>
      <c r="B152" s="4"/>
      <c r="C152" s="4"/>
      <c r="D152" s="4"/>
      <c r="E152" s="4"/>
      <c r="F152" s="4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x14ac:dyDescent="0.35">
      <c r="A153" s="2">
        <f>IF(ISBLANK(#REF!),"",ROW()-ROW($A$4))</f>
        <v>149</v>
      </c>
      <c r="B153" s="4"/>
      <c r="C153" s="4"/>
      <c r="D153" s="4"/>
      <c r="E153" s="4"/>
      <c r="F153" s="4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x14ac:dyDescent="0.35">
      <c r="A154" s="2">
        <f>IF(ISBLANK(#REF!),"",ROW()-ROW($A$4))</f>
        <v>150</v>
      </c>
      <c r="B154" s="4"/>
      <c r="C154" s="4"/>
      <c r="D154" s="4"/>
      <c r="E154" s="4"/>
      <c r="F154" s="4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x14ac:dyDescent="0.35">
      <c r="A155" s="2">
        <f>IF(ISBLANK(#REF!),"",ROW()-ROW($A$4))</f>
        <v>151</v>
      </c>
      <c r="B155" s="4"/>
      <c r="C155" s="4"/>
      <c r="D155" s="4"/>
      <c r="E155" s="4"/>
      <c r="F155" s="4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x14ac:dyDescent="0.35">
      <c r="A156" s="2">
        <f>IF(ISBLANK(#REF!),"",ROW()-ROW($A$4))</f>
        <v>152</v>
      </c>
      <c r="B156" s="4"/>
      <c r="C156" s="4"/>
      <c r="D156" s="4"/>
      <c r="E156" s="4"/>
      <c r="F156" s="4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x14ac:dyDescent="0.35">
      <c r="A157" s="2">
        <f>IF(ISBLANK(#REF!),"",ROW()-ROW($A$4))</f>
        <v>153</v>
      </c>
      <c r="B157" s="4"/>
      <c r="C157" s="4"/>
      <c r="D157" s="4"/>
      <c r="E157" s="4"/>
      <c r="F157" s="4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x14ac:dyDescent="0.35">
      <c r="A158" s="2">
        <f>IF(ISBLANK(#REF!),"",ROW()-ROW($A$4))</f>
        <v>154</v>
      </c>
      <c r="B158" s="4"/>
      <c r="C158" s="4"/>
      <c r="D158" s="4"/>
      <c r="E158" s="4"/>
      <c r="F158" s="4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x14ac:dyDescent="0.35">
      <c r="A159" s="2">
        <f>IF(ISBLANK(#REF!),"",ROW()-ROW($A$4))</f>
        <v>155</v>
      </c>
      <c r="B159" s="4"/>
      <c r="C159" s="4"/>
      <c r="D159" s="4"/>
      <c r="E159" s="4"/>
      <c r="F159" s="4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x14ac:dyDescent="0.35">
      <c r="A160" s="2">
        <f>IF(ISBLANK(#REF!),"",ROW()-ROW($A$4))</f>
        <v>156</v>
      </c>
      <c r="B160" s="4"/>
      <c r="C160" s="4"/>
      <c r="D160" s="4"/>
      <c r="E160" s="4"/>
      <c r="F160" s="4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x14ac:dyDescent="0.35">
      <c r="A161" s="2">
        <f>IF(ISBLANK(#REF!),"",ROW()-ROW($A$4))</f>
        <v>157</v>
      </c>
      <c r="B161" s="4"/>
      <c r="C161" s="4"/>
      <c r="D161" s="4"/>
      <c r="E161" s="4"/>
      <c r="F161" s="4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x14ac:dyDescent="0.35">
      <c r="A162" s="2">
        <f>IF(ISBLANK(#REF!),"",ROW()-ROW($A$4))</f>
        <v>158</v>
      </c>
      <c r="B162" s="4"/>
      <c r="C162" s="4"/>
      <c r="D162" s="4"/>
      <c r="E162" s="4"/>
      <c r="F162" s="4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x14ac:dyDescent="0.35">
      <c r="A163" s="2">
        <f>IF(ISBLANK(#REF!),"",ROW()-ROW($A$4))</f>
        <v>159</v>
      </c>
      <c r="B163" s="4"/>
      <c r="C163" s="4"/>
      <c r="D163" s="4"/>
      <c r="E163" s="4"/>
      <c r="F163" s="4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x14ac:dyDescent="0.35">
      <c r="A164" s="2">
        <f>IF(ISBLANK(#REF!),"",ROW()-ROW($A$4))</f>
        <v>160</v>
      </c>
      <c r="B164" s="4"/>
      <c r="C164" s="4"/>
      <c r="D164" s="4"/>
      <c r="E164" s="4"/>
      <c r="F164" s="4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x14ac:dyDescent="0.35">
      <c r="A165" s="2">
        <f>IF(ISBLANK(#REF!),"",ROW()-ROW($A$4))</f>
        <v>161</v>
      </c>
      <c r="B165" s="4"/>
      <c r="C165" s="4"/>
      <c r="D165" s="4"/>
      <c r="E165" s="4"/>
      <c r="F165" s="4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x14ac:dyDescent="0.35">
      <c r="A166" s="2">
        <f>IF(ISBLANK(#REF!),"",ROW()-ROW($A$4))</f>
        <v>162</v>
      </c>
      <c r="B166" s="4"/>
      <c r="C166" s="4"/>
      <c r="D166" s="4"/>
      <c r="E166" s="4"/>
      <c r="F166" s="4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x14ac:dyDescent="0.35">
      <c r="A167" s="2">
        <f>IF(ISBLANK(#REF!),"",ROW()-ROW($A$4))</f>
        <v>163</v>
      </c>
      <c r="B167" s="4"/>
      <c r="C167" s="4"/>
      <c r="D167" s="4"/>
      <c r="E167" s="4"/>
      <c r="F167" s="4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x14ac:dyDescent="0.35">
      <c r="A168" s="2">
        <f>IF(ISBLANK(#REF!),"",ROW()-ROW($A$4))</f>
        <v>164</v>
      </c>
      <c r="B168" s="4"/>
      <c r="C168" s="4"/>
      <c r="D168" s="4"/>
      <c r="E168" s="4"/>
      <c r="F168" s="4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x14ac:dyDescent="0.35">
      <c r="A169" s="2">
        <f>IF(ISBLANK(#REF!),"",ROW()-ROW($A$4))</f>
        <v>165</v>
      </c>
      <c r="B169" s="4"/>
      <c r="C169" s="4"/>
      <c r="D169" s="4"/>
      <c r="E169" s="4"/>
      <c r="F169" s="4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x14ac:dyDescent="0.35">
      <c r="A170" s="2">
        <f>IF(ISBLANK(#REF!),"",ROW()-ROW($A$4))</f>
        <v>166</v>
      </c>
      <c r="B170" s="4"/>
      <c r="C170" s="4"/>
      <c r="D170" s="4"/>
      <c r="E170" s="4"/>
      <c r="F170" s="4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x14ac:dyDescent="0.35">
      <c r="A171" s="2">
        <f>IF(ISBLANK(#REF!),"",ROW()-ROW($A$4))</f>
        <v>167</v>
      </c>
      <c r="B171" s="4"/>
      <c r="C171" s="4"/>
      <c r="D171" s="4"/>
      <c r="E171" s="4"/>
      <c r="F171" s="4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x14ac:dyDescent="0.35">
      <c r="A172" s="2">
        <f>IF(ISBLANK(#REF!),"",ROW()-ROW($A$4))</f>
        <v>168</v>
      </c>
      <c r="B172" s="4"/>
      <c r="C172" s="4"/>
      <c r="D172" s="4"/>
      <c r="E172" s="4"/>
      <c r="F172" s="4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x14ac:dyDescent="0.35">
      <c r="A173" s="2">
        <f>IF(ISBLANK(#REF!),"",ROW()-ROW($A$4))</f>
        <v>169</v>
      </c>
      <c r="B173" s="4"/>
      <c r="C173" s="4"/>
      <c r="D173" s="4"/>
      <c r="E173" s="4"/>
      <c r="F173" s="4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x14ac:dyDescent="0.35">
      <c r="A174" s="2">
        <f>IF(ISBLANK(#REF!),"",ROW()-ROW($A$4))</f>
        <v>170</v>
      </c>
      <c r="B174" s="4"/>
      <c r="C174" s="4"/>
      <c r="D174" s="4"/>
      <c r="E174" s="4"/>
      <c r="F174" s="4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x14ac:dyDescent="0.35">
      <c r="A175" s="2">
        <f>IF(ISBLANK(#REF!),"",ROW()-ROW($A$4))</f>
        <v>171</v>
      </c>
      <c r="B175" s="4"/>
      <c r="C175" s="4"/>
      <c r="D175" s="4"/>
      <c r="E175" s="4"/>
      <c r="F175" s="4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x14ac:dyDescent="0.35">
      <c r="A176" s="2">
        <f>IF(ISBLANK(#REF!),"",ROW()-ROW($A$4))</f>
        <v>172</v>
      </c>
      <c r="B176" s="4"/>
      <c r="C176" s="4"/>
      <c r="D176" s="4"/>
      <c r="E176" s="4"/>
      <c r="F176" s="4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x14ac:dyDescent="0.35">
      <c r="A177" s="2">
        <f>IF(ISBLANK(#REF!),"",ROW()-ROW($A$4))</f>
        <v>173</v>
      </c>
      <c r="B177" s="4"/>
      <c r="C177" s="4"/>
      <c r="D177" s="4"/>
      <c r="E177" s="4"/>
      <c r="F177" s="4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x14ac:dyDescent="0.35">
      <c r="A178" s="2">
        <f>IF(ISBLANK(#REF!),"",ROW()-ROW($A$4))</f>
        <v>174</v>
      </c>
      <c r="B178" s="4"/>
      <c r="C178" s="4"/>
      <c r="D178" s="4"/>
      <c r="E178" s="4"/>
      <c r="F178" s="4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35">
      <c r="A179" s="2">
        <f>IF(ISBLANK(#REF!),"",ROW()-ROW($A$4))</f>
        <v>175</v>
      </c>
      <c r="B179" s="4"/>
      <c r="C179" s="4"/>
      <c r="D179" s="4"/>
      <c r="E179" s="4"/>
      <c r="F179" s="4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35">
      <c r="A180" s="2">
        <f>IF(ISBLANK(#REF!),"",ROW()-ROW($A$4))</f>
        <v>176</v>
      </c>
      <c r="B180" s="4"/>
      <c r="C180" s="4"/>
      <c r="D180" s="4"/>
      <c r="E180" s="4"/>
      <c r="F180" s="4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35">
      <c r="A181" s="2">
        <f>IF(ISBLANK(#REF!),"",ROW()-ROW($A$4))</f>
        <v>177</v>
      </c>
      <c r="B181" s="4"/>
      <c r="C181" s="4"/>
      <c r="D181" s="4"/>
      <c r="E181" s="4"/>
      <c r="F181" s="4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35">
      <c r="A182" s="2">
        <f>IF(ISBLANK(#REF!),"",ROW()-ROW($A$4))</f>
        <v>178</v>
      </c>
      <c r="B182" s="4"/>
      <c r="C182" s="4"/>
      <c r="D182" s="4"/>
      <c r="E182" s="4"/>
      <c r="F182" s="4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x14ac:dyDescent="0.35">
      <c r="A183" s="2">
        <f>IF(ISBLANK(#REF!),"",ROW()-ROW($A$4))</f>
        <v>179</v>
      </c>
      <c r="B183" s="4"/>
      <c r="C183" s="4"/>
      <c r="D183" s="4"/>
      <c r="E183" s="4"/>
      <c r="F183" s="4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35">
      <c r="A184" s="2">
        <f>IF(ISBLANK(#REF!),"",ROW()-ROW($A$4))</f>
        <v>180</v>
      </c>
      <c r="B184" s="4"/>
      <c r="C184" s="4"/>
      <c r="D184" s="4"/>
      <c r="E184" s="4"/>
      <c r="F184" s="4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x14ac:dyDescent="0.35">
      <c r="A185" s="2">
        <f>IF(ISBLANK(#REF!),"",ROW()-ROW($A$4))</f>
        <v>181</v>
      </c>
      <c r="B185" s="4"/>
      <c r="C185" s="4"/>
      <c r="D185" s="4"/>
      <c r="E185" s="4"/>
      <c r="F185" s="4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35">
      <c r="A186" s="2">
        <f>IF(ISBLANK(#REF!),"",ROW()-ROW($A$4))</f>
        <v>182</v>
      </c>
      <c r="B186" s="4"/>
      <c r="C186" s="4"/>
      <c r="D186" s="4"/>
      <c r="E186" s="4"/>
      <c r="F186" s="4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35">
      <c r="A187" s="2">
        <f>IF(ISBLANK(#REF!),"",ROW()-ROW($A$4))</f>
        <v>183</v>
      </c>
      <c r="B187" s="4"/>
      <c r="C187" s="4"/>
      <c r="D187" s="4"/>
      <c r="E187" s="4"/>
      <c r="F187" s="4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x14ac:dyDescent="0.35">
      <c r="A188" s="2">
        <f>IF(ISBLANK(#REF!),"",ROW()-ROW($A$4))</f>
        <v>184</v>
      </c>
      <c r="B188" s="4"/>
      <c r="C188" s="4"/>
      <c r="D188" s="4"/>
      <c r="E188" s="4"/>
      <c r="F188" s="4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x14ac:dyDescent="0.35">
      <c r="A189" s="2">
        <f>IF(ISBLANK(#REF!),"",ROW()-ROW($A$4))</f>
        <v>185</v>
      </c>
      <c r="B189" s="4"/>
      <c r="C189" s="4"/>
      <c r="D189" s="4"/>
      <c r="E189" s="4"/>
      <c r="F189" s="4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x14ac:dyDescent="0.35">
      <c r="A190" s="2">
        <f>IF(ISBLANK(#REF!),"",ROW()-ROW($A$4))</f>
        <v>186</v>
      </c>
      <c r="B190" s="4"/>
      <c r="C190" s="4"/>
      <c r="D190" s="4"/>
      <c r="E190" s="4"/>
      <c r="F190" s="4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35">
      <c r="A191" s="2">
        <f>IF(ISBLANK(#REF!),"",ROW()-ROW($A$4))</f>
        <v>187</v>
      </c>
      <c r="B191" s="4"/>
      <c r="C191" s="4"/>
      <c r="D191" s="4"/>
      <c r="E191" s="4"/>
      <c r="F191" s="4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35">
      <c r="A192" s="2">
        <f>IF(ISBLANK(#REF!),"",ROW()-ROW($A$4))</f>
        <v>188</v>
      </c>
      <c r="B192" s="4"/>
      <c r="C192" s="4"/>
      <c r="D192" s="4"/>
      <c r="E192" s="4"/>
      <c r="F192" s="4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35">
      <c r="A193" s="2">
        <f>IF(ISBLANK(#REF!),"",ROW()-ROW($A$4))</f>
        <v>189</v>
      </c>
      <c r="B193" s="4"/>
      <c r="C193" s="4"/>
      <c r="D193" s="4"/>
      <c r="E193" s="4"/>
      <c r="F193" s="4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35">
      <c r="A194" s="2">
        <f>IF(ISBLANK(#REF!),"",ROW()-ROW($A$4))</f>
        <v>190</v>
      </c>
      <c r="B194" s="4"/>
      <c r="C194" s="4"/>
      <c r="D194" s="4"/>
      <c r="E194" s="4"/>
      <c r="F194" s="4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x14ac:dyDescent="0.35">
      <c r="A195" s="2">
        <f>IF(ISBLANK(#REF!),"",ROW()-ROW($A$4))</f>
        <v>191</v>
      </c>
      <c r="B195" s="4"/>
      <c r="C195" s="4"/>
      <c r="D195" s="4"/>
      <c r="E195" s="4"/>
      <c r="F195" s="4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x14ac:dyDescent="0.35">
      <c r="A196" s="2">
        <f>IF(ISBLANK(#REF!),"",ROW()-ROW($A$4))</f>
        <v>192</v>
      </c>
      <c r="B196" s="4"/>
      <c r="C196" s="4"/>
      <c r="D196" s="4"/>
      <c r="E196" s="4"/>
      <c r="F196" s="4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x14ac:dyDescent="0.35">
      <c r="A197" s="2">
        <f>IF(ISBLANK(#REF!),"",ROW()-ROW($A$4))</f>
        <v>193</v>
      </c>
      <c r="B197" s="4"/>
      <c r="C197" s="4"/>
      <c r="D197" s="4"/>
      <c r="E197" s="4"/>
      <c r="F197" s="4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x14ac:dyDescent="0.35">
      <c r="A198" s="2">
        <f>IF(ISBLANK(#REF!),"",ROW()-ROW($A$4))</f>
        <v>194</v>
      </c>
      <c r="B198" s="4"/>
      <c r="C198" s="4"/>
      <c r="D198" s="4"/>
      <c r="E198" s="4"/>
      <c r="F198" s="4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x14ac:dyDescent="0.35">
      <c r="A199" s="2">
        <f>IF(ISBLANK(#REF!),"",ROW()-ROW($A$4))</f>
        <v>195</v>
      </c>
      <c r="B199" s="4"/>
      <c r="C199" s="4"/>
      <c r="D199" s="4"/>
      <c r="E199" s="4"/>
      <c r="F199" s="4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x14ac:dyDescent="0.35">
      <c r="A200" s="2">
        <f>IF(ISBLANK(#REF!),"",ROW()-ROW($A$4))</f>
        <v>196</v>
      </c>
      <c r="B200" s="4"/>
      <c r="C200" s="4"/>
      <c r="D200" s="4"/>
      <c r="E200" s="4"/>
      <c r="F200" s="4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x14ac:dyDescent="0.35">
      <c r="A201" s="2">
        <f>IF(ISBLANK(#REF!),"",ROW()-ROW($A$4))</f>
        <v>197</v>
      </c>
      <c r="B201" s="4"/>
      <c r="C201" s="4"/>
      <c r="D201" s="4"/>
      <c r="E201" s="4"/>
      <c r="F201" s="4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x14ac:dyDescent="0.35">
      <c r="A202" s="2">
        <f>IF(ISBLANK(#REF!),"",ROW()-ROW($A$4))</f>
        <v>198</v>
      </c>
      <c r="B202" s="4"/>
      <c r="C202" s="4"/>
      <c r="D202" s="4"/>
      <c r="E202" s="4"/>
      <c r="F202" s="4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x14ac:dyDescent="0.35">
      <c r="A203" s="2">
        <f>IF(ISBLANK(#REF!),"",ROW()-ROW($A$4))</f>
        <v>199</v>
      </c>
      <c r="B203" s="4"/>
      <c r="C203" s="4"/>
      <c r="D203" s="4"/>
      <c r="E203" s="4"/>
      <c r="F203" s="4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x14ac:dyDescent="0.35">
      <c r="A204" s="2">
        <f>IF(ISBLANK(#REF!),"",ROW()-ROW($A$4))</f>
        <v>200</v>
      </c>
      <c r="B204" s="4"/>
      <c r="C204" s="4"/>
      <c r="D204" s="4"/>
      <c r="E204" s="4"/>
      <c r="F204" s="4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x14ac:dyDescent="0.35">
      <c r="A205" s="2">
        <f>IF(ISBLANK(#REF!),"",ROW()-ROW($A$4))</f>
        <v>201</v>
      </c>
      <c r="B205" s="4"/>
      <c r="C205" s="4"/>
      <c r="D205" s="4"/>
      <c r="E205" s="4"/>
      <c r="F205" s="4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x14ac:dyDescent="0.35">
      <c r="A206" s="2">
        <f>IF(ISBLANK(#REF!),"",ROW()-ROW($A$4))</f>
        <v>202</v>
      </c>
      <c r="B206" s="4"/>
      <c r="C206" s="4"/>
      <c r="D206" s="4"/>
      <c r="E206" s="4"/>
      <c r="F206" s="4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x14ac:dyDescent="0.35">
      <c r="A207" s="2">
        <f>IF(ISBLANK(#REF!),"",ROW()-ROW($A$4))</f>
        <v>203</v>
      </c>
      <c r="B207" s="4"/>
      <c r="C207" s="4"/>
      <c r="D207" s="4"/>
      <c r="E207" s="4"/>
      <c r="F207" s="4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x14ac:dyDescent="0.35">
      <c r="A208" s="2">
        <f>IF(ISBLANK(#REF!),"",ROW()-ROW($A$4))</f>
        <v>204</v>
      </c>
      <c r="B208" s="4"/>
      <c r="C208" s="4"/>
      <c r="D208" s="4"/>
      <c r="E208" s="4"/>
      <c r="F208" s="4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x14ac:dyDescent="0.35">
      <c r="A209" s="2">
        <f>IF(ISBLANK(#REF!),"",ROW()-ROW($A$4))</f>
        <v>205</v>
      </c>
      <c r="B209" s="4"/>
      <c r="C209" s="4"/>
      <c r="D209" s="4"/>
      <c r="E209" s="4"/>
      <c r="F209" s="4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x14ac:dyDescent="0.35">
      <c r="A210" s="2">
        <f>IF(ISBLANK(#REF!),"",ROW()-ROW($A$4))</f>
        <v>206</v>
      </c>
      <c r="B210" s="4"/>
      <c r="C210" s="4"/>
      <c r="D210" s="4"/>
      <c r="E210" s="4"/>
      <c r="F210" s="4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x14ac:dyDescent="0.35">
      <c r="A211" s="2">
        <f>IF(ISBLANK(#REF!),"",ROW()-ROW($A$4))</f>
        <v>207</v>
      </c>
      <c r="B211" s="4"/>
      <c r="C211" s="4"/>
      <c r="D211" s="4"/>
      <c r="E211" s="4"/>
      <c r="F211" s="4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x14ac:dyDescent="0.35">
      <c r="A212" s="2">
        <f>IF(ISBLANK(#REF!),"",ROW()-ROW($A$4))</f>
        <v>208</v>
      </c>
      <c r="B212" s="4"/>
      <c r="C212" s="4"/>
      <c r="D212" s="4"/>
      <c r="E212" s="4"/>
      <c r="F212" s="4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35">
      <c r="A213" s="2">
        <f>IF(ISBLANK(#REF!),"",ROW()-ROW($A$4))</f>
        <v>209</v>
      </c>
      <c r="B213" s="4"/>
      <c r="C213" s="4"/>
      <c r="D213" s="4"/>
      <c r="E213" s="4"/>
      <c r="F213" s="4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35">
      <c r="A214" s="2">
        <f>IF(ISBLANK(#REF!),"",ROW()-ROW($A$4))</f>
        <v>210</v>
      </c>
      <c r="B214" s="4"/>
      <c r="C214" s="4"/>
      <c r="D214" s="4"/>
      <c r="E214" s="4"/>
      <c r="F214" s="4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x14ac:dyDescent="0.35">
      <c r="A215" s="2">
        <f>IF(ISBLANK(#REF!),"",ROW()-ROW($A$4))</f>
        <v>211</v>
      </c>
      <c r="B215" s="4"/>
      <c r="C215" s="4"/>
      <c r="D215" s="4"/>
      <c r="E215" s="4"/>
      <c r="F215" s="4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x14ac:dyDescent="0.35">
      <c r="A216" s="2">
        <f>IF(ISBLANK(#REF!),"",ROW()-ROW($A$4))</f>
        <v>212</v>
      </c>
      <c r="B216" s="4"/>
      <c r="C216" s="4"/>
      <c r="D216" s="4"/>
      <c r="E216" s="4"/>
      <c r="F216" s="4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x14ac:dyDescent="0.35">
      <c r="A217" s="2">
        <f>IF(ISBLANK(#REF!),"",ROW()-ROW($A$4))</f>
        <v>213</v>
      </c>
      <c r="B217" s="4"/>
      <c r="C217" s="4"/>
      <c r="D217" s="4"/>
      <c r="E217" s="4"/>
      <c r="F217" s="4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x14ac:dyDescent="0.35">
      <c r="A218" s="2">
        <f>IF(ISBLANK(#REF!),"",ROW()-ROW($A$4))</f>
        <v>214</v>
      </c>
      <c r="B218" s="4"/>
      <c r="C218" s="4"/>
      <c r="D218" s="4"/>
      <c r="E218" s="4"/>
      <c r="F218" s="4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x14ac:dyDescent="0.35">
      <c r="A219" s="2">
        <f>IF(ISBLANK(#REF!),"",ROW()-ROW($A$4))</f>
        <v>215</v>
      </c>
      <c r="B219" s="4"/>
      <c r="C219" s="4"/>
      <c r="D219" s="4"/>
      <c r="E219" s="4"/>
      <c r="F219" s="4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35">
      <c r="A220" s="2">
        <f>IF(ISBLANK(#REF!),"",ROW()-ROW($A$4))</f>
        <v>216</v>
      </c>
      <c r="B220" s="4"/>
      <c r="C220" s="4"/>
      <c r="D220" s="4"/>
      <c r="E220" s="4"/>
      <c r="F220" s="4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x14ac:dyDescent="0.35">
      <c r="A221" s="2">
        <f>IF(ISBLANK(#REF!),"",ROW()-ROW($A$4))</f>
        <v>217</v>
      </c>
      <c r="B221" s="4"/>
      <c r="C221" s="4"/>
      <c r="D221" s="4"/>
      <c r="E221" s="4"/>
      <c r="F221" s="4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x14ac:dyDescent="0.35">
      <c r="A222" s="2">
        <f>IF(ISBLANK(#REF!),"",ROW()-ROW($A$4))</f>
        <v>218</v>
      </c>
      <c r="B222" s="4"/>
      <c r="C222" s="4"/>
      <c r="D222" s="4"/>
      <c r="E222" s="4"/>
      <c r="F222" s="4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35">
      <c r="A223" s="2">
        <f>IF(ISBLANK(#REF!),"",ROW()-ROW($A$4))</f>
        <v>219</v>
      </c>
      <c r="B223" s="4"/>
      <c r="C223" s="4"/>
      <c r="D223" s="4"/>
      <c r="E223" s="4"/>
      <c r="F223" s="4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x14ac:dyDescent="0.35">
      <c r="A224" s="2">
        <f>IF(ISBLANK(#REF!),"",ROW()-ROW($A$4))</f>
        <v>220</v>
      </c>
      <c r="B224" s="4"/>
      <c r="C224" s="4"/>
      <c r="D224" s="4"/>
      <c r="E224" s="4"/>
      <c r="F224" s="4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35">
      <c r="A225" s="2">
        <f>IF(ISBLANK(#REF!),"",ROW()-ROW($A$4))</f>
        <v>221</v>
      </c>
      <c r="B225" s="4"/>
      <c r="C225" s="4"/>
      <c r="D225" s="4"/>
      <c r="E225" s="4"/>
      <c r="F225" s="4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x14ac:dyDescent="0.35">
      <c r="A226" s="2">
        <f>IF(ISBLANK(#REF!),"",ROW()-ROW($A$4))</f>
        <v>222</v>
      </c>
      <c r="B226" s="4"/>
      <c r="C226" s="4"/>
      <c r="D226" s="4"/>
      <c r="E226" s="4"/>
      <c r="F226" s="4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x14ac:dyDescent="0.35">
      <c r="A227" s="2">
        <f>IF(ISBLANK(#REF!),"",ROW()-ROW($A$4))</f>
        <v>223</v>
      </c>
      <c r="B227" s="4"/>
      <c r="C227" s="4"/>
      <c r="D227" s="4"/>
      <c r="E227" s="4"/>
      <c r="F227" s="4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x14ac:dyDescent="0.35">
      <c r="A228" s="2">
        <f>IF(ISBLANK(#REF!),"",ROW()-ROW($A$4))</f>
        <v>224</v>
      </c>
      <c r="B228" s="4"/>
      <c r="C228" s="4"/>
      <c r="D228" s="4"/>
      <c r="E228" s="4"/>
      <c r="F228" s="4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x14ac:dyDescent="0.35">
      <c r="A229" s="2">
        <f>IF(ISBLANK(#REF!),"",ROW()-ROW($A$4))</f>
        <v>225</v>
      </c>
      <c r="B229" s="4"/>
      <c r="C229" s="4"/>
      <c r="D229" s="4"/>
      <c r="E229" s="4"/>
      <c r="F229" s="4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x14ac:dyDescent="0.35">
      <c r="A230" s="2">
        <f>IF(ISBLANK(#REF!),"",ROW()-ROW($A$4))</f>
        <v>226</v>
      </c>
      <c r="B230" s="4"/>
      <c r="C230" s="4"/>
      <c r="D230" s="4"/>
      <c r="E230" s="4"/>
      <c r="F230" s="4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x14ac:dyDescent="0.35">
      <c r="A231" s="2">
        <f>IF(ISBLANK(#REF!),"",ROW()-ROW($A$4))</f>
        <v>227</v>
      </c>
      <c r="B231" s="4"/>
      <c r="C231" s="4"/>
      <c r="D231" s="4"/>
      <c r="E231" s="4"/>
      <c r="F231" s="4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x14ac:dyDescent="0.35">
      <c r="A232" s="2">
        <f>IF(ISBLANK(#REF!),"",ROW()-ROW($A$4))</f>
        <v>228</v>
      </c>
      <c r="B232" s="4"/>
      <c r="C232" s="4"/>
      <c r="D232" s="4"/>
      <c r="E232" s="4"/>
      <c r="F232" s="4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x14ac:dyDescent="0.35">
      <c r="A233" s="2">
        <f>IF(ISBLANK(#REF!),"",ROW()-ROW($A$4))</f>
        <v>229</v>
      </c>
      <c r="B233" s="4"/>
      <c r="C233" s="4"/>
      <c r="D233" s="4"/>
      <c r="E233" s="4"/>
      <c r="F233" s="4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x14ac:dyDescent="0.35">
      <c r="A234" s="2">
        <f>IF(ISBLANK(#REF!),"",ROW()-ROW($A$4))</f>
        <v>230</v>
      </c>
      <c r="B234" s="4"/>
      <c r="C234" s="4"/>
      <c r="D234" s="4"/>
      <c r="E234" s="4"/>
      <c r="F234" s="4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x14ac:dyDescent="0.35">
      <c r="A235" s="2">
        <f>IF(ISBLANK(#REF!),"",ROW()-ROW($A$4))</f>
        <v>231</v>
      </c>
      <c r="B235" s="4"/>
      <c r="C235" s="4"/>
      <c r="D235" s="4"/>
      <c r="E235" s="4"/>
      <c r="F235" s="4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x14ac:dyDescent="0.35">
      <c r="A236" s="2">
        <f>IF(ISBLANK(#REF!),"",ROW()-ROW($A$4))</f>
        <v>232</v>
      </c>
      <c r="B236" s="4"/>
      <c r="C236" s="4"/>
      <c r="D236" s="4"/>
      <c r="E236" s="4"/>
      <c r="F236" s="4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x14ac:dyDescent="0.35">
      <c r="A237" s="2">
        <f>IF(ISBLANK(#REF!),"",ROW()-ROW($A$4))</f>
        <v>233</v>
      </c>
      <c r="B237" s="4"/>
      <c r="C237" s="4"/>
      <c r="D237" s="4"/>
      <c r="E237" s="4"/>
      <c r="F237" s="4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x14ac:dyDescent="0.35">
      <c r="A238" s="2">
        <f>IF(ISBLANK(#REF!),"",ROW()-ROW($A$4))</f>
        <v>234</v>
      </c>
      <c r="B238" s="4"/>
      <c r="C238" s="4"/>
      <c r="D238" s="4"/>
      <c r="E238" s="4"/>
      <c r="F238" s="4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x14ac:dyDescent="0.35">
      <c r="A239" s="2">
        <f>IF(ISBLANK(#REF!),"",ROW()-ROW($A$4))</f>
        <v>235</v>
      </c>
      <c r="B239" s="4"/>
      <c r="C239" s="4"/>
      <c r="D239" s="4"/>
      <c r="E239" s="4"/>
      <c r="F239" s="4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x14ac:dyDescent="0.35">
      <c r="A240" s="2">
        <f>IF(ISBLANK(#REF!),"",ROW()-ROW($A$4))</f>
        <v>236</v>
      </c>
      <c r="B240" s="4"/>
      <c r="C240" s="4"/>
      <c r="D240" s="4"/>
      <c r="E240" s="4"/>
      <c r="F240" s="4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x14ac:dyDescent="0.35">
      <c r="A241" s="2">
        <f>IF(ISBLANK(#REF!),"",ROW()-ROW($A$4))</f>
        <v>237</v>
      </c>
      <c r="B241" s="4"/>
      <c r="C241" s="4"/>
      <c r="D241" s="4"/>
      <c r="E241" s="4"/>
      <c r="F241" s="4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x14ac:dyDescent="0.35">
      <c r="A242" s="2">
        <f>IF(ISBLANK(#REF!),"",ROW()-ROW($A$4))</f>
        <v>238</v>
      </c>
      <c r="B242" s="4"/>
      <c r="C242" s="4"/>
      <c r="D242" s="4"/>
      <c r="E242" s="4"/>
      <c r="F242" s="4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x14ac:dyDescent="0.35">
      <c r="A243" s="2">
        <f>IF(ISBLANK(#REF!),"",ROW()-ROW($A$4))</f>
        <v>239</v>
      </c>
      <c r="B243" s="4"/>
      <c r="C243" s="4"/>
      <c r="D243" s="4"/>
      <c r="E243" s="4"/>
      <c r="F243" s="4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x14ac:dyDescent="0.35">
      <c r="A244" s="2">
        <f>IF(ISBLANK(#REF!),"",ROW()-ROW($A$4))</f>
        <v>240</v>
      </c>
      <c r="B244" s="4"/>
      <c r="C244" s="4"/>
      <c r="D244" s="4"/>
      <c r="E244" s="4"/>
      <c r="F244" s="4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x14ac:dyDescent="0.35">
      <c r="A245" s="2">
        <f>IF(ISBLANK(#REF!),"",ROW()-ROW($A$4))</f>
        <v>241</v>
      </c>
      <c r="B245" s="4"/>
      <c r="C245" s="4"/>
      <c r="D245" s="4"/>
      <c r="E245" s="4"/>
      <c r="F245" s="4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x14ac:dyDescent="0.35">
      <c r="A246" s="2">
        <f>IF(ISBLANK(#REF!),"",ROW()-ROW($A$4))</f>
        <v>242</v>
      </c>
      <c r="B246" s="4"/>
      <c r="C246" s="4"/>
      <c r="D246" s="4"/>
      <c r="E246" s="4"/>
      <c r="F246" s="4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x14ac:dyDescent="0.35">
      <c r="A247" s="2">
        <f>IF(ISBLANK(#REF!),"",ROW()-ROW($A$4))</f>
        <v>243</v>
      </c>
      <c r="B247" s="4"/>
      <c r="C247" s="4"/>
      <c r="D247" s="4"/>
      <c r="E247" s="4"/>
      <c r="F247" s="4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x14ac:dyDescent="0.35">
      <c r="A248" s="2">
        <f>IF(ISBLANK(#REF!),"",ROW()-ROW($A$4))</f>
        <v>244</v>
      </c>
      <c r="B248" s="4"/>
      <c r="C248" s="4"/>
      <c r="D248" s="4"/>
      <c r="E248" s="4"/>
      <c r="F248" s="4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x14ac:dyDescent="0.35">
      <c r="A249" s="2">
        <f>IF(ISBLANK(#REF!),"",ROW()-ROW($A$4))</f>
        <v>245</v>
      </c>
      <c r="B249" s="4"/>
      <c r="C249" s="4"/>
      <c r="D249" s="4"/>
      <c r="E249" s="4"/>
      <c r="F249" s="4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x14ac:dyDescent="0.35">
      <c r="A250" s="2">
        <f>IF(ISBLANK(#REF!),"",ROW()-ROW($A$4))</f>
        <v>246</v>
      </c>
      <c r="B250" s="4"/>
      <c r="C250" s="4"/>
      <c r="D250" s="4"/>
      <c r="E250" s="4"/>
      <c r="F250" s="4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x14ac:dyDescent="0.35">
      <c r="A251" s="2">
        <f>IF(ISBLANK(#REF!),"",ROW()-ROW($A$4))</f>
        <v>247</v>
      </c>
      <c r="B251" s="4"/>
      <c r="C251" s="4"/>
      <c r="D251" s="4"/>
      <c r="E251" s="4"/>
      <c r="F251" s="4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x14ac:dyDescent="0.35">
      <c r="A252" s="2">
        <f>IF(ISBLANK(#REF!),"",ROW()-ROW($A$4))</f>
        <v>248</v>
      </c>
      <c r="B252" s="4"/>
      <c r="C252" s="4"/>
      <c r="D252" s="4"/>
      <c r="E252" s="4"/>
      <c r="F252" s="4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x14ac:dyDescent="0.35">
      <c r="A253" s="2">
        <f>IF(ISBLANK(#REF!),"",ROW()-ROW($A$4))</f>
        <v>249</v>
      </c>
      <c r="B253" s="4"/>
      <c r="C253" s="4"/>
      <c r="D253" s="4"/>
      <c r="E253" s="4"/>
      <c r="F253" s="4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x14ac:dyDescent="0.35">
      <c r="A254" s="2">
        <f>IF(ISBLANK(#REF!),"",ROW()-ROW($A$4))</f>
        <v>250</v>
      </c>
      <c r="B254" s="4"/>
      <c r="C254" s="4"/>
      <c r="D254" s="4"/>
      <c r="E254" s="4"/>
      <c r="F254" s="4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x14ac:dyDescent="0.35">
      <c r="A255" s="2">
        <f>IF(ISBLANK(#REF!),"",ROW()-ROW($A$4))</f>
        <v>251</v>
      </c>
      <c r="B255" s="4"/>
      <c r="C255" s="4"/>
      <c r="D255" s="4"/>
      <c r="E255" s="4"/>
      <c r="F255" s="4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x14ac:dyDescent="0.35">
      <c r="A256" s="2">
        <f>IF(ISBLANK(#REF!),"",ROW()-ROW($A$4))</f>
        <v>252</v>
      </c>
      <c r="B256" s="4"/>
      <c r="C256" s="4"/>
      <c r="D256" s="4"/>
      <c r="E256" s="4"/>
      <c r="F256" s="4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x14ac:dyDescent="0.35">
      <c r="A257" s="2">
        <f>IF(ISBLANK(#REF!),"",ROW()-ROW($A$4))</f>
        <v>253</v>
      </c>
      <c r="B257" s="4"/>
      <c r="C257" s="4"/>
      <c r="D257" s="4"/>
      <c r="E257" s="4"/>
      <c r="F257" s="4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x14ac:dyDescent="0.35">
      <c r="A258" s="2">
        <f>IF(ISBLANK(#REF!),"",ROW()-ROW($A$4))</f>
        <v>254</v>
      </c>
      <c r="B258" s="4"/>
      <c r="C258" s="4"/>
      <c r="D258" s="4"/>
      <c r="E258" s="4"/>
      <c r="F258" s="4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x14ac:dyDescent="0.35">
      <c r="A259" s="2">
        <f>IF(ISBLANK(#REF!),"",ROW()-ROW($A$4))</f>
        <v>255</v>
      </c>
      <c r="B259" s="4"/>
      <c r="C259" s="4"/>
      <c r="D259" s="4"/>
      <c r="E259" s="4"/>
      <c r="F259" s="4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x14ac:dyDescent="0.35">
      <c r="A260" s="2">
        <f>IF(ISBLANK(#REF!),"",ROW()-ROW($A$4))</f>
        <v>256</v>
      </c>
      <c r="B260" s="4"/>
      <c r="C260" s="4"/>
      <c r="D260" s="4"/>
      <c r="E260" s="4"/>
      <c r="F260" s="4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x14ac:dyDescent="0.35">
      <c r="A261" s="2">
        <f>IF(ISBLANK(#REF!),"",ROW()-ROW($A$4))</f>
        <v>257</v>
      </c>
      <c r="B261" s="4"/>
      <c r="C261" s="4"/>
      <c r="D261" s="4"/>
      <c r="E261" s="4"/>
      <c r="F261" s="4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x14ac:dyDescent="0.35">
      <c r="A262" s="2">
        <f>IF(ISBLANK(#REF!),"",ROW()-ROW($A$4))</f>
        <v>258</v>
      </c>
      <c r="B262" s="4"/>
      <c r="C262" s="4"/>
      <c r="D262" s="4"/>
      <c r="E262" s="4"/>
      <c r="F262" s="4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x14ac:dyDescent="0.35">
      <c r="A263" s="2">
        <f>IF(ISBLANK(#REF!),"",ROW()-ROW($A$4))</f>
        <v>259</v>
      </c>
      <c r="B263" s="4"/>
      <c r="C263" s="4"/>
      <c r="D263" s="4"/>
      <c r="E263" s="4"/>
      <c r="F263" s="4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x14ac:dyDescent="0.35">
      <c r="A264" s="2">
        <f>IF(ISBLANK(#REF!),"",ROW()-ROW($A$4))</f>
        <v>260</v>
      </c>
      <c r="B264" s="4"/>
      <c r="C264" s="4"/>
      <c r="D264" s="4"/>
      <c r="E264" s="4"/>
      <c r="F264" s="4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x14ac:dyDescent="0.35">
      <c r="A265" s="2">
        <f>IF(ISBLANK(#REF!),"",ROW()-ROW($A$4))</f>
        <v>261</v>
      </c>
      <c r="B265" s="4"/>
      <c r="C265" s="4"/>
      <c r="D265" s="4"/>
      <c r="E265" s="4"/>
      <c r="F265" s="4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x14ac:dyDescent="0.35">
      <c r="A266" s="2">
        <f>IF(ISBLANK(#REF!),"",ROW()-ROW($A$4))</f>
        <v>262</v>
      </c>
      <c r="B266" s="4"/>
      <c r="C266" s="4"/>
      <c r="D266" s="4"/>
      <c r="E266" s="4"/>
      <c r="F266" s="4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</sheetData>
  <mergeCells count="3">
    <mergeCell ref="B2:L3"/>
    <mergeCell ref="B22:B23"/>
    <mergeCell ref="B97:D97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657C-F493-434B-B9FB-1DEC1E9CB748}">
  <dimension ref="A1:O17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17" sqref="I17"/>
    </sheetView>
  </sheetViews>
  <sheetFormatPr defaultRowHeight="15" customHeight="1" x14ac:dyDescent="0.35"/>
  <cols>
    <col min="2" max="2" width="15.453125" customWidth="1"/>
    <col min="3" max="3" width="10.81640625" bestFit="1" customWidth="1"/>
    <col min="4" max="4" width="8.81640625" bestFit="1" customWidth="1"/>
    <col min="5" max="5" width="9.81640625" bestFit="1" customWidth="1"/>
    <col min="6" max="6" width="9" bestFit="1" customWidth="1"/>
    <col min="7" max="7" width="10.81640625" bestFit="1" customWidth="1"/>
    <col min="8" max="8" width="9" bestFit="1" customWidth="1"/>
    <col min="9" max="9" width="10.81640625" bestFit="1" customWidth="1"/>
    <col min="10" max="10" width="11.26953125" bestFit="1" customWidth="1"/>
    <col min="11" max="11" width="10.81640625" bestFit="1" customWidth="1"/>
    <col min="12" max="13" width="9.81640625" bestFit="1" customWidth="1"/>
    <col min="14" max="14" width="10" customWidth="1"/>
    <col min="15" max="15" width="10.81640625" bestFit="1" customWidth="1"/>
    <col min="16" max="16" width="16.81640625" customWidth="1"/>
  </cols>
  <sheetData>
    <row r="1" spans="1:15" ht="15" customHeight="1" x14ac:dyDescent="0.35">
      <c r="A1" s="423" t="s">
        <v>298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5"/>
    </row>
    <row r="2" spans="1:15" ht="15" customHeight="1" thickBot="1" x14ac:dyDescent="0.4">
      <c r="A2" s="426"/>
      <c r="B2" s="427"/>
      <c r="C2" s="427"/>
      <c r="D2" s="427"/>
      <c r="E2" s="427"/>
      <c r="F2" s="428"/>
      <c r="G2" s="428"/>
      <c r="H2" s="428"/>
      <c r="I2" s="428"/>
      <c r="J2" s="428"/>
      <c r="K2" s="428"/>
      <c r="L2" s="428"/>
      <c r="M2" s="428"/>
      <c r="N2" s="428"/>
      <c r="O2" s="429"/>
    </row>
    <row r="3" spans="1:15" ht="15" customHeight="1" x14ac:dyDescent="0.35">
      <c r="A3" s="432" t="s">
        <v>299</v>
      </c>
      <c r="B3" s="434" t="s">
        <v>300</v>
      </c>
      <c r="C3" s="436" t="s">
        <v>301</v>
      </c>
      <c r="D3" s="438" t="s">
        <v>302</v>
      </c>
      <c r="E3" s="438"/>
      <c r="F3" s="430" t="s">
        <v>303</v>
      </c>
      <c r="G3" s="431"/>
      <c r="H3" s="430" t="s">
        <v>6</v>
      </c>
      <c r="I3" s="431"/>
      <c r="J3" s="430" t="s">
        <v>64</v>
      </c>
      <c r="K3" s="431"/>
      <c r="L3" s="430" t="s">
        <v>304</v>
      </c>
      <c r="M3" s="431"/>
      <c r="N3" s="416" t="s">
        <v>63</v>
      </c>
      <c r="O3" s="417"/>
    </row>
    <row r="4" spans="1:15" ht="14.5" x14ac:dyDescent="0.35">
      <c r="A4" s="433"/>
      <c r="B4" s="435"/>
      <c r="C4" s="437"/>
      <c r="D4" s="191" t="s">
        <v>305</v>
      </c>
      <c r="E4" s="191" t="s">
        <v>306</v>
      </c>
      <c r="F4" s="190" t="s">
        <v>305</v>
      </c>
      <c r="G4" s="175" t="s">
        <v>306</v>
      </c>
      <c r="H4" s="175" t="s">
        <v>305</v>
      </c>
      <c r="I4" s="175" t="s">
        <v>306</v>
      </c>
      <c r="J4" s="175" t="s">
        <v>305</v>
      </c>
      <c r="K4" s="175" t="s">
        <v>306</v>
      </c>
      <c r="L4" s="175" t="s">
        <v>305</v>
      </c>
      <c r="M4" s="175" t="s">
        <v>306</v>
      </c>
      <c r="N4" s="176" t="s">
        <v>305</v>
      </c>
      <c r="O4" s="176" t="s">
        <v>306</v>
      </c>
    </row>
    <row r="5" spans="1:15" ht="24.75" customHeight="1" x14ac:dyDescent="0.35">
      <c r="A5" s="186">
        <v>16238</v>
      </c>
      <c r="B5" s="439" t="s">
        <v>112</v>
      </c>
      <c r="C5" s="189" t="s">
        <v>307</v>
      </c>
      <c r="D5" s="192">
        <v>0</v>
      </c>
      <c r="E5" s="192">
        <v>0</v>
      </c>
      <c r="F5" s="192">
        <v>0</v>
      </c>
      <c r="G5" s="192">
        <v>0</v>
      </c>
      <c r="H5" s="177">
        <v>279</v>
      </c>
      <c r="I5" s="177">
        <v>0</v>
      </c>
      <c r="J5" s="184">
        <v>1604</v>
      </c>
      <c r="K5" s="185">
        <v>0</v>
      </c>
      <c r="L5" s="183"/>
      <c r="M5" s="183">
        <v>0</v>
      </c>
      <c r="N5" s="182">
        <f>D5+F5+H5+J5+L5</f>
        <v>1883</v>
      </c>
      <c r="O5" s="182">
        <f>E5+G5+I5+K5+M5</f>
        <v>0</v>
      </c>
    </row>
    <row r="6" spans="1:15" ht="24.75" customHeight="1" x14ac:dyDescent="0.35">
      <c r="A6" s="186">
        <v>16239</v>
      </c>
      <c r="B6" s="440"/>
      <c r="C6" s="189" t="s">
        <v>244</v>
      </c>
      <c r="D6" s="192">
        <v>0</v>
      </c>
      <c r="E6" s="192">
        <v>0</v>
      </c>
      <c r="F6" s="192">
        <v>699</v>
      </c>
      <c r="G6" s="192">
        <v>4996</v>
      </c>
      <c r="H6" s="177">
        <v>0</v>
      </c>
      <c r="I6" s="177">
        <v>4825</v>
      </c>
      <c r="J6" s="178">
        <v>13291</v>
      </c>
      <c r="K6" s="179">
        <v>0</v>
      </c>
      <c r="L6" s="177"/>
      <c r="M6" s="177">
        <v>0</v>
      </c>
      <c r="N6" s="182">
        <f t="shared" ref="N6:N15" si="0">D6+F6+H6+J6+L6</f>
        <v>13990</v>
      </c>
      <c r="O6" s="182">
        <f t="shared" ref="O6:O15" si="1">E6+G6+I6+K6+M6</f>
        <v>9821</v>
      </c>
    </row>
    <row r="7" spans="1:15" ht="24.75" customHeight="1" x14ac:dyDescent="0.35">
      <c r="A7" s="186">
        <v>92798</v>
      </c>
      <c r="B7" s="440"/>
      <c r="C7" s="189" t="s">
        <v>113</v>
      </c>
      <c r="D7" s="192">
        <v>0</v>
      </c>
      <c r="E7" s="192">
        <v>0</v>
      </c>
      <c r="F7" s="192">
        <v>0</v>
      </c>
      <c r="G7" s="192">
        <v>7102</v>
      </c>
      <c r="H7" s="177">
        <v>0</v>
      </c>
      <c r="I7" s="177">
        <v>1037</v>
      </c>
      <c r="J7" s="178">
        <v>0</v>
      </c>
      <c r="K7" s="179">
        <v>13331</v>
      </c>
      <c r="L7" s="177"/>
      <c r="M7" s="177"/>
      <c r="N7" s="182">
        <f t="shared" si="0"/>
        <v>0</v>
      </c>
      <c r="O7" s="182">
        <f t="shared" si="1"/>
        <v>21470</v>
      </c>
    </row>
    <row r="8" spans="1:15" ht="24.75" customHeight="1" x14ac:dyDescent="0.35">
      <c r="A8" s="186">
        <v>16240</v>
      </c>
      <c r="B8" s="440"/>
      <c r="C8" s="189" t="s">
        <v>242</v>
      </c>
      <c r="D8" s="192">
        <v>0</v>
      </c>
      <c r="E8" s="192">
        <v>0</v>
      </c>
      <c r="F8" s="192">
        <v>0</v>
      </c>
      <c r="G8" s="192">
        <v>5683</v>
      </c>
      <c r="H8" s="177">
        <v>0</v>
      </c>
      <c r="I8" s="177">
        <v>0</v>
      </c>
      <c r="J8" s="180">
        <v>18221</v>
      </c>
      <c r="K8" s="179">
        <v>0</v>
      </c>
      <c r="L8" s="177"/>
      <c r="M8" s="177"/>
      <c r="N8" s="182">
        <f t="shared" si="0"/>
        <v>18221</v>
      </c>
      <c r="O8" s="182">
        <f t="shared" si="1"/>
        <v>5683</v>
      </c>
    </row>
    <row r="9" spans="1:15" ht="24.75" customHeight="1" x14ac:dyDescent="0.35">
      <c r="A9" s="186">
        <v>92795</v>
      </c>
      <c r="B9" s="441"/>
      <c r="C9" s="189" t="s">
        <v>308</v>
      </c>
      <c r="D9" s="192">
        <v>0</v>
      </c>
      <c r="E9" s="192">
        <v>0</v>
      </c>
      <c r="F9" s="192">
        <v>0</v>
      </c>
      <c r="G9" s="192">
        <v>4790</v>
      </c>
      <c r="H9" s="177">
        <v>0</v>
      </c>
      <c r="I9" s="177">
        <v>0</v>
      </c>
      <c r="J9" s="180"/>
      <c r="K9" s="179"/>
      <c r="L9" s="177"/>
      <c r="M9" s="177"/>
      <c r="N9" s="182"/>
      <c r="O9" s="182"/>
    </row>
    <row r="10" spans="1:15" ht="24.75" customHeight="1" x14ac:dyDescent="0.35">
      <c r="A10" s="101">
        <v>35440</v>
      </c>
      <c r="B10" s="418" t="s">
        <v>88</v>
      </c>
      <c r="C10" s="171" t="s">
        <v>244</v>
      </c>
      <c r="D10" s="192">
        <v>0</v>
      </c>
      <c r="E10" s="192">
        <v>0</v>
      </c>
      <c r="F10" s="192">
        <v>836</v>
      </c>
      <c r="G10" s="192">
        <v>0</v>
      </c>
      <c r="H10" s="177">
        <v>0</v>
      </c>
      <c r="I10" s="177">
        <v>0</v>
      </c>
      <c r="J10" s="193">
        <v>1231</v>
      </c>
      <c r="K10" s="179">
        <v>3631</v>
      </c>
      <c r="L10" s="177"/>
      <c r="M10" s="177"/>
      <c r="N10" s="182">
        <f t="shared" si="0"/>
        <v>2067</v>
      </c>
      <c r="O10" s="182">
        <f t="shared" si="1"/>
        <v>3631</v>
      </c>
    </row>
    <row r="11" spans="1:15" ht="24.75" customHeight="1" x14ac:dyDescent="0.35">
      <c r="A11" s="168">
        <v>92493</v>
      </c>
      <c r="B11" s="418"/>
      <c r="C11" s="171" t="s">
        <v>244</v>
      </c>
      <c r="D11" s="192">
        <v>0</v>
      </c>
      <c r="E11" s="192">
        <v>0</v>
      </c>
      <c r="F11" s="192">
        <v>5190</v>
      </c>
      <c r="G11" s="192">
        <v>5899</v>
      </c>
      <c r="H11" s="177">
        <v>0</v>
      </c>
      <c r="I11" s="177">
        <v>0</v>
      </c>
      <c r="J11" s="180"/>
      <c r="K11" s="179"/>
      <c r="L11" s="177"/>
      <c r="M11" s="177"/>
      <c r="N11" s="182"/>
      <c r="O11" s="182"/>
    </row>
    <row r="12" spans="1:15" ht="31.5" customHeight="1" x14ac:dyDescent="0.35">
      <c r="A12" s="186">
        <v>56655</v>
      </c>
      <c r="B12" s="419"/>
      <c r="C12" s="171" t="s">
        <v>242</v>
      </c>
      <c r="D12" s="192">
        <v>0</v>
      </c>
      <c r="E12" s="192">
        <v>0</v>
      </c>
      <c r="F12" s="192">
        <v>2036</v>
      </c>
      <c r="G12" s="192">
        <v>6759</v>
      </c>
      <c r="H12" s="177">
        <v>0</v>
      </c>
      <c r="I12" s="177">
        <v>0</v>
      </c>
      <c r="J12" s="180">
        <v>1785</v>
      </c>
      <c r="K12" s="179">
        <v>0</v>
      </c>
      <c r="L12" s="177"/>
      <c r="M12" s="177">
        <v>0</v>
      </c>
      <c r="N12" s="182">
        <f t="shared" si="0"/>
        <v>3821</v>
      </c>
      <c r="O12" s="182">
        <f t="shared" si="1"/>
        <v>6759</v>
      </c>
    </row>
    <row r="13" spans="1:15" ht="31.5" customHeight="1" x14ac:dyDescent="0.35">
      <c r="A13" s="188">
        <v>81636</v>
      </c>
      <c r="B13" s="187"/>
      <c r="C13" s="172" t="s">
        <v>242</v>
      </c>
      <c r="D13" s="192">
        <v>0</v>
      </c>
      <c r="E13" s="192">
        <v>0</v>
      </c>
      <c r="F13" s="192"/>
      <c r="G13" s="192"/>
      <c r="H13" s="177"/>
      <c r="I13" s="177"/>
      <c r="J13" s="180"/>
      <c r="K13" s="179"/>
      <c r="L13" s="177"/>
      <c r="M13" s="177"/>
      <c r="N13" s="182"/>
      <c r="O13" s="182"/>
    </row>
    <row r="14" spans="1:15" ht="31.5" customHeight="1" x14ac:dyDescent="0.35">
      <c r="A14" s="170">
        <v>59703</v>
      </c>
      <c r="B14" s="170" t="s">
        <v>309</v>
      </c>
      <c r="C14" s="173" t="s">
        <v>310</v>
      </c>
      <c r="D14" s="192">
        <v>0</v>
      </c>
      <c r="E14" s="192">
        <v>0</v>
      </c>
      <c r="F14" s="192">
        <v>141</v>
      </c>
      <c r="G14" s="192">
        <v>5500</v>
      </c>
      <c r="H14" s="177">
        <v>63</v>
      </c>
      <c r="I14" s="177">
        <v>500</v>
      </c>
      <c r="J14" s="180">
        <v>1945</v>
      </c>
      <c r="K14" s="179">
        <v>2000</v>
      </c>
      <c r="L14" s="177"/>
      <c r="M14" s="177"/>
      <c r="N14" s="182">
        <f t="shared" si="0"/>
        <v>2149</v>
      </c>
      <c r="O14" s="182">
        <f t="shared" si="1"/>
        <v>8000</v>
      </c>
    </row>
    <row r="15" spans="1:15" ht="31.5" customHeight="1" x14ac:dyDescent="0.35">
      <c r="A15" s="169">
        <v>59704</v>
      </c>
      <c r="B15" s="170" t="s">
        <v>309</v>
      </c>
      <c r="C15" s="174" t="s">
        <v>311</v>
      </c>
      <c r="D15" s="192">
        <v>0</v>
      </c>
      <c r="E15" s="192">
        <v>0</v>
      </c>
      <c r="F15" s="192">
        <v>180</v>
      </c>
      <c r="G15" s="192">
        <v>10000</v>
      </c>
      <c r="H15" s="177">
        <v>0</v>
      </c>
      <c r="I15" s="177">
        <v>0</v>
      </c>
      <c r="J15" s="180">
        <v>1238</v>
      </c>
      <c r="K15" s="179">
        <v>0</v>
      </c>
      <c r="L15" s="177"/>
      <c r="M15" s="177"/>
      <c r="N15" s="182">
        <f t="shared" si="0"/>
        <v>1418</v>
      </c>
      <c r="O15" s="182">
        <f t="shared" si="1"/>
        <v>10000</v>
      </c>
    </row>
    <row r="16" spans="1:15" ht="23.25" customHeight="1" thickBot="1" x14ac:dyDescent="0.4">
      <c r="A16" s="420" t="s">
        <v>63</v>
      </c>
      <c r="B16" s="421"/>
      <c r="C16" s="422"/>
      <c r="D16" s="181">
        <f>SUM(D5:D15)</f>
        <v>0</v>
      </c>
      <c r="E16" s="181">
        <f t="shared" ref="E16:O16" si="2">SUM(E5:E15)</f>
        <v>0</v>
      </c>
      <c r="F16" s="181">
        <f t="shared" si="2"/>
        <v>9082</v>
      </c>
      <c r="G16" s="181">
        <f t="shared" si="2"/>
        <v>50729</v>
      </c>
      <c r="H16" s="181">
        <f t="shared" si="2"/>
        <v>342</v>
      </c>
      <c r="I16" s="181">
        <f t="shared" si="2"/>
        <v>6362</v>
      </c>
      <c r="J16" s="181">
        <f t="shared" si="2"/>
        <v>39315</v>
      </c>
      <c r="K16" s="181">
        <f t="shared" si="2"/>
        <v>18962</v>
      </c>
      <c r="L16" s="181">
        <f t="shared" si="2"/>
        <v>0</v>
      </c>
      <c r="M16" s="181">
        <f t="shared" si="2"/>
        <v>0</v>
      </c>
      <c r="N16" s="181">
        <f t="shared" si="2"/>
        <v>43549</v>
      </c>
      <c r="O16" s="181">
        <f t="shared" si="2"/>
        <v>65364</v>
      </c>
    </row>
    <row r="17" ht="14.5" x14ac:dyDescent="0.35"/>
  </sheetData>
  <mergeCells count="13">
    <mergeCell ref="N3:O3"/>
    <mergeCell ref="B10:B12"/>
    <mergeCell ref="A16:C16"/>
    <mergeCell ref="A1:O2"/>
    <mergeCell ref="J3:K3"/>
    <mergeCell ref="L3:M3"/>
    <mergeCell ref="A3:A4"/>
    <mergeCell ref="B3:B4"/>
    <mergeCell ref="C3:C4"/>
    <mergeCell ref="D3:E3"/>
    <mergeCell ref="F3:G3"/>
    <mergeCell ref="H3:I3"/>
    <mergeCell ref="B5:B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6C94-28B0-44C0-9970-483F05EF621A}">
  <dimension ref="A1:M14"/>
  <sheetViews>
    <sheetView workbookViewId="0">
      <selection activeCell="C12" sqref="C12"/>
    </sheetView>
  </sheetViews>
  <sheetFormatPr defaultRowHeight="14.5" x14ac:dyDescent="0.35"/>
  <sheetData>
    <row r="1" spans="1:13" ht="29.25" customHeight="1" x14ac:dyDescent="0.35">
      <c r="A1" s="459" t="s">
        <v>312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</row>
    <row r="2" spans="1:13" ht="18" customHeight="1" x14ac:dyDescent="0.35">
      <c r="A2" s="442" t="s">
        <v>313</v>
      </c>
      <c r="B2" s="443"/>
      <c r="C2" s="469"/>
      <c r="D2" s="470"/>
      <c r="E2" s="470"/>
      <c r="F2" s="470"/>
      <c r="G2" s="470"/>
      <c r="H2" s="470"/>
      <c r="I2" s="470"/>
      <c r="J2" s="470"/>
      <c r="K2" s="470"/>
      <c r="L2" s="470"/>
      <c r="M2" s="471"/>
    </row>
    <row r="3" spans="1:13" ht="18" customHeight="1" x14ac:dyDescent="0.35">
      <c r="A3" s="444"/>
      <c r="B3" s="445"/>
      <c r="C3" s="460"/>
      <c r="D3" s="461"/>
      <c r="E3" s="461"/>
      <c r="F3" s="461"/>
      <c r="G3" s="461"/>
      <c r="H3" s="461"/>
      <c r="I3" s="461"/>
      <c r="J3" s="461"/>
      <c r="K3" s="461"/>
      <c r="L3" s="461"/>
      <c r="M3" s="462"/>
    </row>
    <row r="4" spans="1:13" ht="18" customHeight="1" x14ac:dyDescent="0.35">
      <c r="A4" s="446"/>
      <c r="B4" s="447"/>
      <c r="C4" s="463"/>
      <c r="D4" s="464"/>
      <c r="E4" s="464"/>
      <c r="F4" s="464"/>
      <c r="G4" s="464"/>
      <c r="H4" s="464"/>
      <c r="I4" s="464"/>
      <c r="J4" s="464"/>
      <c r="K4" s="464"/>
      <c r="L4" s="464"/>
      <c r="M4" s="465"/>
    </row>
    <row r="5" spans="1:13" ht="18" customHeight="1" x14ac:dyDescent="0.35">
      <c r="A5" s="442" t="s">
        <v>314</v>
      </c>
      <c r="B5" s="443"/>
      <c r="C5" s="466" t="s">
        <v>315</v>
      </c>
      <c r="D5" s="467"/>
      <c r="E5" s="467"/>
      <c r="F5" s="467"/>
      <c r="G5" s="467"/>
      <c r="H5" s="467"/>
      <c r="I5" s="467"/>
      <c r="J5" s="467"/>
      <c r="K5" s="467"/>
      <c r="L5" s="467"/>
      <c r="M5" s="468"/>
    </row>
    <row r="6" spans="1:13" ht="18" customHeight="1" x14ac:dyDescent="0.35">
      <c r="A6" s="444"/>
      <c r="B6" s="445"/>
      <c r="C6" s="460"/>
      <c r="D6" s="461"/>
      <c r="E6" s="461"/>
      <c r="F6" s="461"/>
      <c r="G6" s="461"/>
      <c r="H6" s="461"/>
      <c r="I6" s="461"/>
      <c r="J6" s="461"/>
      <c r="K6" s="461"/>
      <c r="L6" s="461"/>
      <c r="M6" s="462"/>
    </row>
    <row r="7" spans="1:13" ht="18" customHeight="1" x14ac:dyDescent="0.35">
      <c r="A7" s="446"/>
      <c r="B7" s="447"/>
      <c r="C7" s="463"/>
      <c r="D7" s="464"/>
      <c r="E7" s="464"/>
      <c r="F7" s="464"/>
      <c r="G7" s="464"/>
      <c r="H7" s="464"/>
      <c r="I7" s="464"/>
      <c r="J7" s="464"/>
      <c r="K7" s="464"/>
      <c r="L7" s="464"/>
      <c r="M7" s="465"/>
    </row>
    <row r="8" spans="1:13" ht="18" customHeight="1" x14ac:dyDescent="0.35">
      <c r="A8" s="442" t="s">
        <v>316</v>
      </c>
      <c r="B8" s="443"/>
      <c r="C8" s="450"/>
      <c r="D8" s="451"/>
      <c r="E8" s="451"/>
      <c r="F8" s="451"/>
      <c r="G8" s="451"/>
      <c r="H8" s="451"/>
      <c r="I8" s="451"/>
      <c r="J8" s="451"/>
      <c r="K8" s="451"/>
      <c r="L8" s="451"/>
      <c r="M8" s="452"/>
    </row>
    <row r="9" spans="1:13" ht="18" customHeight="1" x14ac:dyDescent="0.35">
      <c r="A9" s="444"/>
      <c r="B9" s="445"/>
      <c r="C9" s="460"/>
      <c r="D9" s="461"/>
      <c r="E9" s="461"/>
      <c r="F9" s="461"/>
      <c r="G9" s="461"/>
      <c r="H9" s="461"/>
      <c r="I9" s="461"/>
      <c r="J9" s="461"/>
      <c r="K9" s="461"/>
      <c r="L9" s="461"/>
      <c r="M9" s="462"/>
    </row>
    <row r="10" spans="1:13" ht="18" customHeight="1" x14ac:dyDescent="0.35">
      <c r="A10" s="446"/>
      <c r="B10" s="447"/>
      <c r="C10" s="463"/>
      <c r="D10" s="464"/>
      <c r="E10" s="464"/>
      <c r="F10" s="464"/>
      <c r="G10" s="464"/>
      <c r="H10" s="464"/>
      <c r="I10" s="464"/>
      <c r="J10" s="464"/>
      <c r="K10" s="464"/>
      <c r="L10" s="464"/>
      <c r="M10" s="465"/>
    </row>
    <row r="11" spans="1:13" ht="18" customHeight="1" x14ac:dyDescent="0.35">
      <c r="A11" s="442" t="s">
        <v>317</v>
      </c>
      <c r="B11" s="443"/>
      <c r="C11" s="450"/>
      <c r="D11" s="451"/>
      <c r="E11" s="451"/>
      <c r="F11" s="451"/>
      <c r="G11" s="451"/>
      <c r="H11" s="451"/>
      <c r="I11" s="451"/>
      <c r="J11" s="451"/>
      <c r="K11" s="451"/>
      <c r="L11" s="451"/>
      <c r="M11" s="452"/>
    </row>
    <row r="12" spans="1:13" ht="18" customHeight="1" x14ac:dyDescent="0.35">
      <c r="A12" s="444"/>
      <c r="B12" s="445"/>
      <c r="C12" s="453"/>
      <c r="D12" s="454"/>
      <c r="E12" s="454"/>
      <c r="F12" s="454"/>
      <c r="G12" s="454"/>
      <c r="H12" s="454"/>
      <c r="I12" s="454"/>
      <c r="J12" s="454"/>
      <c r="K12" s="454"/>
      <c r="L12" s="454"/>
      <c r="M12" s="455"/>
    </row>
    <row r="13" spans="1:13" ht="18" customHeight="1" x14ac:dyDescent="0.35">
      <c r="A13" s="448"/>
      <c r="B13" s="449"/>
      <c r="C13" s="456"/>
      <c r="D13" s="457"/>
      <c r="E13" s="457"/>
      <c r="F13" s="457"/>
      <c r="G13" s="457"/>
      <c r="H13" s="457"/>
      <c r="I13" s="457"/>
      <c r="J13" s="457"/>
      <c r="K13" s="457"/>
      <c r="L13" s="457"/>
      <c r="M13" s="458"/>
    </row>
    <row r="14" spans="1:13" ht="18" customHeight="1" x14ac:dyDescent="0.35"/>
  </sheetData>
  <mergeCells count="17">
    <mergeCell ref="A1:M1"/>
    <mergeCell ref="A8:B10"/>
    <mergeCell ref="C8:M8"/>
    <mergeCell ref="C9:M9"/>
    <mergeCell ref="C10:M10"/>
    <mergeCell ref="A5:B7"/>
    <mergeCell ref="C5:M5"/>
    <mergeCell ref="C6:M6"/>
    <mergeCell ref="C7:M7"/>
    <mergeCell ref="C2:M2"/>
    <mergeCell ref="C3:M3"/>
    <mergeCell ref="C4:M4"/>
    <mergeCell ref="A2:B4"/>
    <mergeCell ref="A11:B13"/>
    <mergeCell ref="C11:M11"/>
    <mergeCell ref="C12:M12"/>
    <mergeCell ref="C13:M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00ED-8185-4F26-B3EA-919C54217FB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FE96-2F7E-456F-815C-626203D272ED}">
  <dimension ref="A1:Q21"/>
  <sheetViews>
    <sheetView showGridLines="0" workbookViewId="0">
      <selection activeCell="F10" sqref="F10"/>
    </sheetView>
  </sheetViews>
  <sheetFormatPr defaultRowHeight="14.5" x14ac:dyDescent="0.35"/>
  <cols>
    <col min="4" max="4" width="11.26953125" customWidth="1"/>
    <col min="5" max="5" width="11" customWidth="1"/>
    <col min="7" max="7" width="11.81640625" customWidth="1"/>
    <col min="9" max="9" width="10" customWidth="1"/>
    <col min="10" max="10" width="10.7265625" customWidth="1"/>
    <col min="12" max="12" width="10.54296875" customWidth="1"/>
    <col min="14" max="14" width="13.54296875" customWidth="1"/>
    <col min="17" max="17" width="12.81640625" customWidth="1"/>
  </cols>
  <sheetData>
    <row r="1" spans="1:17" x14ac:dyDescent="0.35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7" ht="13.5" customHeight="1" x14ac:dyDescent="0.3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</row>
    <row r="3" spans="1:17" ht="21" customHeight="1" x14ac:dyDescent="0.35">
      <c r="A3" s="78"/>
      <c r="B3" s="475" t="s">
        <v>318</v>
      </c>
      <c r="C3" s="476"/>
      <c r="D3" s="476"/>
      <c r="E3" s="476"/>
      <c r="F3" s="477"/>
      <c r="G3" s="78"/>
      <c r="H3" s="78"/>
      <c r="I3" s="78"/>
      <c r="J3" s="78"/>
      <c r="K3" s="78"/>
    </row>
    <row r="4" spans="1:17" ht="24" customHeight="1" x14ac:dyDescent="0.35">
      <c r="A4" s="78"/>
      <c r="B4" s="479" t="s">
        <v>319</v>
      </c>
      <c r="C4" s="473" t="s">
        <v>320</v>
      </c>
      <c r="D4" s="473"/>
      <c r="E4" s="473"/>
      <c r="F4" s="473" t="s">
        <v>321</v>
      </c>
      <c r="G4" s="473"/>
      <c r="H4" s="473"/>
      <c r="I4" s="473" t="s">
        <v>322</v>
      </c>
      <c r="J4" s="473"/>
      <c r="K4" s="478"/>
      <c r="L4" s="472" t="s">
        <v>323</v>
      </c>
      <c r="M4" s="473"/>
      <c r="N4" s="474"/>
      <c r="O4" s="472" t="s">
        <v>324</v>
      </c>
      <c r="P4" s="473"/>
      <c r="Q4" s="474"/>
    </row>
    <row r="5" spans="1:17" ht="34.5" customHeight="1" thickBot="1" x14ac:dyDescent="0.4">
      <c r="A5" s="78"/>
      <c r="B5" s="480"/>
      <c r="C5" s="82" t="s">
        <v>325</v>
      </c>
      <c r="D5" s="82" t="s">
        <v>326</v>
      </c>
      <c r="E5" s="82" t="s">
        <v>327</v>
      </c>
      <c r="F5" s="82" t="s">
        <v>325</v>
      </c>
      <c r="G5" s="82" t="s">
        <v>326</v>
      </c>
      <c r="H5" s="82" t="s">
        <v>327</v>
      </c>
      <c r="I5" s="82" t="s">
        <v>325</v>
      </c>
      <c r="J5" s="82" t="s">
        <v>326</v>
      </c>
      <c r="K5" s="98" t="s">
        <v>323</v>
      </c>
      <c r="L5" s="94" t="s">
        <v>320</v>
      </c>
      <c r="M5" s="83" t="s">
        <v>328</v>
      </c>
      <c r="N5" s="84" t="s">
        <v>322</v>
      </c>
      <c r="O5" s="94" t="s">
        <v>320</v>
      </c>
      <c r="P5" s="83" t="s">
        <v>328</v>
      </c>
      <c r="Q5" s="84" t="s">
        <v>322</v>
      </c>
    </row>
    <row r="6" spans="1:17" ht="24" customHeight="1" thickBot="1" x14ac:dyDescent="0.4">
      <c r="A6" s="78"/>
      <c r="B6" s="79" t="s">
        <v>329</v>
      </c>
      <c r="C6" s="85"/>
      <c r="D6" s="85">
        <v>8</v>
      </c>
      <c r="E6" s="88">
        <f>C6-D6+D6</f>
        <v>0</v>
      </c>
      <c r="F6" s="86"/>
      <c r="G6" s="105">
        <v>7</v>
      </c>
      <c r="H6" s="89">
        <f>F6-G6+G6</f>
        <v>0</v>
      </c>
      <c r="I6" s="107"/>
      <c r="J6" s="87">
        <v>2</v>
      </c>
      <c r="K6" s="99">
        <f>I6-J6+J6</f>
        <v>0</v>
      </c>
      <c r="L6" s="89">
        <v>0</v>
      </c>
      <c r="M6" s="89">
        <v>0</v>
      </c>
      <c r="N6" s="89">
        <f>K6</f>
        <v>0</v>
      </c>
      <c r="O6" s="110">
        <f>D6</f>
        <v>8</v>
      </c>
      <c r="P6" s="86">
        <v>0</v>
      </c>
      <c r="Q6" s="96">
        <v>0</v>
      </c>
    </row>
    <row r="7" spans="1:17" ht="25.5" customHeight="1" thickBot="1" x14ac:dyDescent="0.4">
      <c r="A7" s="78"/>
      <c r="B7" s="80" t="s">
        <v>330</v>
      </c>
      <c r="C7" s="88">
        <v>6</v>
      </c>
      <c r="D7" s="102">
        <v>0</v>
      </c>
      <c r="E7" s="88">
        <f>C7-D7+D7</f>
        <v>6</v>
      </c>
      <c r="F7" s="103">
        <v>4</v>
      </c>
      <c r="G7" s="106">
        <v>0</v>
      </c>
      <c r="H7" s="89">
        <f>F7-G7+G7</f>
        <v>4</v>
      </c>
      <c r="I7" s="108">
        <v>2</v>
      </c>
      <c r="J7" s="90">
        <v>0</v>
      </c>
      <c r="K7" s="99">
        <f>I7-J7+J7</f>
        <v>2</v>
      </c>
      <c r="L7" s="89">
        <v>6</v>
      </c>
      <c r="M7" s="89">
        <v>4</v>
      </c>
      <c r="N7" s="89">
        <f>K7</f>
        <v>2</v>
      </c>
      <c r="O7" s="110">
        <v>0</v>
      </c>
      <c r="P7" s="86">
        <v>0</v>
      </c>
      <c r="Q7" s="96">
        <v>0</v>
      </c>
    </row>
    <row r="8" spans="1:17" ht="24.75" customHeight="1" thickBot="1" x14ac:dyDescent="0.4">
      <c r="A8" s="78"/>
      <c r="B8" s="80" t="s">
        <v>331</v>
      </c>
      <c r="C8" s="88">
        <v>9</v>
      </c>
      <c r="D8" s="102">
        <v>9</v>
      </c>
      <c r="E8" s="88">
        <f>C8-D8+D8</f>
        <v>9</v>
      </c>
      <c r="F8" s="103">
        <v>15</v>
      </c>
      <c r="G8" s="106">
        <v>9</v>
      </c>
      <c r="H8" s="89">
        <f>F8-G8+G8</f>
        <v>15</v>
      </c>
      <c r="I8" s="108">
        <v>3</v>
      </c>
      <c r="J8" s="90">
        <v>3</v>
      </c>
      <c r="K8" s="99">
        <f>I8-J8+J8</f>
        <v>3</v>
      </c>
      <c r="L8" s="89">
        <f>E8</f>
        <v>9</v>
      </c>
      <c r="M8" s="89">
        <f>H8</f>
        <v>15</v>
      </c>
      <c r="N8" s="89">
        <f>K8</f>
        <v>3</v>
      </c>
      <c r="O8" s="110">
        <f>D8</f>
        <v>9</v>
      </c>
      <c r="P8" s="86">
        <f>G8</f>
        <v>9</v>
      </c>
      <c r="Q8" s="96">
        <f>J8</f>
        <v>3</v>
      </c>
    </row>
    <row r="9" spans="1:17" ht="28.5" customHeight="1" thickBot="1" x14ac:dyDescent="0.4">
      <c r="A9" s="78"/>
      <c r="B9" s="80" t="s">
        <v>332</v>
      </c>
      <c r="C9" s="88">
        <v>19</v>
      </c>
      <c r="D9" s="102">
        <v>0</v>
      </c>
      <c r="E9" s="88">
        <f>C9-D9+D9</f>
        <v>19</v>
      </c>
      <c r="F9" s="103">
        <v>27</v>
      </c>
      <c r="G9" s="106">
        <v>0</v>
      </c>
      <c r="H9" s="89">
        <f>F9-G9+G9</f>
        <v>27</v>
      </c>
      <c r="I9" s="108">
        <v>72</v>
      </c>
      <c r="J9" s="90">
        <v>0</v>
      </c>
      <c r="K9" s="99">
        <f>I9-J9+J9</f>
        <v>72</v>
      </c>
      <c r="L9" s="89">
        <f>E9</f>
        <v>19</v>
      </c>
      <c r="M9" s="89">
        <f>H9</f>
        <v>27</v>
      </c>
      <c r="N9" s="89">
        <f>K9</f>
        <v>72</v>
      </c>
      <c r="O9" s="110">
        <f>D9</f>
        <v>0</v>
      </c>
      <c r="P9" s="86">
        <f>G9</f>
        <v>0</v>
      </c>
      <c r="Q9" s="96">
        <f>J9</f>
        <v>0</v>
      </c>
    </row>
    <row r="10" spans="1:17" ht="28.5" customHeight="1" x14ac:dyDescent="0.35">
      <c r="A10" s="78"/>
      <c r="B10" s="80" t="s">
        <v>333</v>
      </c>
      <c r="C10" s="88"/>
      <c r="D10" s="88"/>
      <c r="E10" s="104">
        <f>C10-D10+D10</f>
        <v>0</v>
      </c>
      <c r="F10" s="89"/>
      <c r="G10" s="89"/>
      <c r="H10" s="109"/>
      <c r="I10" s="90"/>
      <c r="J10" s="90"/>
      <c r="K10" s="99"/>
      <c r="L10" s="89">
        <f>E10</f>
        <v>0</v>
      </c>
      <c r="M10" s="89">
        <f>H10</f>
        <v>0</v>
      </c>
      <c r="N10" s="89"/>
      <c r="O10" s="110">
        <f>D10</f>
        <v>0</v>
      </c>
      <c r="P10" s="86">
        <f>G10</f>
        <v>0</v>
      </c>
      <c r="Q10" s="96">
        <f>J10</f>
        <v>0</v>
      </c>
    </row>
    <row r="11" spans="1:17" ht="23.25" customHeight="1" x14ac:dyDescent="0.35">
      <c r="A11" s="78"/>
      <c r="B11" s="81" t="s">
        <v>63</v>
      </c>
      <c r="C11" s="92">
        <f>SUM(C6:C9)</f>
        <v>34</v>
      </c>
      <c r="D11" s="92">
        <f>SUM(D6:D9)</f>
        <v>17</v>
      </c>
      <c r="E11" s="92">
        <f>SUM(E6:E9)</f>
        <v>34</v>
      </c>
      <c r="F11" s="92">
        <f>SUM(F6:F9)</f>
        <v>46</v>
      </c>
      <c r="G11" s="92">
        <f>SUM(G6:G9)</f>
        <v>16</v>
      </c>
      <c r="H11" s="92"/>
      <c r="I11" s="92">
        <f>SUM(I6:I9)</f>
        <v>77</v>
      </c>
      <c r="J11" s="92">
        <f>SUM(J6:J9)</f>
        <v>5</v>
      </c>
      <c r="K11" s="100"/>
      <c r="L11" s="111">
        <f>SUM(L6:L9)</f>
        <v>34</v>
      </c>
      <c r="M11" s="112">
        <f>SUM(M6:M9)</f>
        <v>46</v>
      </c>
      <c r="N11" s="113"/>
      <c r="O11" s="97">
        <f t="shared" ref="O11" si="0">D11</f>
        <v>17</v>
      </c>
      <c r="P11" s="92">
        <f t="shared" ref="P11" si="1">G11</f>
        <v>16</v>
      </c>
      <c r="Q11" s="93">
        <f t="shared" ref="Q11" si="2">J11</f>
        <v>5</v>
      </c>
    </row>
    <row r="14" spans="1:17" ht="16" x14ac:dyDescent="0.35">
      <c r="B14" s="472" t="s">
        <v>334</v>
      </c>
      <c r="C14" s="473"/>
      <c r="D14" s="474"/>
    </row>
    <row r="15" spans="1:17" ht="29" x14ac:dyDescent="0.35">
      <c r="B15" s="94" t="s">
        <v>320</v>
      </c>
      <c r="C15" s="83" t="s">
        <v>328</v>
      </c>
      <c r="D15" s="84" t="s">
        <v>322</v>
      </c>
    </row>
    <row r="16" spans="1:17" x14ac:dyDescent="0.35">
      <c r="B16" s="95"/>
      <c r="C16" s="86"/>
      <c r="D16" s="96"/>
    </row>
    <row r="17" spans="2:4" x14ac:dyDescent="0.35">
      <c r="B17" s="95"/>
      <c r="C17" s="86"/>
      <c r="D17" s="96"/>
    </row>
    <row r="18" spans="2:4" x14ac:dyDescent="0.35">
      <c r="B18" s="95"/>
      <c r="C18" s="86"/>
      <c r="D18" s="96"/>
    </row>
    <row r="19" spans="2:4" x14ac:dyDescent="0.35">
      <c r="B19" s="95"/>
      <c r="C19" s="86"/>
      <c r="D19" s="96"/>
    </row>
    <row r="20" spans="2:4" x14ac:dyDescent="0.35">
      <c r="B20" s="95"/>
      <c r="C20" s="86"/>
      <c r="D20" s="91"/>
    </row>
    <row r="21" spans="2:4" x14ac:dyDescent="0.35">
      <c r="B21" s="97"/>
      <c r="C21" s="92"/>
      <c r="D21" s="93"/>
    </row>
  </sheetData>
  <mergeCells count="8">
    <mergeCell ref="O4:Q4"/>
    <mergeCell ref="B14:D14"/>
    <mergeCell ref="L4:N4"/>
    <mergeCell ref="B3:F3"/>
    <mergeCell ref="C4:E4"/>
    <mergeCell ref="F4:H4"/>
    <mergeCell ref="I4:K4"/>
    <mergeCell ref="B4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F03B47D584F44A34D88959B3C76F7" ma:contentTypeVersion="12" ma:contentTypeDescription="Create a new document." ma:contentTypeScope="" ma:versionID="3712d4d99e986a9f239b97cb84924b62">
  <xsd:schema xmlns:xsd="http://www.w3.org/2001/XMLSchema" xmlns:xs="http://www.w3.org/2001/XMLSchema" xmlns:p="http://schemas.microsoft.com/office/2006/metadata/properties" xmlns:ns2="c2ff6461-560f-42e7-8f5f-42e4cdd859a6" xmlns:ns3="abcac936-7954-4cf7-a315-52c473c0f3da" targetNamespace="http://schemas.microsoft.com/office/2006/metadata/properties" ma:root="true" ma:fieldsID="0326ba58127e128e5834301866368d5a" ns2:_="" ns3:_="">
    <xsd:import namespace="c2ff6461-560f-42e7-8f5f-42e4cdd859a6"/>
    <xsd:import namespace="abcac936-7954-4cf7-a315-52c473c0f3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ff6461-560f-42e7-8f5f-42e4cdd859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2b72aa-f2ad-421f-b636-7f0f87e2f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ac936-7954-4cf7-a315-52c473c0f3d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5bd26d8-04ad-4eea-b3be-5fec55463c4e}" ma:internalName="TaxCatchAll" ma:showField="CatchAllData" ma:web="abcac936-7954-4cf7-a315-52c473c0f3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ff6461-560f-42e7-8f5f-42e4cdd859a6">
      <Terms xmlns="http://schemas.microsoft.com/office/infopath/2007/PartnerControls"/>
    </lcf76f155ced4ddcb4097134ff3c332f>
    <TaxCatchAll xmlns="abcac936-7954-4cf7-a315-52c473c0f3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E130EE-9400-4B63-8EDC-A52FC0FE1C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ff6461-560f-42e7-8f5f-42e4cdd859a6"/>
    <ds:schemaRef ds:uri="abcac936-7954-4cf7-a315-52c473c0f3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B31DBE-0D68-4FA0-A42A-3456EC6CD2E3}">
  <ds:schemaRefs>
    <ds:schemaRef ds:uri="c2ff6461-560f-42e7-8f5f-42e4cdd859a6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bcac936-7954-4cf7-a315-52c473c0f3da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2621080-6028-4EB3-A5F6-F8EDCE98294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12M Products(CP)</vt:lpstr>
      <vt:lpstr>Sheet2</vt:lpstr>
      <vt:lpstr>Sheet1</vt:lpstr>
      <vt:lpstr>Upcoming 6M</vt:lpstr>
      <vt:lpstr>12M Product(Seed)</vt:lpstr>
      <vt:lpstr>Sales return 12 Month</vt:lpstr>
      <vt:lpstr>Old &amp; New MRP</vt:lpstr>
      <vt:lpstr>Special Note</vt:lpstr>
      <vt:lpstr>Sheet3</vt:lpstr>
      <vt:lpstr>Spillage box , Net &amp; FE</vt:lpstr>
      <vt:lpstr>'12M Products(CP)'!Print_Area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Islam Taupiqul BDBG</dc:creator>
  <cp:keywords/>
  <dc:description/>
  <cp:lastModifiedBy>Hoque Mamunul BDBG</cp:lastModifiedBy>
  <cp:revision/>
  <dcterms:created xsi:type="dcterms:W3CDTF">2023-12-05T05:59:08Z</dcterms:created>
  <dcterms:modified xsi:type="dcterms:W3CDTF">2026-07-13T05:55:35Z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0x0101007F1F03B47D584F44A34D88959B3C76F7</vt:lpwstr>
  </property>
  <property fmtid="{D5CDD505-2E9C-101B-9397-08002B2CF9AE}" pid="3" name="MediaServiceImageTags">
    <vt:lpwstr/>
  </property>
</Properties>
</file>