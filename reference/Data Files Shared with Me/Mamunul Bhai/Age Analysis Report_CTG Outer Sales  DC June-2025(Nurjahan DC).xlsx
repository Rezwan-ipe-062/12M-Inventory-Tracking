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ilever-my.sharepoint.com/personal/humayun_humayun_unilever_com/Documents/Desktop/"/>
    </mc:Choice>
  </mc:AlternateContent>
  <xr:revisionPtr revIDLastSave="1371" documentId="13_ncr:1_{FA2ED0D1-9667-4890-95DD-92EAAB52BEED}" xr6:coauthVersionLast="47" xr6:coauthVersionMax="47" xr10:uidLastSave="{242EC983-6DCD-4E6A-97AE-CB0C27DA1995}"/>
  <bookViews>
    <workbookView xWindow="-120" yWindow="-120" windowWidth="19440" windowHeight="14880" xr2:uid="{00000000-000D-0000-FFFF-FFFF00000000}"/>
  </bookViews>
  <sheets>
    <sheet name="All except PureIt &amp; Knorr" sheetId="17" r:id="rId1"/>
    <sheet name="Knorr(BF01)" sheetId="21" r:id="rId2"/>
    <sheet name="BI01" sheetId="25" r:id="rId3"/>
    <sheet name="BQ01" sheetId="28" r:id="rId4"/>
    <sheet name="BV01" sheetId="22" r:id="rId5"/>
    <sheet name="BZ01" sheetId="27" r:id="rId6"/>
    <sheet name="SOP" sheetId="26" r:id="rId7"/>
    <sheet name="AGE Analysis" sheetId="2" state="hidden" r:id="rId8"/>
  </sheets>
  <definedNames>
    <definedName name="_xlnm._FilterDatabase" localSheetId="7" hidden="1">'AGE Analysis'!$A$8:$M$86</definedName>
    <definedName name="_xlnm._FilterDatabase" localSheetId="0" hidden="1">'All except PureIt &amp; Knorr'!$A$5:$K$227</definedName>
    <definedName name="_xlnm._FilterDatabase" localSheetId="2" hidden="1">'BI01'!$C$5:$K$5</definedName>
    <definedName name="_xlnm._FilterDatabase" localSheetId="4" hidden="1">'BV01'!$C$5:$K$5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" i="22" l="1"/>
  <c r="I12" i="22" s="1"/>
  <c r="H11" i="22"/>
  <c r="I11" i="22" s="1"/>
  <c r="H11" i="21"/>
  <c r="I11" i="21" s="1"/>
  <c r="H7" i="21"/>
  <c r="I7" i="21" s="1"/>
  <c r="H220" i="17"/>
  <c r="I220" i="17" s="1"/>
  <c r="H221" i="17"/>
  <c r="I221" i="17"/>
  <c r="H238" i="17"/>
  <c r="I238" i="17" s="1"/>
  <c r="H237" i="17"/>
  <c r="I237" i="17" s="1"/>
  <c r="H28" i="17"/>
  <c r="I28" i="17" s="1"/>
  <c r="H9" i="22"/>
  <c r="I9" i="22" s="1"/>
  <c r="H11" i="25"/>
  <c r="I11" i="25" s="1"/>
  <c r="H246" i="17"/>
  <c r="I246" i="17" s="1"/>
  <c r="H247" i="17"/>
  <c r="I247" i="17" s="1"/>
  <c r="H248" i="17"/>
  <c r="I248" i="17" s="1"/>
  <c r="H249" i="17"/>
  <c r="I249" i="17" s="1"/>
  <c r="H250" i="17"/>
  <c r="I250" i="17" s="1"/>
  <c r="H251" i="17"/>
  <c r="I251" i="17" s="1"/>
  <c r="H252" i="17"/>
  <c r="I252" i="17" s="1"/>
  <c r="H10" i="22"/>
  <c r="I10" i="22" l="1"/>
  <c r="H231" i="17"/>
  <c r="I231" i="17" s="1"/>
  <c r="H73" i="17"/>
  <c r="I73" i="17" s="1"/>
  <c r="H239" i="17" l="1"/>
  <c r="I239" i="17" s="1"/>
  <c r="H240" i="17"/>
  <c r="I240" i="17" s="1"/>
  <c r="H241" i="17"/>
  <c r="I241" i="17" s="1"/>
  <c r="H242" i="17"/>
  <c r="I242" i="17" s="1"/>
  <c r="H243" i="17"/>
  <c r="I243" i="17" s="1"/>
  <c r="H244" i="17"/>
  <c r="I244" i="17" s="1"/>
  <c r="H245" i="17"/>
  <c r="I245" i="17" s="1"/>
  <c r="H8" i="22"/>
  <c r="I8" i="22" s="1"/>
  <c r="H7" i="22"/>
  <c r="I7" i="22" s="1"/>
  <c r="H10" i="25"/>
  <c r="I10" i="25" s="1"/>
  <c r="H228" i="17"/>
  <c r="I228" i="17" s="1"/>
  <c r="H229" i="17"/>
  <c r="I229" i="17" s="1"/>
  <c r="H230" i="17"/>
  <c r="I230" i="17" s="1"/>
  <c r="H232" i="17"/>
  <c r="I232" i="17" s="1"/>
  <c r="H233" i="17"/>
  <c r="I233" i="17" s="1"/>
  <c r="H234" i="17"/>
  <c r="I234" i="17" s="1"/>
  <c r="H235" i="17"/>
  <c r="I235" i="17" s="1"/>
  <c r="H236" i="17"/>
  <c r="I236" i="17" s="1"/>
  <c r="H10" i="21"/>
  <c r="I10" i="21" s="1"/>
  <c r="H12" i="21"/>
  <c r="I12" i="21" s="1"/>
  <c r="H13" i="21"/>
  <c r="I13" i="21" s="1"/>
  <c r="H14" i="21"/>
  <c r="I14" i="21" s="1"/>
  <c r="H15" i="21"/>
  <c r="I15" i="21" s="1"/>
  <c r="H16" i="21"/>
  <c r="I16" i="21" s="1"/>
  <c r="H17" i="21"/>
  <c r="I17" i="21" s="1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6" i="28"/>
  <c r="I6" i="28" s="1"/>
  <c r="H8" i="25"/>
  <c r="I8" i="25" s="1"/>
  <c r="H9" i="25"/>
  <c r="I9" i="25" s="1"/>
  <c r="H6" i="22"/>
  <c r="I6" i="22" s="1"/>
  <c r="H37" i="17"/>
  <c r="I37" i="17" s="1"/>
  <c r="H46" i="17"/>
  <c r="I46" i="17" s="1"/>
  <c r="H44" i="17"/>
  <c r="I44" i="17" s="1"/>
  <c r="H227" i="17"/>
  <c r="I227" i="17" s="1"/>
  <c r="H222" i="17"/>
  <c r="I222" i="17" s="1"/>
  <c r="H215" i="17"/>
  <c r="I215" i="17" s="1"/>
  <c r="H216" i="17"/>
  <c r="I216" i="17" s="1"/>
  <c r="H217" i="17"/>
  <c r="I217" i="17" s="1"/>
  <c r="H218" i="17"/>
  <c r="I218" i="17" s="1"/>
  <c r="H219" i="17"/>
  <c r="I219" i="17" s="1"/>
  <c r="H184" i="17"/>
  <c r="I184" i="17" s="1"/>
  <c r="H151" i="17"/>
  <c r="I151" i="17" s="1"/>
  <c r="H133" i="17"/>
  <c r="I133" i="17" s="1"/>
  <c r="H137" i="17"/>
  <c r="I137" i="17" s="1"/>
  <c r="H29" i="17"/>
  <c r="I29" i="17" s="1"/>
  <c r="H24" i="17"/>
  <c r="I24" i="17" s="1"/>
  <c r="H6" i="25"/>
  <c r="I6" i="25" s="1"/>
  <c r="H7" i="25"/>
  <c r="I7" i="25" s="1"/>
  <c r="H223" i="17"/>
  <c r="I223" i="17" s="1"/>
  <c r="H224" i="17"/>
  <c r="I224" i="17" s="1"/>
  <c r="H225" i="17"/>
  <c r="I225" i="17" s="1"/>
  <c r="H226" i="17"/>
  <c r="I226" i="17" s="1"/>
  <c r="H205" i="17" l="1"/>
  <c r="I205" i="17" s="1"/>
  <c r="H206" i="17"/>
  <c r="I206" i="17" s="1"/>
  <c r="H203" i="17"/>
  <c r="I203" i="17" s="1"/>
  <c r="H39" i="17"/>
  <c r="I39" i="17" s="1"/>
  <c r="H38" i="17"/>
  <c r="I38" i="17" s="1"/>
  <c r="H156" i="17"/>
  <c r="I156" i="17" s="1"/>
  <c r="H175" i="17" l="1"/>
  <c r="I175" i="17" s="1"/>
  <c r="H179" i="17"/>
  <c r="I179" i="17" s="1"/>
  <c r="H180" i="17"/>
  <c r="I180" i="17" s="1"/>
  <c r="H181" i="17"/>
  <c r="I181" i="17" s="1"/>
  <c r="H182" i="17"/>
  <c r="I182" i="17" s="1"/>
  <c r="H56" i="17"/>
  <c r="I56" i="17" s="1"/>
  <c r="H57" i="17"/>
  <c r="I57" i="17" s="1"/>
  <c r="H53" i="17"/>
  <c r="I53" i="17" s="1"/>
  <c r="H51" i="17"/>
  <c r="I51" i="17" s="1"/>
  <c r="H26" i="17"/>
  <c r="I26" i="17" s="1"/>
  <c r="H6" i="21"/>
  <c r="I6" i="21" s="1"/>
  <c r="H8" i="21"/>
  <c r="I8" i="21" s="1"/>
  <c r="H24" i="21"/>
  <c r="I24" i="21" s="1"/>
  <c r="H9" i="21"/>
  <c r="I9" i="21" s="1"/>
  <c r="H6" i="27" l="1"/>
  <c r="I6" i="27" s="1"/>
  <c r="H7" i="27"/>
  <c r="I7" i="27" s="1"/>
  <c r="H11" i="27"/>
  <c r="I11" i="27" s="1"/>
  <c r="H209" i="17" l="1"/>
  <c r="I209" i="17" s="1"/>
  <c r="H196" i="17"/>
  <c r="I196" i="17" s="1"/>
  <c r="H201" i="17"/>
  <c r="I201" i="17" s="1"/>
  <c r="H207" i="17"/>
  <c r="I207" i="17" s="1"/>
  <c r="H170" i="17" l="1"/>
  <c r="I170" i="17" s="1"/>
  <c r="H171" i="17"/>
  <c r="I171" i="17" s="1"/>
  <c r="H172" i="17"/>
  <c r="I172" i="17" s="1"/>
  <c r="H155" i="17"/>
  <c r="I155" i="17" s="1"/>
  <c r="H157" i="17"/>
  <c r="I157" i="17" s="1"/>
  <c r="H152" i="17"/>
  <c r="I152" i="17" s="1"/>
  <c r="H138" i="17"/>
  <c r="I138" i="17" s="1"/>
  <c r="H139" i="17"/>
  <c r="I139" i="17" s="1"/>
  <c r="H10" i="27"/>
  <c r="I10" i="27" s="1"/>
  <c r="H213" i="17" l="1"/>
  <c r="I213" i="17" s="1"/>
  <c r="H214" i="17"/>
  <c r="I214" i="17" s="1"/>
  <c r="H200" i="17" l="1"/>
  <c r="I200" i="17" s="1"/>
  <c r="H199" i="17"/>
  <c r="I199" i="17" s="1"/>
  <c r="H198" i="17"/>
  <c r="I198" i="17" s="1"/>
  <c r="H191" i="17"/>
  <c r="I191" i="17" s="1"/>
  <c r="H190" i="17"/>
  <c r="I190" i="17" s="1"/>
  <c r="H189" i="17"/>
  <c r="I189" i="17" s="1"/>
  <c r="H188" i="17"/>
  <c r="I188" i="17" s="1"/>
  <c r="H187" i="17"/>
  <c r="I187" i="17" s="1"/>
  <c r="H185" i="17"/>
  <c r="I185" i="17" s="1"/>
  <c r="H107" i="17" l="1"/>
  <c r="I107" i="17" s="1"/>
  <c r="H108" i="17"/>
  <c r="I108" i="17" s="1"/>
  <c r="H141" i="17"/>
  <c r="I141" i="17" s="1"/>
  <c r="H202" i="17" l="1"/>
  <c r="I202" i="17" s="1"/>
  <c r="H193" i="17"/>
  <c r="I193" i="17" s="1"/>
  <c r="H194" i="17"/>
  <c r="I194" i="17" s="1"/>
  <c r="H86" i="17"/>
  <c r="I86" i="17" s="1"/>
  <c r="H118" i="17" l="1"/>
  <c r="I118" i="17" s="1"/>
  <c r="H119" i="17"/>
  <c r="I119" i="17" s="1"/>
  <c r="H120" i="17"/>
  <c r="I120" i="17" s="1"/>
  <c r="H121" i="17"/>
  <c r="I121" i="17" s="1"/>
  <c r="H160" i="17"/>
  <c r="I160" i="17" s="1"/>
  <c r="H21" i="17" l="1"/>
  <c r="I21" i="17" s="1"/>
  <c r="H15" i="17"/>
  <c r="I15" i="17" s="1"/>
  <c r="H17" i="17"/>
  <c r="I17" i="17" s="1"/>
  <c r="H18" i="17"/>
  <c r="I18" i="17" s="1"/>
  <c r="H123" i="17" l="1"/>
  <c r="I123" i="17" s="1"/>
  <c r="H69" i="17"/>
  <c r="I69" i="17" s="1"/>
  <c r="H70" i="17"/>
  <c r="I70" i="17" s="1"/>
  <c r="H13" i="17"/>
  <c r="I13" i="17" s="1"/>
  <c r="H14" i="17"/>
  <c r="I14" i="17" s="1"/>
  <c r="H63" i="17" l="1"/>
  <c r="I63" i="17" s="1"/>
  <c r="H100" i="17"/>
  <c r="I100" i="17" s="1"/>
  <c r="H80" i="17"/>
  <c r="I80" i="17" s="1"/>
  <c r="H197" i="17"/>
  <c r="I197" i="17" s="1"/>
  <c r="H115" i="17"/>
  <c r="I115" i="17" s="1"/>
  <c r="H116" i="17"/>
  <c r="I116" i="17" s="1"/>
  <c r="H161" i="17"/>
  <c r="I161" i="17" s="1"/>
  <c r="H154" i="17"/>
  <c r="I154" i="17" s="1"/>
  <c r="H150" i="17"/>
  <c r="I150" i="17" s="1"/>
  <c r="H174" i="17"/>
  <c r="I174" i="17" s="1"/>
  <c r="H178" i="17"/>
  <c r="I178" i="17" s="1"/>
  <c r="H183" i="17"/>
  <c r="I183" i="17" s="1"/>
  <c r="H11" i="17" l="1"/>
  <c r="I11" i="17" s="1"/>
  <c r="H208" i="17"/>
  <c r="I208" i="17" s="1"/>
  <c r="H93" i="17"/>
  <c r="I93" i="17" s="1"/>
  <c r="H94" i="17"/>
  <c r="I94" i="17" s="1"/>
  <c r="H85" i="17"/>
  <c r="I85" i="17" s="1"/>
  <c r="H158" i="17"/>
  <c r="I158" i="17" s="1"/>
  <c r="H142" i="17"/>
  <c r="I142" i="17" s="1"/>
  <c r="H143" i="17"/>
  <c r="I143" i="17" s="1"/>
  <c r="H162" i="17"/>
  <c r="I162" i="17" s="1"/>
  <c r="H163" i="17"/>
  <c r="I163" i="17" s="1"/>
  <c r="H165" i="17"/>
  <c r="I165" i="17" s="1"/>
  <c r="H9" i="27"/>
  <c r="I9" i="27" s="1"/>
  <c r="H8" i="27"/>
  <c r="I8" i="27" s="1"/>
  <c r="H5" i="27"/>
  <c r="I5" i="27" s="1"/>
  <c r="H110" i="17" l="1"/>
  <c r="I110" i="17" s="1"/>
  <c r="H111" i="17"/>
  <c r="I111" i="17" s="1"/>
  <c r="H167" i="17"/>
  <c r="I167" i="17" s="1"/>
  <c r="H168" i="17"/>
  <c r="I168" i="17" s="1"/>
  <c r="H52" i="17"/>
  <c r="I52" i="17" s="1"/>
  <c r="H16" i="17"/>
  <c r="I16" i="17" s="1"/>
  <c r="H12" i="17" l="1"/>
  <c r="I12" i="17" s="1"/>
  <c r="H19" i="17"/>
  <c r="I19" i="17" s="1"/>
  <c r="H130" i="17" l="1"/>
  <c r="I130" i="17" s="1"/>
  <c r="H134" i="17"/>
  <c r="I134" i="17" s="1"/>
  <c r="H22" i="17"/>
  <c r="I22" i="17" s="1"/>
  <c r="H177" i="17" l="1"/>
  <c r="I177" i="17" s="1"/>
  <c r="H146" i="17"/>
  <c r="I146" i="17" s="1"/>
  <c r="H23" i="17" l="1"/>
  <c r="I23" i="17" s="1"/>
  <c r="H60" i="17" l="1"/>
  <c r="I60" i="17" s="1"/>
  <c r="H61" i="17"/>
  <c r="I61" i="17" s="1"/>
  <c r="H129" i="17" l="1"/>
  <c r="I129" i="17" s="1"/>
  <c r="H128" i="17"/>
  <c r="I128" i="17" s="1"/>
  <c r="H127" i="17"/>
  <c r="I127" i="17" s="1"/>
  <c r="H126" i="17"/>
  <c r="I126" i="17" s="1"/>
  <c r="H125" i="17"/>
  <c r="I125" i="17" s="1"/>
  <c r="H124" i="17"/>
  <c r="I124" i="17" s="1"/>
  <c r="H122" i="17"/>
  <c r="I122" i="17" s="1"/>
  <c r="H135" i="17" l="1"/>
  <c r="I135" i="17" s="1"/>
  <c r="H113" i="17"/>
  <c r="I113" i="17" s="1"/>
  <c r="H114" i="17"/>
  <c r="I114" i="17" s="1"/>
  <c r="H117" i="17"/>
  <c r="I117" i="17" s="1"/>
  <c r="H131" i="17"/>
  <c r="I131" i="17" s="1"/>
  <c r="H132" i="17"/>
  <c r="I132" i="17" s="1"/>
  <c r="H212" i="17" l="1"/>
  <c r="I212" i="17" s="1"/>
  <c r="H27" i="17" l="1"/>
  <c r="I27" i="17" s="1"/>
  <c r="H101" i="17" l="1"/>
  <c r="I101" i="17" s="1"/>
  <c r="H102" i="17"/>
  <c r="I102" i="17" s="1"/>
  <c r="H103" i="17"/>
  <c r="I103" i="17" s="1"/>
  <c r="H104" i="17"/>
  <c r="I104" i="17" s="1"/>
  <c r="H105" i="17"/>
  <c r="I105" i="17" s="1"/>
  <c r="H106" i="17"/>
  <c r="I106" i="17" s="1"/>
  <c r="H109" i="17"/>
  <c r="I109" i="17" s="1"/>
  <c r="H90" i="17"/>
  <c r="I90" i="17" s="1"/>
  <c r="H59" i="17"/>
  <c r="I59" i="17" s="1"/>
  <c r="H25" i="17"/>
  <c r="I25" i="17" s="1"/>
  <c r="H169" i="17" l="1"/>
  <c r="I169" i="17" s="1"/>
  <c r="H173" i="17"/>
  <c r="I173" i="17" s="1"/>
  <c r="H164" i="17"/>
  <c r="I164" i="17" s="1"/>
  <c r="H166" i="17"/>
  <c r="I166" i="17" s="1"/>
  <c r="H65" i="17"/>
  <c r="I65" i="17" s="1"/>
  <c r="H66" i="17"/>
  <c r="I66" i="17" s="1"/>
  <c r="H64" i="17"/>
  <c r="I64" i="17" s="1"/>
  <c r="H6" i="17" l="1"/>
  <c r="I6" i="17" s="1"/>
  <c r="H82" i="17"/>
  <c r="I82" i="17" s="1"/>
  <c r="H81" i="17"/>
  <c r="I81" i="17" s="1"/>
  <c r="H211" i="17" l="1"/>
  <c r="I211" i="17" s="1"/>
  <c r="H210" i="17"/>
  <c r="I210" i="17" s="1"/>
  <c r="H204" i="17"/>
  <c r="I204" i="17" s="1"/>
  <c r="H195" i="17"/>
  <c r="I195" i="17" s="1"/>
  <c r="H192" i="17"/>
  <c r="I192" i="17" s="1"/>
  <c r="H186" i="17"/>
  <c r="I186" i="17" s="1"/>
  <c r="H176" i="17"/>
  <c r="I176" i="17" s="1"/>
  <c r="H159" i="17"/>
  <c r="I159" i="17" s="1"/>
  <c r="H153" i="17"/>
  <c r="I153" i="17" s="1"/>
  <c r="H149" i="17"/>
  <c r="I149" i="17" s="1"/>
  <c r="H148" i="17"/>
  <c r="I148" i="17" s="1"/>
  <c r="H147" i="17"/>
  <c r="I147" i="17" s="1"/>
  <c r="H145" i="17"/>
  <c r="I145" i="17" s="1"/>
  <c r="H144" i="17"/>
  <c r="I144" i="17" s="1"/>
  <c r="H140" i="17"/>
  <c r="I140" i="17" s="1"/>
  <c r="H136" i="17"/>
  <c r="I136" i="17" s="1"/>
  <c r="H112" i="17"/>
  <c r="I112" i="17" s="1"/>
  <c r="H99" i="17"/>
  <c r="I99" i="17" s="1"/>
  <c r="H98" i="17"/>
  <c r="I98" i="17" s="1"/>
  <c r="H97" i="17"/>
  <c r="I97" i="17" s="1"/>
  <c r="H96" i="17"/>
  <c r="I96" i="17" s="1"/>
  <c r="H95" i="17"/>
  <c r="I95" i="17" s="1"/>
  <c r="H92" i="17"/>
  <c r="I92" i="17" s="1"/>
  <c r="H91" i="17"/>
  <c r="I91" i="17" s="1"/>
  <c r="H89" i="17"/>
  <c r="I89" i="17" s="1"/>
  <c r="H88" i="17"/>
  <c r="I88" i="17" s="1"/>
  <c r="H87" i="17"/>
  <c r="I87" i="17" s="1"/>
  <c r="H84" i="17"/>
  <c r="I84" i="17" s="1"/>
  <c r="H83" i="17"/>
  <c r="I83" i="17" s="1"/>
  <c r="H79" i="17"/>
  <c r="I79" i="17" s="1"/>
  <c r="H78" i="17"/>
  <c r="I78" i="17" s="1"/>
  <c r="H77" i="17"/>
  <c r="I77" i="17" s="1"/>
  <c r="H76" i="17"/>
  <c r="I76" i="17" s="1"/>
  <c r="H75" i="17"/>
  <c r="I75" i="17" s="1"/>
  <c r="H74" i="17"/>
  <c r="I74" i="17" s="1"/>
  <c r="H72" i="17"/>
  <c r="I72" i="17" s="1"/>
  <c r="H71" i="17"/>
  <c r="I71" i="17" s="1"/>
  <c r="H68" i="17"/>
  <c r="I68" i="17" s="1"/>
  <c r="H67" i="17"/>
  <c r="I67" i="17" s="1"/>
  <c r="H62" i="17"/>
  <c r="I62" i="17" s="1"/>
  <c r="H58" i="17"/>
  <c r="I58" i="17" s="1"/>
  <c r="H55" i="17"/>
  <c r="I55" i="17" s="1"/>
  <c r="H54" i="17"/>
  <c r="I54" i="17" s="1"/>
  <c r="H50" i="17"/>
  <c r="I50" i="17" s="1"/>
  <c r="H49" i="17"/>
  <c r="I49" i="17" s="1"/>
  <c r="H48" i="17"/>
  <c r="I48" i="17" s="1"/>
  <c r="H47" i="17"/>
  <c r="I47" i="17" s="1"/>
  <c r="H45" i="17"/>
  <c r="I45" i="17" s="1"/>
  <c r="H43" i="17"/>
  <c r="I43" i="17" s="1"/>
  <c r="H42" i="17"/>
  <c r="I42" i="17" s="1"/>
  <c r="H41" i="17"/>
  <c r="I41" i="17" s="1"/>
  <c r="H40" i="17"/>
  <c r="I40" i="17" s="1"/>
  <c r="H36" i="17"/>
  <c r="I36" i="17" s="1"/>
  <c r="H35" i="17"/>
  <c r="I35" i="17" s="1"/>
  <c r="H34" i="17"/>
  <c r="I34" i="17" s="1"/>
  <c r="H33" i="17"/>
  <c r="I33" i="17" s="1"/>
  <c r="H32" i="17"/>
  <c r="I32" i="17" s="1"/>
  <c r="H31" i="17"/>
  <c r="I31" i="17" s="1"/>
  <c r="H30" i="17"/>
  <c r="I30" i="17" s="1"/>
  <c r="H20" i="17"/>
  <c r="I20" i="17" s="1"/>
  <c r="H10" i="17"/>
  <c r="I10" i="17" s="1"/>
  <c r="H9" i="17"/>
  <c r="I9" i="17" s="1"/>
  <c r="H8" i="17"/>
  <c r="I8" i="17" s="1"/>
  <c r="H7" i="17"/>
  <c r="I7" i="17" s="1"/>
  <c r="I10" i="2" l="1"/>
  <c r="J10" i="2" s="1"/>
  <c r="I11" i="2"/>
  <c r="J11" i="2" s="1"/>
  <c r="I12" i="2"/>
  <c r="J12" i="2" s="1"/>
  <c r="I13" i="2"/>
  <c r="J13" i="2" s="1"/>
  <c r="I14" i="2"/>
  <c r="J14" i="2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9" i="2"/>
  <c r="J39" i="2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9" i="2"/>
  <c r="J9" i="2" s="1"/>
</calcChain>
</file>

<file path=xl/sharedStrings.xml><?xml version="1.0" encoding="utf-8"?>
<sst xmlns="http://schemas.openxmlformats.org/spreadsheetml/2006/main" count="1223" uniqueCount="456">
  <si>
    <t>Sl No.</t>
  </si>
  <si>
    <t>SKU Code</t>
  </si>
  <si>
    <t>Item Description</t>
  </si>
  <si>
    <t>Quantity</t>
  </si>
  <si>
    <t>Inspection Date</t>
  </si>
  <si>
    <t>Age (Days)</t>
  </si>
  <si>
    <t>Age (Month)</t>
  </si>
  <si>
    <t>2 To 4 Months</t>
  </si>
  <si>
    <t>4 To 6 Months</t>
  </si>
  <si>
    <t>Status &amp;
Remarks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</si>
  <si>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</si>
  <si>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</si>
  <si>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</si>
  <si>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</si>
  <si>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</si>
  <si>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</si>
  <si>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</si>
  <si>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</si>
  <si>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</si>
  <si>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</si>
  <si>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</si>
  <si>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</si>
  <si>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</si>
  <si>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</si>
  <si>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</si>
  <si>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</si>
  <si>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</si>
  <si>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</si>
  <si>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</si>
  <si>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</si>
  <si>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</si>
  <si>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</si>
  <si>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</si>
  <si>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</si>
  <si>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</si>
  <si>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</si>
  <si>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</si>
  <si>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</si>
  <si>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</si>
  <si>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</si>
  <si>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</si>
  <si>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</si>
  <si>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</si>
  <si>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</si>
  <si>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</si>
  <si>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</si>
  <si>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</si>
  <si>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</si>
  <si>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</si>
  <si>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</si>
  <si>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</si>
  <si>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</si>
  <si>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</si>
  <si>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</si>
  <si>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</si>
  <si>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</si>
  <si>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</si>
  <si>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</si>
  <si>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</si>
  <si>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</si>
  <si>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</si>
  <si>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</si>
  <si>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</si>
  <si>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</si>
  <si>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</si>
  <si>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</si>
  <si>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</si>
  <si>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</si>
  <si>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</si>
  <si>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</si>
  <si>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</si>
  <si>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</si>
  <si>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</si>
  <si>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</si>
  <si>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</si>
  <si>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Above 6 Months</t>
  </si>
  <si>
    <t>Expiry Date</t>
  </si>
  <si>
    <t>National</t>
  </si>
  <si>
    <t>DC Name</t>
  </si>
  <si>
    <t>SYL DC</t>
  </si>
  <si>
    <t>BOG DC</t>
  </si>
  <si>
    <t>KHL DC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</si>
  <si>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</si>
  <si>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</si>
  <si>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</si>
  <si>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</si>
  <si>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</si>
  <si>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</si>
  <si>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</si>
  <si>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</si>
  <si>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</si>
  <si>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</si>
  <si>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</si>
  <si>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</si>
  <si>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DHK DC</t>
  </si>
  <si>
    <t>KNORR SOUP CHCKN CORN B02 12x4X22G</t>
  </si>
  <si>
    <t>KNORR SOUP CHICKEN MUSHROOM A01 48X22G</t>
  </si>
  <si>
    <t>KNORR SOUP GINGER A01 48X21G</t>
  </si>
  <si>
    <t>KNORR SOUP CHCKN CORN B01 4x12X22G CP</t>
  </si>
  <si>
    <t>KNORR SOUP GINGER B02 12X4X21G</t>
  </si>
  <si>
    <t>KNORR SOUP TOMATO A01 48X33G</t>
  </si>
  <si>
    <t>Expired</t>
  </si>
  <si>
    <t>KNORR SOUP CHCKN CORN B01 4x12X22G</t>
  </si>
  <si>
    <t>KNORR SOUP CHICKEN CORN A01 48X22G</t>
  </si>
  <si>
    <t>KNORR SOUP GINGER B02 12X4X22G</t>
  </si>
  <si>
    <t>KNORR SOUP TOMATO B02 12X4X33G</t>
  </si>
  <si>
    <t>CTG DC</t>
  </si>
  <si>
    <t>KNORR SOUP CHICKEN CORN</t>
  </si>
  <si>
    <t>KNORR SOUP CLASSIC TOMATO</t>
  </si>
  <si>
    <t>KNORR SOUP MUSHROOM</t>
  </si>
  <si>
    <t>CP Items</t>
  </si>
  <si>
    <t>KNORR SOUP CHICKEN GINGER</t>
  </si>
  <si>
    <t>Near Expiry</t>
  </si>
  <si>
    <t>Remarks</t>
  </si>
  <si>
    <t>Status</t>
  </si>
  <si>
    <t>Above 9 Months</t>
  </si>
  <si>
    <t>6 To 9 Months</t>
  </si>
  <si>
    <t>Less than 6 Months</t>
  </si>
  <si>
    <t>Quantity [CS]</t>
  </si>
  <si>
    <t>DC</t>
  </si>
  <si>
    <t>S. Loc</t>
  </si>
  <si>
    <t>Physical Stock</t>
  </si>
  <si>
    <t>Category</t>
  </si>
  <si>
    <t>Good period</t>
  </si>
  <si>
    <t xml:space="preserve">SLOB period </t>
  </si>
  <si>
    <t>Expiry period</t>
  </si>
  <si>
    <t>Noodles</t>
  </si>
  <si>
    <t>Manufacturing date to 3 months</t>
  </si>
  <si>
    <t xml:space="preserve">4 to 6 Months </t>
  </si>
  <si>
    <t>Manufacturing date to 5 months</t>
  </si>
  <si>
    <t xml:space="preserve">6 to 9 Months </t>
  </si>
  <si>
    <t>Tea</t>
  </si>
  <si>
    <t xml:space="preserve">Manufacturing date to 18 months </t>
  </si>
  <si>
    <t>19 to 24 months</t>
  </si>
  <si>
    <t>&gt;  24 months</t>
  </si>
  <si>
    <t>Manufacturing date to 18 months</t>
  </si>
  <si>
    <t xml:space="preserve">19 to 24 months </t>
  </si>
  <si>
    <t xml:space="preserve">Manufacturing date to 15 months </t>
  </si>
  <si>
    <t>16 to 24 months</t>
  </si>
  <si>
    <t>Imported items</t>
  </si>
  <si>
    <t xml:space="preserve">Manufacturing date to 27 months </t>
  </si>
  <si>
    <t>28 to 36 months</t>
  </si>
  <si>
    <t>&gt;  36 months</t>
  </si>
  <si>
    <t xml:space="preserve">Skin Care- seasonal </t>
  </si>
  <si>
    <t>Guidelines for Handling Expired Products</t>
  </si>
  <si>
    <t>Location in SAP</t>
  </si>
  <si>
    <t>Stock Type</t>
  </si>
  <si>
    <t>Description of stock types defined in SAP</t>
  </si>
  <si>
    <t>BF01(Unrestricted)</t>
  </si>
  <si>
    <t>Saleable Stock</t>
  </si>
  <si>
    <t>Stocks which are available for dispatch</t>
  </si>
  <si>
    <t>BO01(Unrestricted)</t>
  </si>
  <si>
    <t>Overflow Stock</t>
  </si>
  <si>
    <t>Extra/high demand stock kept at the separate/extra space available at the depot/due to temporary issues in the stock and subjected to rework</t>
  </si>
  <si>
    <t>BV01(Unrestricted)</t>
  </si>
  <si>
    <t>Near Expiry Stock</t>
  </si>
  <si>
    <t>Stock left with shelf life of less than 9 months, identified basis the manual age analysis exercise conducted by depot</t>
  </si>
  <si>
    <t>BQ01(Unrestricted)</t>
  </si>
  <si>
    <t>Frozen Stock/Transit Trail Stock</t>
  </si>
  <si>
    <t>Restricted stock due to quality or due to temporary issues in the stock and subjected to rework</t>
  </si>
  <si>
    <t>BQ01(Blocked)</t>
  </si>
  <si>
    <t>Quality Hold Stock</t>
  </si>
  <si>
    <t>Stock kept on hold for quality clearance</t>
  </si>
  <si>
    <t>BD01(Blocked)</t>
  </si>
  <si>
    <t>Damage Stock</t>
  </si>
  <si>
    <t xml:space="preserve">Includes in-house damage stock and damage stock return from distributors </t>
  </si>
  <si>
    <t>BX01(Blocked)</t>
  </si>
  <si>
    <t>Expired Stock</t>
  </si>
  <si>
    <t>Includes in-house expired stock identified during age analysis and expired stock returned from distributor</t>
  </si>
  <si>
    <t>BC01(Blocked)</t>
  </si>
  <si>
    <t>Short Stock</t>
  </si>
  <si>
    <t>Stock lost in transit (from factory to depot) and trade returns/claims from distributor for short stock</t>
  </si>
  <si>
    <t>Stock GR in system SLOC</t>
  </si>
  <si>
    <t>Can't deliver less than</t>
  </si>
  <si>
    <t>Can deliver greater than</t>
  </si>
  <si>
    <t>BI01(Unrestricted)</t>
  </si>
  <si>
    <t xml:space="preserve"> </t>
  </si>
  <si>
    <t>BZ01(Unrestricted)</t>
  </si>
  <si>
    <t>Skin Cleansing - bars &amp; liquids</t>
  </si>
  <si>
    <t>Oral Care- toothpaste &amp; powder</t>
  </si>
  <si>
    <t>Hair Care - shampoo &amp; conditioner</t>
  </si>
  <si>
    <t>Household care - powder &amp; liquid</t>
  </si>
  <si>
    <t>Soups</t>
  </si>
  <si>
    <t>Horlicks, Boost, Multova - Jar, BIB, Pouch, Sachet</t>
  </si>
  <si>
    <r>
      <t xml:space="preserve">Skin Care- non- seasonal </t>
    </r>
    <r>
      <rPr>
        <b/>
        <sz val="10"/>
        <rFont val="Arial"/>
        <family val="2"/>
      </rPr>
      <t>creams</t>
    </r>
  </si>
  <si>
    <r>
      <t xml:space="preserve">Skin Care- </t>
    </r>
    <r>
      <rPr>
        <b/>
        <sz val="10"/>
        <rFont val="Arial"/>
        <family val="2"/>
      </rPr>
      <t>facewash</t>
    </r>
  </si>
  <si>
    <t>Manufacturing date to 9 months</t>
  </si>
  <si>
    <t xml:space="preserve">10 to 12 Months </t>
  </si>
  <si>
    <t>Glaxose - all SKUs</t>
  </si>
  <si>
    <t>&gt;  6  months</t>
  </si>
  <si>
    <t>&gt;  9  months</t>
  </si>
  <si>
    <t>&gt;  12  months</t>
  </si>
  <si>
    <t>B902</t>
  </si>
  <si>
    <t>CTG Outer DC Nurjahan</t>
  </si>
  <si>
    <t>DOVE CONDITIONER IRP CHILD 24X50ML</t>
  </si>
  <si>
    <t>SUNSILK HFS CONDITIONER CHILD 48X50ML</t>
  </si>
  <si>
    <t>DOVE CONDITIONER IRP CHILD V2 24X50ML</t>
  </si>
  <si>
    <t>SUNSILK SHMP BLCK SHN CHILD PUCH 36X75ML</t>
  </si>
  <si>
    <t>LIFEBUOY SKN BAR TOTAL OOH 72X125G</t>
  </si>
  <si>
    <t>LUX SK BAR VLVT BRIGHT GLW CHILD 144X34G</t>
  </si>
  <si>
    <t>LUX BAR VLTC BRT GLW REGCP 70T 72X150G</t>
  </si>
  <si>
    <t>LUX SK BR SFTC FLW LSS GLW OOH 108X100G</t>
  </si>
  <si>
    <t>PEPSODENT TPST GC BYMX OOH 36X200G</t>
  </si>
  <si>
    <t>DOMEX TLT CLNR OCN FRSH MUGCP 18X500ML</t>
  </si>
  <si>
    <t>PEPSODENT TP SN EXP FRSH 160T UL 36X140G</t>
  </si>
  <si>
    <t>SUNSILK SM BLK SPRK LP4 2TUL 1008X5.25ML</t>
  </si>
  <si>
    <t>RIN LIQUID FABSOL 1X18L</t>
  </si>
  <si>
    <t>LIFEBUOY LIQUID HW TOTAL YY OOH 1X18L</t>
  </si>
  <si>
    <t>WHEEL LUNDRY SOAP OOH 112X125G</t>
  </si>
  <si>
    <t>VIM HDW STD LIQUID CHILD 36X225ML</t>
  </si>
  <si>
    <t>CLEAR MEN SHAMP CSM CART 5TK CM 1008X5ML</t>
  </si>
  <si>
    <t>CLEAR MEN SM CSM CR 600T CM 12X450ML</t>
  </si>
  <si>
    <t>CLINIC PLUS SM S&amp;L HL CM 24X340ML</t>
  </si>
  <si>
    <t>CLOSE UP TP MC MENTHL FRESH CHILD 288X7G</t>
  </si>
  <si>
    <t>CLOSE UP TPST RDHOT LLP 150TK CM 36X145G</t>
  </si>
  <si>
    <t>CLOSE UP TPST REDHOT LLP 50TK CM 72X38G</t>
  </si>
  <si>
    <t>DOVE COND HFR DOLCE 290TK CM 24X170ML</t>
  </si>
  <si>
    <t>DOVE COND IRP DOLCE 290TK CM 24X170ML</t>
  </si>
  <si>
    <t>DOVE CONDITONER IRP DOLCE 4TK CM 864X7ML</t>
  </si>
  <si>
    <t>DOVE LOTION NURSHD RADIANCE CM 24X250ML</t>
  </si>
  <si>
    <t>DOVE SHAMP IRP DOLCHE TK OFF CM 24X170ML</t>
  </si>
  <si>
    <t>DOVE SHAMP NOC DOLCHE TK OFF CM 24X170ML</t>
  </si>
  <si>
    <t>DOVE SHAMPOO HFR DLCE TK OFF CM 24X170ML</t>
  </si>
  <si>
    <t>DOVE SHAMPOO HLTHY GR 200TK CM 24X196ML</t>
  </si>
  <si>
    <t>DOVE SHAMPOO HLTHY GR CM 24X380ML</t>
  </si>
  <si>
    <t>DOVE SHAMPOO IRP DOLCHE 90TK CM 48X80ML</t>
  </si>
  <si>
    <t>DOVE SHAMPOO OM DOLCHE CM 24X330ML</t>
  </si>
  <si>
    <t>DOVE SHM HFR DOLCHE NEW LBL CM 12X650ML</t>
  </si>
  <si>
    <t>DOVE SHMP HFR DLC FLSHR 4TK CM 1008X6ML</t>
  </si>
  <si>
    <t>DOVE SHMP HFR DOLCHE NEW LBL CM 12X450ML</t>
  </si>
  <si>
    <t>DOVE SHMP IRP DLC FLSHR 4TK CM 1008X6ML</t>
  </si>
  <si>
    <t>DOVE SHMP IRP DOLCHE NEW LBL CM 12X450ML</t>
  </si>
  <si>
    <t>DOVE SHMP IRP DOLCHE NEW LBL CM 12X650ML</t>
  </si>
  <si>
    <t>DOVE SHMP NRSH OIL CRE DLCHE CM 24X330ML</t>
  </si>
  <si>
    <t>DOVE SMP HFR DLCH 79ML IR CP CM 24X330ML</t>
  </si>
  <si>
    <t>GLOW &amp; HANDSOME MN CR BN 20TK CM 576X9G</t>
  </si>
  <si>
    <t>GLOW &amp; HANDSOME MN FW 140TK CM 48X50G</t>
  </si>
  <si>
    <t>GLOW &amp; LOVELY BB CR GSL 165TK CM 72X18G</t>
  </si>
  <si>
    <t>GLOW &amp; LOVELY BB CRM GSL 240TK CM 72X40G</t>
  </si>
  <si>
    <t>GLOW &amp; LOVELY BRGTNG FCE SRUM CM 144X7ML</t>
  </si>
  <si>
    <t>GLOW &amp; LOVELY BRGTNG FCE SRUM CM 96X14ML</t>
  </si>
  <si>
    <t>GLOW &amp; LOVELY GAL MVT GSL 160T CM 72X47G</t>
  </si>
  <si>
    <t>GLOW &amp; LOVELY GAL MVT GSL 95TK CM 72X27G</t>
  </si>
  <si>
    <t>GLOW &amp; LOVELY MV CR GSL 275TK CM 48X100G</t>
  </si>
  <si>
    <t>GLOW &amp; LOVELY MV CR GSL 50TK CM 72X15G</t>
  </si>
  <si>
    <t>GLOW &amp; LOVELY MVCR BG GSL 20T CM 576X9G</t>
  </si>
  <si>
    <t>KNORR SOUP CLS THAI 50TK DMP CMJP 72X28G</t>
  </si>
  <si>
    <t>LIFEBUOY BR LMN FR 10T BB TM2 CM 144X27G</t>
  </si>
  <si>
    <t>LIFEBUOY LQ HW LMN KH YY115T CM 24X200ML</t>
  </si>
  <si>
    <t>LIFEBUOY LQ HW TTAL SRC YY380TK CM 12X1L</t>
  </si>
  <si>
    <t>LIFEBUOY LQHW CRE KH YY115TK CM 24X200ML</t>
  </si>
  <si>
    <t>LIFEBUOY LQHW CRE PFSON YY85TCM 36X170ML</t>
  </si>
  <si>
    <t>LIFEBUOY LQHW LM FR SERC YY380T CM 12X1L</t>
  </si>
  <si>
    <t>LIFEBUOY LQHW LMFR PFS YY85T CM 36X170ML</t>
  </si>
  <si>
    <t>LIFEBUOY LQHW TOT KH YY115TK CM 24X200ML</t>
  </si>
  <si>
    <t>LIFEBUOY LQHW TTL PFS YY 85T CM 36X170ML</t>
  </si>
  <si>
    <t>LIFEBUOY LQHW TTL PFSYY150TCM 18X2X170ML</t>
  </si>
  <si>
    <t>LIFEBUOY SK BR TTL 10T BB TM2 CM 144X27G</t>
  </si>
  <si>
    <t>LUX SK BAR SFTC GLOW BP 70T CM 108X125G</t>
  </si>
  <si>
    <t>LUX SK BR SFTC FL LS GLW 50TK CM 108X75G</t>
  </si>
  <si>
    <t>LUX SK BR VLVTC GLOW BP 70TK CM 108X125G</t>
  </si>
  <si>
    <t>PEPSODENT GC&amp;KD STBRY BN CM 36X(85G+45G)</t>
  </si>
  <si>
    <t>PEPSODENT GC&amp;KDS ORNG BN CM 36X(85G+45G)</t>
  </si>
  <si>
    <t>PEPSODENT KIDS STRAWBRY 90TK CM 72X45G</t>
  </si>
  <si>
    <t>PEPSODENT TP ADVN SALT 160TK NAW 36X140G</t>
  </si>
  <si>
    <t>PEPSODENT TP ADVNCD SALT 90TK NAW 72X70G</t>
  </si>
  <si>
    <t>PEPSODENT TP GCHK 165T KDS CP CM 36X190G</t>
  </si>
  <si>
    <t>PEPSODENT TP GERMCK BYMX 130T CM 36X140G</t>
  </si>
  <si>
    <t>PEPSODENT TP KDS ORANGE 90T CM 72X45G</t>
  </si>
  <si>
    <t>POND'S FW ESS CR DLY 3DPK 85TK CM 48X50G</t>
  </si>
  <si>
    <t>POND'S FW OIL CONTROL 100TK CM 48X50G</t>
  </si>
  <si>
    <t>POND'S FW PW PURE DETOX ON CM 48X100G</t>
  </si>
  <si>
    <t>POND'S FW SCR PNDR NTM ON CM 48X100G</t>
  </si>
  <si>
    <t>POND'S FW WB BRIGHT BEAUTY CM 144X20G</t>
  </si>
  <si>
    <t>POND'S MOS COLD CRM BTL 65TK CM 72X28G</t>
  </si>
  <si>
    <t>SIMPLE FCL WSH FOAM REFRSHNG CM 24X150ML</t>
  </si>
  <si>
    <t>SUNSILK COND HFS SEREND PCR CM 864X7ML</t>
  </si>
  <si>
    <t>SUNSILK SHAMPOO ONION CM 24X375ML</t>
  </si>
  <si>
    <t>SUNSILK SHMP BLACK 550TK OIL CM 12X450ML</t>
  </si>
  <si>
    <t>SUNSILK SHMP BLACK TK OFF CM 24X170ML</t>
  </si>
  <si>
    <t>SUNSILK SHMP HFS TK OFF CM 24X170ML</t>
  </si>
  <si>
    <t>SUNSILK SHMP T&amp;L SNDY 550TK CM 12X450ML</t>
  </si>
  <si>
    <t>SUNSILK SHMP T&amp;L SNDY 700TK CM 12X650ML</t>
  </si>
  <si>
    <t>SUNSILK SHMP T&amp;L TAKA OFF CM 24X170ML</t>
  </si>
  <si>
    <t>SUNSILK SM BLK BND(6X4ML)10T CM 168X24ML</t>
  </si>
  <si>
    <t>SUNSILK SM HFS OCN SR 3TK CM 1008X5.25ML</t>
  </si>
  <si>
    <t>SUNSILK SMP BLACK TK OFF CM 24X170ML</t>
  </si>
  <si>
    <t>SUNSILK SMP HFS OCN SR 3T CM 1008X5.25ML</t>
  </si>
  <si>
    <t>SUNSILK SMP HIJAB REFRES CM 24X340ML</t>
  </si>
  <si>
    <t>SUNSILK SMP T&amp;L OCN SR 3T CM 1008X5.25ML</t>
  </si>
  <si>
    <t>SURF EXCEL MT LQ TOP LD NAW CM 12X1000ML</t>
  </si>
  <si>
    <t>SURF EXCEL MT LQ TOP LD NAW CM 20X500ML</t>
  </si>
  <si>
    <t>TRESEMME CND KERTN SMTH 320T CM 24X190ML</t>
  </si>
  <si>
    <t>TRESEMME SHAMP HFD 850TK CM 12X580ML</t>
  </si>
  <si>
    <t>TRESEMME SHAMPO CLR RVTALISE CM 12X580ML</t>
  </si>
  <si>
    <t>TRESEMME SHAMPO CRV 850TK CM 12X580ML</t>
  </si>
  <si>
    <t>TRESEMME SHMP NR 850TK CM 12X580ML</t>
  </si>
  <si>
    <t>TRESEMME SHMPO KS 850TK CM 12X580ML</t>
  </si>
  <si>
    <t>TRESEMME SHMPOO KR SMT 350TK 24X185ML</t>
  </si>
  <si>
    <t>TRESEMME SM BND PLX RPR 850T CM 12X580ML</t>
  </si>
  <si>
    <t>TRESEMME SMP KRTN SMTH 550TK CM 24X340ML</t>
  </si>
  <si>
    <t>VASELINE BDY PT JLY ALE 75TK CM 108X50ML</t>
  </si>
  <si>
    <t>VASELINE BDY PT JLY COCA 75T CM 108X50ML</t>
  </si>
  <si>
    <t>VASELINE HB GLT HY FLWL GLSR CM 24X200ML</t>
  </si>
  <si>
    <t>VASELINE HB GLT HYA DWY RDSR CM 24X200ML</t>
  </si>
  <si>
    <t>VASELINE LT HW HLBT V2 180T CM 48X100ML</t>
  </si>
  <si>
    <t>VASELINE LT MSQTO DFNCE VISN CM 48X100ML</t>
  </si>
  <si>
    <t>VASELINE LT MSQUT DEFNCE 99TK CM 48X50ML</t>
  </si>
  <si>
    <t>VIM HDW STD LIQUID NAW 240TK CM 12X1L</t>
  </si>
  <si>
    <t>VIM HDW STD LIQUID NAW CM 36X210ML</t>
  </si>
  <si>
    <t>VIM NSD BAR KBR 15TK CM 90X125G</t>
  </si>
  <si>
    <t>VIM NSD BAR KBR TK40 SURFCP CMJP 36X300G</t>
  </si>
  <si>
    <t>WHEEL LAUNDRY SOAP 55TK CM 56X2X125G</t>
  </si>
  <si>
    <t>SUNSILK SM BLK SPK LP4 2T CM 1008X5.25ML</t>
  </si>
  <si>
    <t>CLEAR MEN SMP CSM 5TK COURGE V2 1008X5ML</t>
  </si>
  <si>
    <t>CLEAR SHMP AHF 400TK COURAGE CM 24X330ML</t>
  </si>
  <si>
    <t>GLOW &amp; LOVELY FC IG DC GL 85T OVL 48X50G</t>
  </si>
  <si>
    <t>GLOW &amp; LOVELY FC IGDC GL170T OVL 48X100G</t>
  </si>
  <si>
    <t>LIFEBUOY LQHW CRE PFSYY150TCM 18X2X170ML</t>
  </si>
  <si>
    <t>LIFEBUOY LQHW LMF PFSYY150TCM 18X2X170ML</t>
  </si>
  <si>
    <t>LUX SK BAR FRESH GLOW 60TK CM 108X100G</t>
  </si>
  <si>
    <t>LUX SK BR SFT FLWLS GLW15T TM CM 144X35G</t>
  </si>
  <si>
    <t>LUX SK BR VLTC BRGT GLW15T TM CM 144X35G</t>
  </si>
  <si>
    <t>LUX SK CLNG BAR SFT FLS GLW 54X2X75G</t>
  </si>
  <si>
    <t>PEPSODENT SNSTV EXPRT PRFSSNL SMP 288X7G</t>
  </si>
  <si>
    <t>PEPSODENT TP GC BM +SN7G 160T CM 36X190G</t>
  </si>
  <si>
    <t>PEPSODENT TP SN EXP PRFSNL 70TK 72X40G</t>
  </si>
  <si>
    <t>POND'S FWF DETAN FACEWASH CM 24X100G</t>
  </si>
  <si>
    <t>RIN NM LIQUID MATK 220TK NAW CM 16X800ML</t>
  </si>
  <si>
    <t>SUNSILK SHMP HFS 350TK TK_OFF 24X340ML</t>
  </si>
  <si>
    <t>SUNSILK SHMP T&amp;L 350TK TK_OFF 24X340ML</t>
  </si>
  <si>
    <t>SUNSILK SMP BLK OIL 350T TK_OFF 24X340ML</t>
  </si>
  <si>
    <t>VIM HDW ST LIQ CHLD CP_WTH_SURF 36X225ML</t>
  </si>
  <si>
    <t>GLOW &amp; LOVELY FW INSTA GLOW CHILD 576X9G</t>
  </si>
  <si>
    <t>GLOW &amp; LOVELY GAL MV FW CP 95T CM 72X23G</t>
  </si>
  <si>
    <t>PEPSODENT TP KIDS STRWBRY SAMPLE 288X7G</t>
  </si>
  <si>
    <t>VASELINE PET JLLY ICON 65TK W23 108X50ML</t>
  </si>
  <si>
    <t>CLEAR MEN SM CSM 500TK COURG V2 24X330ML</t>
  </si>
  <si>
    <t>CLEAR MEN SMP CSM 270T CURGE V2 24X170ML</t>
  </si>
  <si>
    <t>CLEAR SHAMP CAC 400TK COURGE V2 24X330ML</t>
  </si>
  <si>
    <t>CLEAR SHMP CAC 240TK COURAGE V2 24X170ML</t>
  </si>
  <si>
    <t>CLOSE UP TP MC MN FRS 155TK 36X145G</t>
  </si>
  <si>
    <t>DOMEX OCEAN FRESH 175TK CONCP 12X750ML</t>
  </si>
  <si>
    <t>GLOW &amp; HANDSOME MEN CR 110T CM 72X25G</t>
  </si>
  <si>
    <t>GLOW &amp; HANDSOME MEN CRM 170TK CM 72X50G</t>
  </si>
  <si>
    <t>GLOW &amp; HANDSOME MEN FW ON CM 48X100G</t>
  </si>
  <si>
    <t>LIFEBUOY BAR LEMN FRESH 80TK 72X150G</t>
  </si>
  <si>
    <t>LIFEBUOY BR LEMN FRSH BB 15TK CM 144X27G</t>
  </si>
  <si>
    <t>LIFEBUOY SKN BAR CARE 80TK 72X150G</t>
  </si>
  <si>
    <t>LIFEBUOY SKN BAR TOTAL 80TK 72X150G</t>
  </si>
  <si>
    <t>LIFEBUOY SKN BR TOTAL BB 15TK CM 144X27G</t>
  </si>
  <si>
    <t>LUX SH BW BL OR S&amp;J OL NS CHLD 864X5.5ML</t>
  </si>
  <si>
    <t>LUX SK BR VLTC BRGHT GLW 50TK CM 108X75G</t>
  </si>
  <si>
    <t>PEPSODENT TP SN EXPRT PRFSNL 125T 72X70G</t>
  </si>
  <si>
    <t>PEPSODENT TPST GRMCHCK BYMX 95TK 72X85G</t>
  </si>
  <si>
    <t>PEPSODENT TPST GRMCK BMX 50T UL 72X42G</t>
  </si>
  <si>
    <t>POND'S BB GLUT NICM A-PGM SRM CM 24X28ML</t>
  </si>
  <si>
    <t>POND'S FMC EC SUNSCRN CRM GEL CM 24X100G</t>
  </si>
  <si>
    <t>POND'S FW PW PURE DTX 120TK PINK 48X50G</t>
  </si>
  <si>
    <t>POND'S FW WB BRT BTY PNY 120T PNK 48X50G</t>
  </si>
  <si>
    <t>POND'S FW WB BRT BTY PNY200T PNK 48X100G</t>
  </si>
  <si>
    <t>POND'S WB BRGHT BTY CRM 180TK PNK 48X35G</t>
  </si>
  <si>
    <t>POND'S WB BRGHT BUTY CRM 130T PNK 48X23G</t>
  </si>
  <si>
    <t>SIMPLE BOOSTER SERUM NIACNAMD CM 48X30ML</t>
  </si>
  <si>
    <t>VASELINE LT AS AL FR V2 300T CM 24X200ML</t>
  </si>
  <si>
    <t>VASELINE LT HW HL BR V 400T CM 24X300ML</t>
  </si>
  <si>
    <t>VASELINE LT HW HLBRT V2 300T CM 24X200ML</t>
  </si>
  <si>
    <t>WHEEL LAUNDRY SOAP 25TK CM 98X100G</t>
  </si>
  <si>
    <t>WHEEL LUNDRY SOAP 30TK CM 112X125G</t>
  </si>
  <si>
    <t>CLEAR MEN SMP CSM 90TK COURGE V2 48X80ML</t>
  </si>
  <si>
    <t>CLEAR SHAMP AHF 400TK COURGE V2 24X330ML</t>
  </si>
  <si>
    <t>CLEAR SHAMP CAC 4TK COURGE V2 1008X5.5ML</t>
  </si>
  <si>
    <t>CLOSE UP TP MC MFR TWN PK 200T 36X2X100G</t>
  </si>
  <si>
    <t>CLOSE UP TP MC MFRS WO FDI 5TK CM 480X8G</t>
  </si>
  <si>
    <t>CLOSE UP TP MC MN FRSH 105T 72X85G</t>
  </si>
  <si>
    <t>CLOSE UP TPST MC MNFR 50TK JP4 72X38G</t>
  </si>
  <si>
    <t>DOVE CND HAIR TH BRKG REP SF CM 12X380ML</t>
  </si>
  <si>
    <t>DOVE CND HAR TH SCALP CRE SF CM 12X380ML</t>
  </si>
  <si>
    <t>DOVE SHAMPOO IRP DOLCHE 120TK 48X80ML</t>
  </si>
  <si>
    <t>DOVE SHAMPOO IRP DOLCHE 440TK 24X330ML</t>
  </si>
  <si>
    <t>DOVE SKN CLEANSNG BAR WHITE 110TK 48X90G</t>
  </si>
  <si>
    <t>GLOW &amp; LOVELY ADV MV CRM NAW 36X80G</t>
  </si>
  <si>
    <t>GLOW &amp; LOVELY BRGHTENIG FCE SRUM 96X14ML</t>
  </si>
  <si>
    <t>GLOW &amp; LOVELY CR AY GSL 195T CMJP 72X50G</t>
  </si>
  <si>
    <t>GLOW &amp; LOVELY FMCR AYRGS105T CMJP 72X25G</t>
  </si>
  <si>
    <t>KNORR SOUP CLAS THAI 50TK CM 72X28G</t>
  </si>
  <si>
    <t>KNORR SOUP HOT&amp;SOUR 50TK CM 72X31G</t>
  </si>
  <si>
    <t>LIFEBUOY BAR CARE 55TK CM 72X100G</t>
  </si>
  <si>
    <t>LIFEBUOY SK BR TOTAL BB 45TK CM 108X75G</t>
  </si>
  <si>
    <t>LUX BAR VLTC BRGHT GLW FMNCP JP4 72X150G</t>
  </si>
  <si>
    <t>LUX BR SFT FLW LSS GLW FMNCP JP4 72X150G</t>
  </si>
  <si>
    <t>LUX SK BAR FRESH GLOW CHILD 144X35G</t>
  </si>
  <si>
    <t>LUX SK BR SFTC FLLS GLW 90TK JP4 72X150G</t>
  </si>
  <si>
    <t>LUX SK BR VLTC BRT GLW 90TK JP4 72X150G</t>
  </si>
  <si>
    <t>PEPSODENT TOTHPWD ALD 35TK JP3 144X45G</t>
  </si>
  <si>
    <t>PEPSODENT TP KDS ORANGE 90T 72X45G</t>
  </si>
  <si>
    <t>PEPSODENT TPST GCHK BMX 170TK JP 36X190G</t>
  </si>
  <si>
    <t>PEPSODENT TPST GRMCK BMX 50TK 72X40G</t>
  </si>
  <si>
    <t>POND'S FMCR OC LIGHT MSTR 230T TM 72X49G</t>
  </si>
  <si>
    <t>POND'S FW ES CRE DLY RL 3D ON CM 48X100G</t>
  </si>
  <si>
    <t>POND'S FW OIL CONTRL NAW 48X100G</t>
  </si>
  <si>
    <t>POND'S FW PW PURE DTX 220TK PINK 48X100G</t>
  </si>
  <si>
    <t>POND'S MOIS VANISHING CRM SHP JP4 72X28G</t>
  </si>
  <si>
    <t>POND'S MOIS VANISHING CRM SHP JP4 72X50G</t>
  </si>
  <si>
    <t>POND'S SUPER LIGHT GEL 230TK TM 72X49G</t>
  </si>
  <si>
    <t>POND'S WB BBTY SRUM CRM 450T TM 48X50G</t>
  </si>
  <si>
    <t>POND'S WB BRIGT BTY SRMCR 240T TM 48X35G</t>
  </si>
  <si>
    <t>SIMPLE FMC KTS HYDT LGHT MST CM 36X125ML</t>
  </si>
  <si>
    <t>SUNSILK CONDITIONER HFS CHILD1 48X50ML</t>
  </si>
  <si>
    <t>SUNSILK SMP BLACK 350TK CND CP 24X340ML</t>
  </si>
  <si>
    <t>SUNSILK SMP BLK SHN OIL 90TK NEW 48X80ML</t>
  </si>
  <si>
    <t>VIM NSD BAR KBR TK40 CM 36X300G</t>
  </si>
  <si>
    <t>CLINIC PLUS SMP ST&amp;L HL CM 1008X5ML</t>
  </si>
  <si>
    <t>CLOSE UP TP LMN AND SEA SLT 170T 36X140G</t>
  </si>
  <si>
    <t>CLOSE UP TPST MC MNFR 50TK 72X38G</t>
  </si>
  <si>
    <t>DOMEX LIME FRESH 175TK CONCP 12X750ML</t>
  </si>
  <si>
    <t>DOVE SHAMPOO HFR DOLCHE 440TK 24X330ML</t>
  </si>
  <si>
    <t>DOVE SMP NRSH OIL CRE DLC 440TK 24X330ML</t>
  </si>
  <si>
    <t>KNORR SOUP CHCKN CORN 55TK 72X24G</t>
  </si>
  <si>
    <t>LAKME FWL BL&amp;GL HYD FW STBRY CM 24X100G</t>
  </si>
  <si>
    <t>LAKME PERFECT RADNCE DAY CREME CM 24X50G</t>
  </si>
  <si>
    <t>LIFEBUOY BAR LMN FR 100TK CM 54X2X100G</t>
  </si>
  <si>
    <t>LIFEBUOY BAR LMNFR 100TK AU CM 54X2X100G</t>
  </si>
  <si>
    <t>LIFEBUOY BAR TOTAL 55TK 72X90G</t>
  </si>
  <si>
    <t>LIFEBUOY BR LMN FRESH 55TK 72X90G</t>
  </si>
  <si>
    <t>LIFEBUOY SHAMPOO ALOE VERA 2TK 1008X5ML</t>
  </si>
  <si>
    <t>LUX BAR VLTC BRGHT GLW 110T CM 54X2X100G</t>
  </si>
  <si>
    <t>LUX BAR VLTC BRGT GLW 60TK 108X90G</t>
  </si>
  <si>
    <t>LUX BR SFTC FLW LSS GLW 60TK 108X90G</t>
  </si>
  <si>
    <t>LUX BW BLK OR&amp;JNP OL 220T CM 24X245ML</t>
  </si>
  <si>
    <t>LUX BW FRN RS&amp;ALM OL 220TK CM 24X245ML</t>
  </si>
  <si>
    <t>LUX BW FRSA S&amp;AL VRA 220T CM 24X245ML</t>
  </si>
  <si>
    <t>LUX SK BR SFT FLW LSS GLW FMNCP 72X150G</t>
  </si>
  <si>
    <t>LUX SK BR SFTC FL LS GLW 90TK 72X150G</t>
  </si>
  <si>
    <t>LUX SK BR VLTC BRGHT GLW FMNCP 72X150G</t>
  </si>
  <si>
    <t>PEPSODENT TOTHPWD ALD 60TK 72X95G</t>
  </si>
  <si>
    <t>PEPSODENT TP GC BYMX 170TK TB_CP 36X190G</t>
  </si>
  <si>
    <t>PEPSODENT TP SENEX GUM TBCP 250T 24X140G</t>
  </si>
  <si>
    <t>PEPSODENT TP SN EX GUM CR 220TK 36X140G</t>
  </si>
  <si>
    <t>PEPSODENT TP SN EX PRFSNL 220TK 36X140G</t>
  </si>
  <si>
    <t>PEPSODENT TP SN EXP FRSH 200TK 36X140G</t>
  </si>
  <si>
    <t>PEPSODENT TP SN EXP PRFSNL 80TK 72X40G</t>
  </si>
  <si>
    <t>PEPSODENT TP SNEX PRF TB CP 220T 24X140G</t>
  </si>
  <si>
    <t>PEPSODENT TPST GRMCHK BMX 95TK JP 72X85G</t>
  </si>
  <si>
    <t>POND'S FW OIL CONTROL NAW 48X50G</t>
  </si>
  <si>
    <t>POND'S SUPER LIGHT GEL 420TK CM 40X98G</t>
  </si>
  <si>
    <t>SIMPLE MRL KTS STNG FCL TONR CM 36X200ML</t>
  </si>
  <si>
    <t>SUNSILK SMP HFS 350TK CND CP 24X340ML</t>
  </si>
  <si>
    <t>SUNSILK SMP T&amp;L 350TK CND CP 24X340ML</t>
  </si>
  <si>
    <t>TRESEMME KRATN SMTH HAR MASK CM 12X300ML</t>
  </si>
  <si>
    <t>TRESEMME KRT SMT AFR HAR SRM CM 72X100ML</t>
  </si>
  <si>
    <t>TRESEMME SMP KERATN SMOOTH 5TK 504X6.5ML</t>
  </si>
  <si>
    <t>VIM HDW STLQ CHS 130T ED EXC PK 24X500ML</t>
  </si>
  <si>
    <t>VIM NSD BAR KBR TK40 CMJP 36X300G</t>
  </si>
  <si>
    <t>SUNSILK SM BLKSPK LP4 2T JP 1008X5.25ML</t>
  </si>
  <si>
    <t>WHEEL LUNDRY SOAP OOHP 112X125G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</si>
</sst>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[$-409]d\-mmm\-yy;@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1">
    <xf numFmtId="0" fontId="0" fillId="0" borderId="0" applyFont="0"/>
    <xf numFmtId="0" fontId="9" fillId="0" borderId="0" applyFont="0"/>
    <xf numFmtId="0" fontId="9" fillId="0" borderId="0"/>
    <xf numFmtId="0" fontId="7" fillId="0" borderId="0"/>
    <xf numFmtId="0" fontId="6" fillId="0" borderId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9" fillId="0" borderId="0" applyFont="0" applyFill="0" applyBorder="0" applyAlignment="0" applyProtection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6">
    <xf numFmtId="0" fontId="0" fillId="0" borderId="0" xfId="0"/>
    <xf numFmtId="0" fontId="0" fillId="2" borderId="0" xfId="0" applyFill="1" applyAlignment="1">
      <alignment vertical="center"/>
    </xf>
    <xf numFmtId="1" fontId="0" fillId="2" borderId="0" xfId="0" applyNumberFormat="1" applyFill="1" applyAlignment="1">
      <alignment vertical="center"/>
    </xf>
    <xf numFmtId="2" fontId="0" fillId="2" borderId="0" xfId="0" applyNumberForma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8" fillId="2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/>
    </xf>
    <xf numFmtId="1" fontId="0" fillId="2" borderId="3" xfId="0" applyNumberForma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14" fontId="9" fillId="2" borderId="5" xfId="0" applyNumberFormat="1" applyFont="1" applyFill="1" applyBorder="1" applyAlignment="1">
      <alignment horizontal="center" vertical="center"/>
    </xf>
    <xf numFmtId="1" fontId="9" fillId="2" borderId="5" xfId="0" applyNumberFormat="1" applyFont="1" applyFill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vertical="center"/>
    </xf>
    <xf numFmtId="0" fontId="9" fillId="2" borderId="7" xfId="0" quotePrefix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15" fontId="9" fillId="2" borderId="2" xfId="0" applyNumberFormat="1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quotePrefix="1" applyFont="1" applyFill="1" applyBorder="1" applyAlignment="1">
      <alignment horizontal="center" vertical="center"/>
    </xf>
    <xf numFmtId="15" fontId="9" fillId="2" borderId="14" xfId="0" applyNumberFormat="1" applyFont="1" applyFill="1" applyBorder="1" applyAlignment="1">
      <alignment horizontal="center" vertical="center"/>
    </xf>
    <xf numFmtId="15" fontId="10" fillId="2" borderId="2" xfId="0" applyNumberFormat="1" applyFont="1" applyFill="1" applyBorder="1" applyAlignment="1">
      <alignment horizontal="center" vertical="center"/>
    </xf>
    <xf numFmtId="0" fontId="9" fillId="2" borderId="15" xfId="0" quotePrefix="1" applyFont="1" applyFill="1" applyBorder="1" applyAlignment="1">
      <alignment horizontal="center" vertical="center"/>
    </xf>
    <xf numFmtId="15" fontId="10" fillId="2" borderId="16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9" fillId="2" borderId="16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15" fontId="9" fillId="0" borderId="2" xfId="0" applyNumberFormat="1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5" fontId="9" fillId="2" borderId="16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0" fontId="0" fillId="0" borderId="3" xfId="0" applyBorder="1"/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6" fontId="12" fillId="0" borderId="0" xfId="7" applyNumberFormat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12" fillId="0" borderId="21" xfId="0" applyFont="1" applyBorder="1" applyAlignment="1">
      <alignment vertic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166" fontId="12" fillId="0" borderId="3" xfId="7" applyNumberFormat="1" applyFont="1" applyFill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1" applyFont="1" applyAlignment="1">
      <alignment vertical="center"/>
    </xf>
    <xf numFmtId="0" fontId="12" fillId="0" borderId="3" xfId="1" applyFont="1" applyBorder="1" applyAlignment="1">
      <alignment horizontal="center" vertical="center"/>
    </xf>
    <xf numFmtId="2" fontId="12" fillId="0" borderId="3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15" fontId="12" fillId="0" borderId="0" xfId="0" applyNumberFormat="1" applyFont="1" applyAlignment="1">
      <alignment horizontal="left" vertical="center"/>
    </xf>
    <xf numFmtId="0" fontId="13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 vertical="center"/>
    </xf>
    <xf numFmtId="166" fontId="13" fillId="9" borderId="0" xfId="7" applyNumberFormat="1" applyFont="1" applyFill="1" applyAlignment="1">
      <alignment horizontal="center" vertical="center"/>
    </xf>
    <xf numFmtId="15" fontId="12" fillId="0" borderId="3" xfId="0" applyNumberFormat="1" applyFont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top"/>
    </xf>
    <xf numFmtId="167" fontId="12" fillId="9" borderId="3" xfId="0" applyNumberFormat="1" applyFont="1" applyFill="1" applyBorder="1" applyAlignment="1">
      <alignment horizontal="center" vertical="center"/>
    </xf>
    <xf numFmtId="165" fontId="12" fillId="9" borderId="3" xfId="7" applyNumberFormat="1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/>
    </xf>
    <xf numFmtId="15" fontId="12" fillId="9" borderId="3" xfId="0" applyNumberFormat="1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0" borderId="0" xfId="0" applyFont="1"/>
    <xf numFmtId="1" fontId="12" fillId="0" borderId="3" xfId="0" applyNumberFormat="1" applyFont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vertical="center"/>
    </xf>
    <xf numFmtId="0" fontId="12" fillId="8" borderId="3" xfId="0" applyFont="1" applyFill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1" fontId="12" fillId="0" borderId="3" xfId="1" applyNumberFormat="1" applyFont="1" applyBorder="1" applyAlignment="1">
      <alignment horizontal="center" vertical="center"/>
    </xf>
    <xf numFmtId="2" fontId="12" fillId="0" borderId="0" xfId="1" applyNumberFormat="1" applyFont="1" applyAlignment="1">
      <alignment horizontal="center" vertical="center"/>
    </xf>
    <xf numFmtId="0" fontId="12" fillId="0" borderId="0" xfId="1" applyFont="1"/>
    <xf numFmtId="1" fontId="12" fillId="0" borderId="20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/>
    </xf>
    <xf numFmtId="0" fontId="12" fillId="0" borderId="3" xfId="1" applyFont="1" applyBorder="1" applyAlignment="1">
      <alignment vertical="center"/>
    </xf>
    <xf numFmtId="0" fontId="12" fillId="0" borderId="3" xfId="1" applyFont="1" applyBorder="1" applyAlignment="1">
      <alignment horizontal="left" vertical="center"/>
    </xf>
    <xf numFmtId="166" fontId="12" fillId="0" borderId="0" xfId="7" applyNumberFormat="1" applyFont="1" applyFill="1"/>
    <xf numFmtId="0" fontId="12" fillId="5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2" fillId="4" borderId="20" xfId="0" applyFont="1" applyFill="1" applyBorder="1" applyAlignment="1">
      <alignment vertical="center"/>
    </xf>
    <xf numFmtId="167" fontId="12" fillId="0" borderId="3" xfId="0" applyNumberFormat="1" applyFont="1" applyBorder="1" applyAlignment="1">
      <alignment horizontal="center"/>
    </xf>
    <xf numFmtId="0" fontId="12" fillId="9" borderId="3" xfId="0" applyFont="1" applyFill="1" applyBorder="1" applyAlignment="1">
      <alignment vertical="center"/>
    </xf>
    <xf numFmtId="0" fontId="12" fillId="0" borderId="0" xfId="0" applyFont="1" applyAlignment="1">
      <alignment horizontal="left"/>
    </xf>
    <xf numFmtId="0" fontId="12" fillId="9" borderId="3" xfId="0" applyFont="1" applyFill="1" applyBorder="1" applyAlignment="1">
      <alignment horizontal="left" vertical="top"/>
    </xf>
    <xf numFmtId="0" fontId="13" fillId="9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9" borderId="3" xfId="7" applyNumberFormat="1" applyFont="1" applyFill="1" applyBorder="1" applyAlignment="1">
      <alignment horizontal="center" vertical="center"/>
    </xf>
    <xf numFmtId="167" fontId="12" fillId="9" borderId="3" xfId="1" applyNumberFormat="1" applyFont="1" applyFill="1" applyBorder="1" applyAlignment="1">
      <alignment horizontal="center" vertical="center"/>
    </xf>
    <xf numFmtId="166" fontId="12" fillId="0" borderId="0" xfId="7" applyNumberFormat="1" applyFont="1" applyFill="1" applyBorder="1" applyAlignment="1">
      <alignment horizontal="center" vertical="center"/>
    </xf>
    <xf numFmtId="166" fontId="12" fillId="0" borderId="0" xfId="7" applyNumberFormat="1" applyFont="1" applyFill="1" applyAlignment="1">
      <alignment horizontal="center"/>
    </xf>
    <xf numFmtId="166" fontId="13" fillId="0" borderId="0" xfId="7" applyNumberFormat="1" applyFont="1" applyFill="1" applyAlignment="1">
      <alignment horizontal="center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0" fillId="0" borderId="3" xfId="0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2" fillId="7" borderId="3" xfId="0" applyFont="1" applyFill="1" applyBorder="1" applyAlignment="1">
      <alignment horizontal="center" vertical="top" wrapText="1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66" fontId="16" fillId="0" borderId="0" xfId="7" applyNumberFormat="1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0" fontId="16" fillId="5" borderId="3" xfId="0" applyFont="1" applyFill="1" applyBorder="1" applyAlignment="1">
      <alignment vertical="center"/>
    </xf>
    <xf numFmtId="2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/>
    </xf>
    <xf numFmtId="0" fontId="16" fillId="0" borderId="21" xfId="0" applyFont="1" applyBorder="1" applyAlignment="1">
      <alignment vertical="center"/>
    </xf>
    <xf numFmtId="0" fontId="16" fillId="8" borderId="3" xfId="0" applyFont="1" applyFill="1" applyBorder="1" applyAlignment="1">
      <alignment vertical="center"/>
    </xf>
    <xf numFmtId="166" fontId="16" fillId="0" borderId="0" xfId="7" applyNumberFormat="1" applyFont="1" applyFill="1" applyAlignment="1">
      <alignment horizontal="center"/>
    </xf>
    <xf numFmtId="1" fontId="16" fillId="0" borderId="20" xfId="0" applyNumberFormat="1" applyFont="1" applyBorder="1" applyAlignment="1">
      <alignment horizontal="center" vertical="center"/>
    </xf>
    <xf numFmtId="0" fontId="16" fillId="4" borderId="20" xfId="0" applyFont="1" applyFill="1" applyBorder="1" applyAlignment="1">
      <alignment vertic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 wrapText="1"/>
    </xf>
    <xf numFmtId="166" fontId="16" fillId="0" borderId="3" xfId="7" applyNumberFormat="1" applyFont="1" applyFill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 wrapText="1"/>
    </xf>
    <xf numFmtId="0" fontId="12" fillId="9" borderId="3" xfId="1" applyFont="1" applyFill="1" applyBorder="1" applyAlignment="1">
      <alignment horizontal="left" vertical="center"/>
    </xf>
    <xf numFmtId="0" fontId="14" fillId="9" borderId="3" xfId="0" applyFont="1" applyFill="1" applyBorder="1" applyAlignment="1">
      <alignment horizontal="center"/>
    </xf>
    <xf numFmtId="3" fontId="12" fillId="9" borderId="3" xfId="0" applyNumberFormat="1" applyFont="1" applyFill="1" applyBorder="1" applyAlignment="1">
      <alignment horizontal="center"/>
    </xf>
    <xf numFmtId="167" fontId="12" fillId="9" borderId="3" xfId="0" applyNumberFormat="1" applyFont="1" applyFill="1" applyBorder="1" applyAlignment="1">
      <alignment horizontal="center"/>
    </xf>
    <xf numFmtId="166" fontId="12" fillId="0" borderId="0" xfId="7" applyNumberFormat="1" applyFont="1" applyFill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12" fillId="9" borderId="3" xfId="12" applyNumberFormat="1" applyFont="1" applyFill="1" applyBorder="1" applyAlignment="1">
      <alignment horizontal="center" vertical="center"/>
    </xf>
    <xf numFmtId="0" fontId="12" fillId="9" borderId="3" xfId="12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vertical="top"/>
    </xf>
    <xf numFmtId="3" fontId="19" fillId="0" borderId="3" xfId="0" applyNumberFormat="1" applyFont="1" applyBorder="1" applyAlignment="1">
      <alignment horizontal="right" vertical="top"/>
    </xf>
    <xf numFmtId="0" fontId="12" fillId="9" borderId="0" xfId="0" applyFont="1" applyFill="1" applyAlignment="1">
      <alignment horizontal="center"/>
    </xf>
    <xf numFmtId="0" fontId="12" fillId="9" borderId="0" xfId="0" applyFont="1" applyFill="1"/>
    <xf numFmtId="166" fontId="12" fillId="9" borderId="3" xfId="12" applyNumberFormat="1" applyFont="1" applyFill="1" applyBorder="1" applyAlignment="1"/>
    <xf numFmtId="166" fontId="12" fillId="9" borderId="3" xfId="12" applyNumberFormat="1" applyFont="1" applyFill="1" applyBorder="1" applyAlignment="1">
      <alignment horizontal="center" vertical="center"/>
    </xf>
    <xf numFmtId="0" fontId="0" fillId="9" borderId="0" xfId="0" applyFill="1"/>
    <xf numFmtId="0" fontId="12" fillId="4" borderId="3" xfId="0" applyFont="1" applyFill="1" applyBorder="1" applyAlignment="1">
      <alignment horizontal="center" vertical="center"/>
    </xf>
    <xf numFmtId="0" fontId="12" fillId="9" borderId="3" xfId="1" applyFont="1" applyFill="1" applyBorder="1" applyAlignment="1">
      <alignment vertical="center"/>
    </xf>
    <xf numFmtId="0" fontId="12" fillId="9" borderId="0" xfId="1" applyFont="1" applyFill="1"/>
    <xf numFmtId="0" fontId="13" fillId="0" borderId="3" xfId="0" applyFont="1" applyBorder="1" applyAlignment="1">
      <alignment horizontal="center"/>
    </xf>
    <xf numFmtId="3" fontId="19" fillId="0" borderId="3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2" fillId="0" borderId="3" xfId="0" applyFont="1" applyBorder="1" applyAlignment="1">
      <alignment horizontal="center" vertical="center"/>
    </xf>
    <xf numFmtId="3" fontId="19" fillId="9" borderId="3" xfId="0" applyNumberFormat="1" applyFont="1" applyFill="1" applyBorder="1" applyAlignment="1">
      <alignment horizontal="center" vertical="top"/>
    </xf>
    <xf numFmtId="0" fontId="13" fillId="0" borderId="3" xfId="0" applyFont="1" applyBorder="1" applyAlignment="1">
      <alignment vertical="top"/>
    </xf>
    <xf numFmtId="0" fontId="19" fillId="9" borderId="3" xfId="0" applyFont="1" applyFill="1" applyBorder="1" applyAlignment="1">
      <alignment vertical="top"/>
    </xf>
    <xf numFmtId="0" fontId="12" fillId="7" borderId="3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12" fillId="0" borderId="3" xfId="0" applyFont="1" applyBorder="1" applyAlignment="1">
      <alignment vertical="center" wrapText="1"/>
    </xf>
    <xf numFmtId="0" fontId="12" fillId="9" borderId="3" xfId="7" applyNumberFormat="1" applyFont="1" applyFill="1" applyBorder="1" applyAlignment="1">
      <alignment vertical="center"/>
    </xf>
    <xf numFmtId="0" fontId="12" fillId="0" borderId="0" xfId="7" applyNumberFormat="1" applyFont="1" applyFill="1" applyBorder="1" applyAlignment="1">
      <alignment vertical="center"/>
    </xf>
    <xf numFmtId="0" fontId="12" fillId="0" borderId="0" xfId="7" applyNumberFormat="1" applyFont="1" applyFill="1" applyAlignment="1">
      <alignment vertical="center"/>
    </xf>
    <xf numFmtId="0" fontId="12" fillId="0" borderId="3" xfId="7" applyNumberFormat="1" applyFont="1" applyFill="1" applyBorder="1" applyAlignment="1">
      <alignment vertical="center"/>
    </xf>
    <xf numFmtId="166" fontId="13" fillId="9" borderId="3" xfId="7" applyNumberFormat="1" applyFont="1" applyFill="1" applyBorder="1" applyAlignment="1">
      <alignment vertical="center"/>
    </xf>
    <xf numFmtId="3" fontId="13" fillId="0" borderId="3" xfId="0" applyNumberFormat="1" applyFont="1" applyBorder="1" applyAlignment="1">
      <alignment vertical="top"/>
    </xf>
    <xf numFmtId="3" fontId="19" fillId="0" borderId="3" xfId="0" applyNumberFormat="1" applyFont="1" applyBorder="1" applyAlignment="1">
      <alignment vertical="top"/>
    </xf>
    <xf numFmtId="3" fontId="19" fillId="9" borderId="3" xfId="0" applyNumberFormat="1" applyFont="1" applyFill="1" applyBorder="1" applyAlignment="1">
      <alignment vertical="top"/>
    </xf>
    <xf numFmtId="0" fontId="12" fillId="7" borderId="3" xfId="0" applyFont="1" applyFill="1" applyBorder="1" applyAlignment="1">
      <alignment horizontal="center" vertical="center" wrapText="1"/>
    </xf>
    <xf numFmtId="49" fontId="12" fillId="9" borderId="3" xfId="0" applyNumberFormat="1" applyFont="1" applyFill="1" applyBorder="1" applyAlignment="1">
      <alignment horizontal="center"/>
    </xf>
    <xf numFmtId="0" fontId="13" fillId="9" borderId="3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/>
    </xf>
    <xf numFmtId="166" fontId="13" fillId="0" borderId="3" xfId="7" applyNumberFormat="1" applyFont="1" applyFill="1" applyBorder="1" applyAlignment="1">
      <alignment horizontal="center"/>
    </xf>
    <xf numFmtId="14" fontId="12" fillId="9" borderId="3" xfId="0" applyNumberFormat="1" applyFont="1" applyFill="1" applyBorder="1" applyAlignment="1">
      <alignment horizontal="center" vertical="center"/>
    </xf>
    <xf numFmtId="167" fontId="12" fillId="9" borderId="3" xfId="1" applyNumberFormat="1" applyFont="1" applyFill="1" applyBorder="1" applyAlignment="1">
      <alignment horizontal="center"/>
    </xf>
    <xf numFmtId="167" fontId="20" fillId="9" borderId="3" xfId="0" applyNumberFormat="1" applyFont="1" applyFill="1" applyBorder="1" applyAlignment="1">
      <alignment horizontal="center" vertical="top"/>
    </xf>
    <xf numFmtId="14" fontId="13" fillId="0" borderId="3" xfId="0" applyNumberFormat="1" applyFont="1" applyBorder="1" applyAlignment="1">
      <alignment horizontal="center"/>
    </xf>
    <xf numFmtId="0" fontId="15" fillId="0" borderId="25" xfId="0" applyFont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8" fillId="0" borderId="0" xfId="0" applyFont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8" fillId="6" borderId="17" xfId="0" applyFont="1" applyFill="1" applyBorder="1" applyAlignment="1">
      <alignment horizontal="center" vertical="center"/>
    </xf>
    <xf numFmtId="0" fontId="8" fillId="6" borderId="18" xfId="0" quotePrefix="1" applyFont="1" applyFill="1" applyBorder="1" applyAlignment="1">
      <alignment horizontal="center" vertical="center"/>
    </xf>
    <xf numFmtId="0" fontId="8" fillId="6" borderId="19" xfId="0" quotePrefix="1" applyFont="1" applyFill="1" applyBorder="1" applyAlignment="1">
      <alignment horizontal="center" vertical="center"/>
    </xf>
  </cellXfs>
  <cellStyles count="71">
    <cellStyle name="Comma" xfId="7" builtinId="3"/>
    <cellStyle name="Comma 2" xfId="12" xr:uid="{19C95879-E7E5-488D-8C02-110D29AC887A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4 2" xfId="4" xr:uid="{00000000-0005-0000-0000-000005000000}"/>
    <cellStyle name="Normal 4 2 2" xfId="6" xr:uid="{00000000-0005-0000-0000-000006000000}"/>
    <cellStyle name="Normal 4 2 2 2" xfId="11" xr:uid="{B4350AC9-0E7A-4AB4-A02A-7D2C3190CA57}"/>
    <cellStyle name="Normal 4 2 2 2 2" xfId="21" xr:uid="{5D1D9217-6CB2-4032-94D8-FFA3972F29E9}"/>
    <cellStyle name="Normal 4 2 2 2 2 2" xfId="38" xr:uid="{C270E76E-BA7C-436A-B56B-A839E0AA4FB5}"/>
    <cellStyle name="Normal 4 2 2 2 2 2 2" xfId="70" xr:uid="{0BB3BDF7-41AE-475F-B13F-93BC7979AE8D}"/>
    <cellStyle name="Normal 4 2 2 2 2 3" xfId="54" xr:uid="{2836A499-38A9-40E3-A128-39A35365CDAB}"/>
    <cellStyle name="Normal 4 2 2 2 3" xfId="29" xr:uid="{6483C341-ACBB-45E6-BD38-ABA08979A507}"/>
    <cellStyle name="Normal 4 2 2 2 3 2" xfId="62" xr:uid="{9668C90C-16F9-4D5E-83AB-350330204B3B}"/>
    <cellStyle name="Normal 4 2 2 2 4" xfId="46" xr:uid="{00BBB5AE-CCD6-4A41-91E0-6B2662D9C455}"/>
    <cellStyle name="Normal 4 2 2 3" xfId="17" xr:uid="{6129A8E3-91FF-40B4-A102-10B378260FD2}"/>
    <cellStyle name="Normal 4 2 2 3 2" xfId="34" xr:uid="{43114D94-5A3F-43B2-8BCD-2964ED81FE7C}"/>
    <cellStyle name="Normal 4 2 2 3 2 2" xfId="66" xr:uid="{54AAFBFD-919C-47DE-804B-70D0BDEDD426}"/>
    <cellStyle name="Normal 4 2 2 3 3" xfId="50" xr:uid="{874FC1F7-0B50-486E-A6F0-F3D527666F57}"/>
    <cellStyle name="Normal 4 2 2 4" xfId="25" xr:uid="{7D08EC53-16C1-487E-8A55-E486AC0399E3}"/>
    <cellStyle name="Normal 4 2 2 4 2" xfId="58" xr:uid="{9031092E-A2AD-4DA9-A540-A02A602450C9}"/>
    <cellStyle name="Normal 4 2 2 5" xfId="42" xr:uid="{F3A4D242-E435-4D1D-A6B7-96DE486DAD15}"/>
    <cellStyle name="Normal 4 2 3" xfId="9" xr:uid="{09D61701-6020-4286-94E0-A2795C46E017}"/>
    <cellStyle name="Normal 4 2 3 2" xfId="19" xr:uid="{47F8D644-0C7A-4D13-B5AA-6B195F951445}"/>
    <cellStyle name="Normal 4 2 3 2 2" xfId="36" xr:uid="{982F9E01-E187-43D8-B68D-D075D5986B49}"/>
    <cellStyle name="Normal 4 2 3 2 2 2" xfId="68" xr:uid="{EAB288DA-6807-419F-8643-0DC006B0ACEC}"/>
    <cellStyle name="Normal 4 2 3 2 3" xfId="52" xr:uid="{DC4608B7-CA83-40EF-B5E2-F19F6B140803}"/>
    <cellStyle name="Normal 4 2 3 3" xfId="27" xr:uid="{7AC3CC12-2648-4AE7-AE7F-1C95001E7920}"/>
    <cellStyle name="Normal 4 2 3 3 2" xfId="60" xr:uid="{D7EDEDEC-FBA2-420F-9441-3C7435DB6AC0}"/>
    <cellStyle name="Normal 4 2 3 4" xfId="44" xr:uid="{C8CBDD5C-BF25-492B-895E-736D910C83F5}"/>
    <cellStyle name="Normal 4 2 4" xfId="15" xr:uid="{E94E7E16-13C4-4673-B84C-2B9ADBFB7247}"/>
    <cellStyle name="Normal 4 2 4 2" xfId="32" xr:uid="{1B511686-07EB-4E53-92DF-3643901F6E0E}"/>
    <cellStyle name="Normal 4 2 4 2 2" xfId="64" xr:uid="{4894EA77-35A3-4CA9-94FE-AC598A6242D1}"/>
    <cellStyle name="Normal 4 2 4 3" xfId="48" xr:uid="{2B3768FE-62C0-4260-8E5A-F8CF9606D3CD}"/>
    <cellStyle name="Normal 4 2 5" xfId="23" xr:uid="{8FC0E8BA-0E30-4B2E-A7F5-A460390FEF2B}"/>
    <cellStyle name="Normal 4 2 5 2" xfId="56" xr:uid="{686DD36F-E13C-45DD-8BF5-9879DA2EEA76}"/>
    <cellStyle name="Normal 4 2 6" xfId="40" xr:uid="{B1176F99-A59E-438F-87AA-8C566DA6040A}"/>
    <cellStyle name="Normal 4 3" xfId="5" xr:uid="{00000000-0005-0000-0000-000007000000}"/>
    <cellStyle name="Normal 4 3 2" xfId="10" xr:uid="{4D9E810B-B35E-4FA8-8789-5DB0796015AE}"/>
    <cellStyle name="Normal 4 3 2 2" xfId="20" xr:uid="{1D61846E-8AF2-4DD7-A26D-024F07219140}"/>
    <cellStyle name="Normal 4 3 2 2 2" xfId="37" xr:uid="{E0CAEA87-9B9A-434F-A4BA-3FBA829528FB}"/>
    <cellStyle name="Normal 4 3 2 2 2 2" xfId="69" xr:uid="{C908321D-90E7-4EE4-84A2-EAF02ADF4B69}"/>
    <cellStyle name="Normal 4 3 2 2 3" xfId="53" xr:uid="{DF682253-5B6C-4608-A20E-004890C244A6}"/>
    <cellStyle name="Normal 4 3 2 3" xfId="28" xr:uid="{1DB35A64-0FC9-4F4E-BC9E-D078BB154869}"/>
    <cellStyle name="Normal 4 3 2 3 2" xfId="61" xr:uid="{73A51C97-CC05-4CDB-81A1-3882EE9BE6B6}"/>
    <cellStyle name="Normal 4 3 2 4" xfId="45" xr:uid="{F6858CEF-39E4-4E53-95B0-4B757EDDED17}"/>
    <cellStyle name="Normal 4 3 3" xfId="16" xr:uid="{0B7ABA55-A923-4E3D-BBB2-2F5450A8E14C}"/>
    <cellStyle name="Normal 4 3 3 2" xfId="33" xr:uid="{8BD97AB4-88CF-48E6-A1EF-D7838FB1248E}"/>
    <cellStyle name="Normal 4 3 3 2 2" xfId="65" xr:uid="{B333C00A-8781-4B74-95D8-2518E0B9AFF6}"/>
    <cellStyle name="Normal 4 3 3 3" xfId="49" xr:uid="{47563CC3-013D-4D15-BEC7-D5BB272CAACA}"/>
    <cellStyle name="Normal 4 3 4" xfId="24" xr:uid="{1EC0D5F2-CD71-4C5F-9776-00D2ABE7DDD9}"/>
    <cellStyle name="Normal 4 3 4 2" xfId="57" xr:uid="{B10F588A-021F-43B9-B81A-7A957A118974}"/>
    <cellStyle name="Normal 4 3 5" xfId="41" xr:uid="{7B870A52-E2F9-4D46-ABF8-9068D16DB188}"/>
    <cellStyle name="Normal 4 4" xfId="8" xr:uid="{31E7177C-F255-4FA4-AD29-27BF415F9079}"/>
    <cellStyle name="Normal 4 4 2" xfId="18" xr:uid="{7AC2524F-E455-4DF1-81E0-93078B90F0D8}"/>
    <cellStyle name="Normal 4 4 2 2" xfId="35" xr:uid="{007C0B44-4FDB-4B33-A6F9-4168723CADBC}"/>
    <cellStyle name="Normal 4 4 2 2 2" xfId="67" xr:uid="{4EC07CC3-7FC0-4BFE-901A-CEB24F63E413}"/>
    <cellStyle name="Normal 4 4 2 3" xfId="51" xr:uid="{CC88D387-DFB2-41A1-943F-04846284E94B}"/>
    <cellStyle name="Normal 4 4 3" xfId="26" xr:uid="{7A795823-77CF-4B00-8A22-B1F26530EA4F}"/>
    <cellStyle name="Normal 4 4 3 2" xfId="59" xr:uid="{20BD818A-F203-4A8C-8CFB-E4726283B9C3}"/>
    <cellStyle name="Normal 4 4 4" xfId="43" xr:uid="{5A79D0D5-31D2-4566-A0A0-9A52D4A5E002}"/>
    <cellStyle name="Normal 4 5" xfId="14" xr:uid="{4BC0CA65-6B26-4F12-987D-0D4030A79797}"/>
    <cellStyle name="Normal 4 5 2" xfId="31" xr:uid="{50E90C43-2C0F-4FCD-B774-B95F010D022F}"/>
    <cellStyle name="Normal 4 5 2 2" xfId="63" xr:uid="{3426BC6C-AF68-461E-B766-1CC11AEBD147}"/>
    <cellStyle name="Normal 4 5 3" xfId="47" xr:uid="{98CB9D82-0424-4E7F-903D-882E98BCA2E7}"/>
    <cellStyle name="Normal 4 6" xfId="22" xr:uid="{4A615318-961F-445B-AA03-9447C7BA682F}"/>
    <cellStyle name="Normal 4 6 2" xfId="55" xr:uid="{19A9FA12-7F04-42D3-8151-968915D12F67}"/>
    <cellStyle name="Normal 4 7" xfId="39" xr:uid="{4508F146-D319-4B1E-9637-43486E0CC57F}"/>
    <cellStyle name="Normal 5" xfId="13" xr:uid="{D71E908A-D533-4E69-A452-AC59D4F97FAA}"/>
    <cellStyle name="Normal 5 2" xfId="30" xr:uid="{75444BAE-70E7-47F0-BFE0-CAF11F82A95A}"/>
  </cellStyles>
  <dxfs count="24">
    <dxf>
      <fill>
        <patternFill>
          <bgColor rgb="FF92D050"/>
        </patternFill>
      </fill>
    </dxf>
    <dxf>
      <fill>
        <patternFill>
          <bgColor indexed="5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BI252"/>
  <sheetViews>
    <sheetView tabSelected="1" zoomScale="89" zoomScaleNormal="89" workbookViewId="0">
      <pane ySplit="5" topLeftCell="A129" activePane="bottomLeft" state="frozen"/>
      <selection pane="bottomLeft" activeCell="D152" sqref="D152"/>
    </sheetView>
  </sheetViews>
  <sheetFormatPr defaultColWidth="9.140625" defaultRowHeight="12" customHeight="1" x14ac:dyDescent="0.2"/>
  <cols>
    <col min="1" max="1" width="5.140625" style="66" bestFit="1" customWidth="1"/>
    <col min="2" max="2" width="16.5703125" style="66" customWidth="1"/>
    <col min="3" max="3" width="10.42578125" style="98" customWidth="1"/>
    <col min="4" max="4" width="44" style="98" bestFit="1" customWidth="1"/>
    <col min="5" max="5" width="12.42578125" style="67" bestFit="1" customWidth="1"/>
    <col min="6" max="6" width="15" style="66" bestFit="1" customWidth="1"/>
    <col min="7" max="7" width="16.5703125" style="75" bestFit="1" customWidth="1"/>
    <col min="8" max="8" width="10.42578125" style="66" customWidth="1"/>
    <col min="9" max="9" width="10.85546875" style="66" customWidth="1"/>
    <col min="10" max="10" width="11.140625" style="66" customWidth="1"/>
    <col min="11" max="11" width="14.5703125" style="65" hidden="1" customWidth="1"/>
    <col min="12" max="12" width="9.140625" style="65" customWidth="1"/>
    <col min="13" max="16382" width="9.140625" style="65"/>
    <col min="16383" max="16384" width="16.5703125" style="65" customWidth="1"/>
  </cols>
  <sheetData>
    <row r="2" spans="1:61" s="56" customFormat="1" ht="12" customHeight="1" x14ac:dyDescent="0.2">
      <c r="B2" s="76"/>
      <c r="C2" s="96"/>
      <c r="D2" s="99" t="s">
        <v>193</v>
      </c>
      <c r="E2" s="47"/>
      <c r="F2" s="49"/>
      <c r="G2" s="77" t="s">
        <v>117</v>
      </c>
      <c r="H2" s="77"/>
      <c r="I2" s="78"/>
      <c r="J2" s="79"/>
      <c r="K2" s="48"/>
    </row>
    <row r="3" spans="1:61" s="56" customFormat="1" ht="12" customHeight="1" x14ac:dyDescent="0.2">
      <c r="B3" s="76"/>
      <c r="C3" s="96"/>
      <c r="D3" s="64">
        <v>45810</v>
      </c>
      <c r="F3" s="90"/>
      <c r="G3" s="77" t="s">
        <v>116</v>
      </c>
      <c r="H3" s="81"/>
      <c r="I3" s="80"/>
      <c r="J3" s="79"/>
      <c r="K3" s="48"/>
    </row>
    <row r="4" spans="1:61" s="56" customFormat="1" ht="12" customHeight="1" x14ac:dyDescent="0.2">
      <c r="B4" s="76"/>
      <c r="C4" s="96"/>
      <c r="D4" s="99"/>
      <c r="E4" s="47"/>
      <c r="F4" s="49"/>
      <c r="G4" s="81" t="s">
        <v>115</v>
      </c>
      <c r="H4" s="77"/>
      <c r="I4" s="82"/>
      <c r="J4" s="79"/>
      <c r="K4" s="48"/>
    </row>
    <row r="5" spans="1:61" ht="12.75" x14ac:dyDescent="0.2">
      <c r="A5" s="69" t="s">
        <v>119</v>
      </c>
      <c r="B5" s="69" t="s">
        <v>120</v>
      </c>
      <c r="C5" s="97" t="s">
        <v>1</v>
      </c>
      <c r="D5" s="97" t="s">
        <v>2</v>
      </c>
      <c r="E5" s="70" t="s">
        <v>118</v>
      </c>
      <c r="F5" s="71" t="s">
        <v>4</v>
      </c>
      <c r="G5" s="71" t="s">
        <v>76</v>
      </c>
      <c r="H5" s="72" t="s">
        <v>5</v>
      </c>
      <c r="I5" s="72" t="s">
        <v>6</v>
      </c>
      <c r="J5" s="69" t="s">
        <v>114</v>
      </c>
      <c r="K5" s="73" t="s">
        <v>113</v>
      </c>
    </row>
    <row r="6" spans="1:61" ht="12.75" x14ac:dyDescent="0.2">
      <c r="A6" s="69" t="s">
        <v>192</v>
      </c>
      <c r="B6" s="89" t="s">
        <v>148</v>
      </c>
      <c r="C6" s="140">
        <v>64947061</v>
      </c>
      <c r="D6" s="140" t="s">
        <v>210</v>
      </c>
      <c r="E6" s="151">
        <v>54</v>
      </c>
      <c r="F6" s="68">
        <v>45810</v>
      </c>
      <c r="G6" s="101">
        <v>46487</v>
      </c>
      <c r="H6" s="100">
        <f t="shared" ref="H6:H82" si="0">G6-F6</f>
        <v>677</v>
      </c>
      <c r="I6" s="72">
        <f t="shared" ref="I6:I82" si="1">H6/365*12</f>
        <v>22.257534246575343</v>
      </c>
      <c r="J6" s="69"/>
      <c r="K6" s="73"/>
    </row>
    <row r="7" spans="1:61" ht="12.75" x14ac:dyDescent="0.2">
      <c r="A7" s="69" t="s">
        <v>192</v>
      </c>
      <c r="B7" s="89" t="s">
        <v>148</v>
      </c>
      <c r="C7" s="140">
        <v>64907107</v>
      </c>
      <c r="D7" s="140" t="s">
        <v>337</v>
      </c>
      <c r="E7" s="151">
        <v>185</v>
      </c>
      <c r="F7" s="68">
        <v>45810</v>
      </c>
      <c r="G7" s="101">
        <v>46896</v>
      </c>
      <c r="H7" s="100">
        <f t="shared" si="0"/>
        <v>1086</v>
      </c>
      <c r="I7" s="72">
        <f t="shared" si="1"/>
        <v>35.704109589041096</v>
      </c>
      <c r="J7" s="69"/>
      <c r="K7" s="73"/>
    </row>
    <row r="8" spans="1:61" s="158" customFormat="1" ht="12.75" x14ac:dyDescent="0.2">
      <c r="A8" s="69" t="s">
        <v>192</v>
      </c>
      <c r="B8" s="128" t="s">
        <v>148</v>
      </c>
      <c r="C8" s="156">
        <v>64937141</v>
      </c>
      <c r="D8" s="156" t="s">
        <v>211</v>
      </c>
      <c r="E8" s="154">
        <v>192</v>
      </c>
      <c r="F8" s="68">
        <v>45810</v>
      </c>
      <c r="G8" s="101">
        <v>46800</v>
      </c>
      <c r="H8" s="100">
        <f t="shared" si="0"/>
        <v>990</v>
      </c>
      <c r="I8" s="72">
        <f t="shared" si="1"/>
        <v>32.547945205479451</v>
      </c>
      <c r="J8" s="69"/>
      <c r="K8" s="73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</row>
    <row r="9" spans="1:61" ht="12.75" x14ac:dyDescent="0.2">
      <c r="A9" s="69" t="s">
        <v>192</v>
      </c>
      <c r="B9" s="128" t="s">
        <v>148</v>
      </c>
      <c r="C9" s="140">
        <v>64907093</v>
      </c>
      <c r="D9" s="140" t="s">
        <v>338</v>
      </c>
      <c r="E9" s="151">
        <v>515</v>
      </c>
      <c r="F9" s="68">
        <v>45810</v>
      </c>
      <c r="G9" s="101">
        <v>46896</v>
      </c>
      <c r="H9" s="100">
        <f t="shared" si="0"/>
        <v>1086</v>
      </c>
      <c r="I9" s="72">
        <f t="shared" si="1"/>
        <v>35.704109589041096</v>
      </c>
      <c r="J9" s="69"/>
      <c r="K9" s="73"/>
    </row>
    <row r="10" spans="1:61" ht="12.75" x14ac:dyDescent="0.2">
      <c r="A10" s="69" t="s">
        <v>192</v>
      </c>
      <c r="B10" s="128" t="s">
        <v>148</v>
      </c>
      <c r="C10" s="140">
        <v>64894581</v>
      </c>
      <c r="D10" s="140" t="s">
        <v>314</v>
      </c>
      <c r="E10" s="151">
        <v>3555</v>
      </c>
      <c r="F10" s="68">
        <v>45810</v>
      </c>
      <c r="G10" s="101">
        <v>46487</v>
      </c>
      <c r="H10" s="100">
        <f t="shared" si="0"/>
        <v>677</v>
      </c>
      <c r="I10" s="72">
        <f t="shared" si="1"/>
        <v>22.257534246575343</v>
      </c>
      <c r="J10" s="69"/>
      <c r="K10" s="73"/>
    </row>
    <row r="11" spans="1:61" ht="12.75" x14ac:dyDescent="0.2">
      <c r="A11" s="69" t="s">
        <v>192</v>
      </c>
      <c r="B11" s="128" t="s">
        <v>148</v>
      </c>
      <c r="C11" s="140">
        <v>64907100</v>
      </c>
      <c r="D11" s="140" t="s">
        <v>369</v>
      </c>
      <c r="E11" s="151">
        <v>386</v>
      </c>
      <c r="F11" s="68">
        <v>45810</v>
      </c>
      <c r="G11" s="101">
        <v>46883</v>
      </c>
      <c r="H11" s="100">
        <f t="shared" ref="H11" si="2">G11-F11</f>
        <v>1073</v>
      </c>
      <c r="I11" s="72">
        <f t="shared" ref="I11" si="3">H11/365*12</f>
        <v>35.276712328767125</v>
      </c>
      <c r="J11" s="69"/>
      <c r="K11" s="73"/>
    </row>
    <row r="12" spans="1:61" ht="12.75" x14ac:dyDescent="0.2">
      <c r="A12" s="69" t="s">
        <v>192</v>
      </c>
      <c r="B12" s="128" t="s">
        <v>148</v>
      </c>
      <c r="C12" s="140">
        <v>64894571</v>
      </c>
      <c r="D12" s="140" t="s">
        <v>370</v>
      </c>
      <c r="E12" s="151">
        <v>11</v>
      </c>
      <c r="F12" s="68">
        <v>45810</v>
      </c>
      <c r="G12" s="101">
        <v>46888</v>
      </c>
      <c r="H12" s="100">
        <f t="shared" ref="H12" si="4">G12-F12</f>
        <v>1078</v>
      </c>
      <c r="I12" s="72">
        <f t="shared" ref="I12" si="5">H12/365*12</f>
        <v>35.441095890410963</v>
      </c>
      <c r="J12" s="69"/>
      <c r="K12" s="73"/>
    </row>
    <row r="13" spans="1:61" ht="12.75" x14ac:dyDescent="0.2">
      <c r="A13" s="69" t="s">
        <v>192</v>
      </c>
      <c r="B13" s="128" t="s">
        <v>148</v>
      </c>
      <c r="C13" s="140">
        <v>64884987</v>
      </c>
      <c r="D13" s="140" t="s">
        <v>339</v>
      </c>
      <c r="E13" s="154">
        <v>186</v>
      </c>
      <c r="F13" s="68">
        <v>45810</v>
      </c>
      <c r="G13" s="101">
        <v>46882</v>
      </c>
      <c r="H13" s="100">
        <f t="shared" ref="H13:H14" si="6">G13-F13</f>
        <v>1072</v>
      </c>
      <c r="I13" s="72">
        <f t="shared" ref="I13:I14" si="7">H13/365*12</f>
        <v>35.243835616438353</v>
      </c>
      <c r="J13" s="69"/>
      <c r="K13" s="73"/>
    </row>
    <row r="14" spans="1:61" ht="12.75" x14ac:dyDescent="0.2">
      <c r="A14" s="69" t="s">
        <v>192</v>
      </c>
      <c r="B14" s="128" t="s">
        <v>148</v>
      </c>
      <c r="C14" s="140">
        <v>64884345</v>
      </c>
      <c r="D14" s="140" t="s">
        <v>371</v>
      </c>
      <c r="E14" s="151">
        <v>1323</v>
      </c>
      <c r="F14" s="68">
        <v>45810</v>
      </c>
      <c r="G14" s="101">
        <v>46517</v>
      </c>
      <c r="H14" s="100">
        <f t="shared" si="6"/>
        <v>707</v>
      </c>
      <c r="I14" s="72">
        <f t="shared" si="7"/>
        <v>23.243835616438353</v>
      </c>
      <c r="J14" s="69"/>
      <c r="K14" s="73"/>
    </row>
    <row r="15" spans="1:61" ht="12.75" x14ac:dyDescent="0.2">
      <c r="A15" s="69" t="s">
        <v>192</v>
      </c>
      <c r="B15" s="128" t="s">
        <v>148</v>
      </c>
      <c r="C15" s="140">
        <v>64962469</v>
      </c>
      <c r="D15" s="140" t="s">
        <v>315</v>
      </c>
      <c r="E15" s="151">
        <v>63</v>
      </c>
      <c r="F15" s="68">
        <v>45810</v>
      </c>
      <c r="G15" s="101">
        <v>46888</v>
      </c>
      <c r="H15" s="100">
        <f t="shared" ref="H15" si="8">G15-F15</f>
        <v>1078</v>
      </c>
      <c r="I15" s="72">
        <f t="shared" ref="I15" si="9">H15/365*12</f>
        <v>35.441095890410963</v>
      </c>
      <c r="J15" s="69"/>
      <c r="K15" s="73"/>
    </row>
    <row r="16" spans="1:61" s="158" customFormat="1" ht="12.75" x14ac:dyDescent="0.2">
      <c r="A16" s="128" t="s">
        <v>192</v>
      </c>
      <c r="B16" s="128" t="s">
        <v>148</v>
      </c>
      <c r="C16" s="140">
        <v>64883772</v>
      </c>
      <c r="D16" s="140" t="s">
        <v>340</v>
      </c>
      <c r="E16" s="151">
        <v>375</v>
      </c>
      <c r="F16" s="68">
        <v>45810</v>
      </c>
      <c r="G16" s="101">
        <v>46882</v>
      </c>
      <c r="H16" s="100">
        <f t="shared" ref="H16" si="10">G16-F16</f>
        <v>1072</v>
      </c>
      <c r="I16" s="72">
        <f t="shared" ref="I16" si="11">H16/365*12</f>
        <v>35.243835616438353</v>
      </c>
      <c r="J16" s="157"/>
      <c r="K16" s="73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</row>
    <row r="17" spans="1:11" ht="12.75" x14ac:dyDescent="0.2">
      <c r="A17" s="69" t="s">
        <v>192</v>
      </c>
      <c r="B17" s="128" t="s">
        <v>148</v>
      </c>
      <c r="C17" s="140">
        <v>64916365</v>
      </c>
      <c r="D17" s="140" t="s">
        <v>212</v>
      </c>
      <c r="E17" s="154">
        <v>198</v>
      </c>
      <c r="F17" s="68">
        <v>45810</v>
      </c>
      <c r="G17" s="101">
        <v>46892</v>
      </c>
      <c r="H17" s="100">
        <f t="shared" ref="H17:H18" si="12">G17-F17</f>
        <v>1082</v>
      </c>
      <c r="I17" s="72">
        <f t="shared" ref="I17:I18" si="13">H17/365*12</f>
        <v>35.57260273972603</v>
      </c>
      <c r="J17" s="69"/>
      <c r="K17" s="73"/>
    </row>
    <row r="18" spans="1:11" ht="12.75" x14ac:dyDescent="0.2">
      <c r="A18" s="69" t="s">
        <v>192</v>
      </c>
      <c r="B18" s="128" t="s">
        <v>148</v>
      </c>
      <c r="C18" s="140">
        <v>64916363</v>
      </c>
      <c r="D18" s="140" t="s">
        <v>412</v>
      </c>
      <c r="E18" s="151">
        <v>976</v>
      </c>
      <c r="F18" s="68">
        <v>45810</v>
      </c>
      <c r="G18" s="101">
        <v>46509</v>
      </c>
      <c r="H18" s="100">
        <f t="shared" si="12"/>
        <v>699</v>
      </c>
      <c r="I18" s="72">
        <f t="shared" si="13"/>
        <v>22.980821917808221</v>
      </c>
      <c r="J18" s="69"/>
      <c r="K18" s="73"/>
    </row>
    <row r="19" spans="1:11" ht="12.75" x14ac:dyDescent="0.2">
      <c r="A19" s="69" t="s">
        <v>192</v>
      </c>
      <c r="B19" s="128" t="s">
        <v>148</v>
      </c>
      <c r="C19" s="140">
        <v>64822303</v>
      </c>
      <c r="D19" s="140" t="s">
        <v>413</v>
      </c>
      <c r="E19" s="151">
        <v>208</v>
      </c>
      <c r="F19" s="68">
        <v>45810</v>
      </c>
      <c r="G19" s="101">
        <v>46535</v>
      </c>
      <c r="H19" s="100">
        <f t="shared" ref="H19" si="14">G19-F19</f>
        <v>725</v>
      </c>
      <c r="I19" s="72">
        <f t="shared" ref="I19" si="15">H19/365*12</f>
        <v>23.835616438356162</v>
      </c>
      <c r="J19" s="69"/>
      <c r="K19" s="73"/>
    </row>
    <row r="20" spans="1:11" ht="12.75" x14ac:dyDescent="0.2">
      <c r="A20" s="69" t="s">
        <v>192</v>
      </c>
      <c r="B20" s="128" t="s">
        <v>148</v>
      </c>
      <c r="C20" s="140">
        <v>64931093</v>
      </c>
      <c r="D20" s="140" t="s">
        <v>213</v>
      </c>
      <c r="E20" s="151">
        <v>320</v>
      </c>
      <c r="F20" s="68">
        <v>45810</v>
      </c>
      <c r="G20" s="101">
        <v>46410</v>
      </c>
      <c r="H20" s="100">
        <f t="shared" si="0"/>
        <v>600</v>
      </c>
      <c r="I20" s="72">
        <f t="shared" si="1"/>
        <v>19.726027397260275</v>
      </c>
      <c r="J20" s="69"/>
      <c r="K20" s="73"/>
    </row>
    <row r="21" spans="1:11" ht="12.75" x14ac:dyDescent="0.2">
      <c r="A21" s="69" t="s">
        <v>192</v>
      </c>
      <c r="B21" s="128" t="s">
        <v>148</v>
      </c>
      <c r="C21" s="140">
        <v>64931251</v>
      </c>
      <c r="D21" s="140" t="s">
        <v>372</v>
      </c>
      <c r="E21" s="151">
        <v>332</v>
      </c>
      <c r="F21" s="68">
        <v>45810</v>
      </c>
      <c r="G21" s="101">
        <v>46476</v>
      </c>
      <c r="H21" s="100">
        <f t="shared" ref="H21" si="16">G21-F21</f>
        <v>666</v>
      </c>
      <c r="I21" s="72">
        <f t="shared" ref="I21" si="17">H21/365*12</f>
        <v>21.895890410958906</v>
      </c>
      <c r="J21" s="69"/>
      <c r="K21" s="73"/>
    </row>
    <row r="22" spans="1:11" ht="12.75" x14ac:dyDescent="0.2">
      <c r="A22" s="69" t="s">
        <v>192</v>
      </c>
      <c r="B22" s="128" t="s">
        <v>148</v>
      </c>
      <c r="C22" s="140">
        <v>64941298</v>
      </c>
      <c r="D22" s="140" t="s">
        <v>373</v>
      </c>
      <c r="E22" s="151">
        <v>2095</v>
      </c>
      <c r="F22" s="68">
        <v>45810</v>
      </c>
      <c r="G22" s="101">
        <v>46445</v>
      </c>
      <c r="H22" s="100">
        <f t="shared" ref="H22" si="18">G22-F22</f>
        <v>635</v>
      </c>
      <c r="I22" s="72">
        <f t="shared" ref="I22" si="19">H22/365*12</f>
        <v>20.876712328767123</v>
      </c>
      <c r="J22" s="69"/>
      <c r="K22" s="73"/>
    </row>
    <row r="23" spans="1:11" ht="12.75" x14ac:dyDescent="0.2">
      <c r="A23" s="69" t="s">
        <v>192</v>
      </c>
      <c r="B23" s="128" t="s">
        <v>148</v>
      </c>
      <c r="C23" s="140">
        <v>64970744</v>
      </c>
      <c r="D23" s="140" t="s">
        <v>341</v>
      </c>
      <c r="E23" s="151">
        <v>2447</v>
      </c>
      <c r="F23" s="68">
        <v>45810</v>
      </c>
      <c r="G23" s="101">
        <v>46513</v>
      </c>
      <c r="H23" s="100">
        <f t="shared" ref="H23" si="20">G23-F23</f>
        <v>703</v>
      </c>
      <c r="I23" s="72">
        <f t="shared" ref="I23" si="21">H23/365*12</f>
        <v>23.112328767123287</v>
      </c>
      <c r="J23" s="69"/>
      <c r="K23" s="73"/>
    </row>
    <row r="24" spans="1:11" ht="12.75" x14ac:dyDescent="0.2">
      <c r="A24" s="69" t="s">
        <v>192</v>
      </c>
      <c r="B24" s="128" t="s">
        <v>148</v>
      </c>
      <c r="C24" s="140">
        <v>64970728</v>
      </c>
      <c r="D24" s="140" t="s">
        <v>374</v>
      </c>
      <c r="E24" s="151">
        <v>1660</v>
      </c>
      <c r="F24" s="68">
        <v>45810</v>
      </c>
      <c r="G24" s="101">
        <v>46524</v>
      </c>
      <c r="H24" s="100">
        <f t="shared" ref="H24" si="22">G24-F24</f>
        <v>714</v>
      </c>
      <c r="I24" s="72">
        <f t="shared" ref="I24" si="23">H24/365*12</f>
        <v>23.473972602739725</v>
      </c>
      <c r="J24" s="69"/>
      <c r="K24" s="73"/>
    </row>
    <row r="25" spans="1:11" ht="12.75" x14ac:dyDescent="0.2">
      <c r="A25" s="69" t="s">
        <v>192</v>
      </c>
      <c r="B25" s="128" t="s">
        <v>148</v>
      </c>
      <c r="C25" s="140">
        <v>64970747</v>
      </c>
      <c r="D25" s="140" t="s">
        <v>414</v>
      </c>
      <c r="E25" s="151">
        <v>137</v>
      </c>
      <c r="F25" s="68">
        <v>45810</v>
      </c>
      <c r="G25" s="71">
        <v>46468</v>
      </c>
      <c r="H25" s="100">
        <f t="shared" si="0"/>
        <v>658</v>
      </c>
      <c r="I25" s="72">
        <f t="shared" si="1"/>
        <v>21.632876712328766</v>
      </c>
      <c r="J25" s="69"/>
      <c r="K25" s="73"/>
    </row>
    <row r="26" spans="1:11" ht="12.75" x14ac:dyDescent="0.2">
      <c r="A26" s="69" t="s">
        <v>192</v>
      </c>
      <c r="B26" s="128" t="s">
        <v>148</v>
      </c>
      <c r="C26" s="140">
        <v>65077404</v>
      </c>
      <c r="D26" s="140" t="s">
        <v>375</v>
      </c>
      <c r="E26" s="151">
        <v>251</v>
      </c>
      <c r="F26" s="68">
        <v>45810</v>
      </c>
      <c r="G26" s="71">
        <v>46468</v>
      </c>
      <c r="H26" s="100">
        <f t="shared" ref="H26" si="24">G26-F26</f>
        <v>658</v>
      </c>
      <c r="I26" s="72">
        <f t="shared" ref="I26" si="25">H26/365*12</f>
        <v>21.632876712328766</v>
      </c>
      <c r="J26" s="69"/>
      <c r="K26" s="73"/>
    </row>
    <row r="27" spans="1:11" ht="12.75" x14ac:dyDescent="0.2">
      <c r="A27" s="69" t="s">
        <v>192</v>
      </c>
      <c r="B27" s="128" t="s">
        <v>148</v>
      </c>
      <c r="C27" s="140">
        <v>64941305</v>
      </c>
      <c r="D27" s="140" t="s">
        <v>214</v>
      </c>
      <c r="E27" s="151">
        <v>556</v>
      </c>
      <c r="F27" s="68">
        <v>45810</v>
      </c>
      <c r="G27" s="71">
        <v>46436</v>
      </c>
      <c r="H27" s="100">
        <f t="shared" si="0"/>
        <v>626</v>
      </c>
      <c r="I27" s="72">
        <f t="shared" si="1"/>
        <v>20.580821917808219</v>
      </c>
      <c r="J27" s="69"/>
      <c r="K27" s="73"/>
    </row>
    <row r="28" spans="1:11" ht="12.75" x14ac:dyDescent="0.2">
      <c r="A28" s="69" t="s">
        <v>192</v>
      </c>
      <c r="B28" s="128" t="s">
        <v>148</v>
      </c>
      <c r="C28" s="140">
        <v>64941304</v>
      </c>
      <c r="D28" s="140" t="s">
        <v>215</v>
      </c>
      <c r="E28" s="151">
        <v>128</v>
      </c>
      <c r="F28" s="68">
        <v>45810</v>
      </c>
      <c r="G28" s="71">
        <v>46234</v>
      </c>
      <c r="H28" s="100">
        <f t="shared" si="0"/>
        <v>424</v>
      </c>
      <c r="I28" s="72">
        <f t="shared" si="1"/>
        <v>13.93972602739726</v>
      </c>
      <c r="J28" s="69"/>
      <c r="K28" s="73"/>
    </row>
    <row r="29" spans="1:11" ht="12.75" x14ac:dyDescent="0.2">
      <c r="A29" s="69" t="s">
        <v>192</v>
      </c>
      <c r="B29" s="128" t="s">
        <v>148</v>
      </c>
      <c r="C29" s="140">
        <v>64941304</v>
      </c>
      <c r="D29" s="140" t="s">
        <v>215</v>
      </c>
      <c r="E29" s="151">
        <v>741</v>
      </c>
      <c r="F29" s="68">
        <v>45810</v>
      </c>
      <c r="G29" s="71">
        <v>46435</v>
      </c>
      <c r="H29" s="100">
        <f t="shared" ref="H29" si="26">G29-F29</f>
        <v>625</v>
      </c>
      <c r="I29" s="72">
        <f t="shared" ref="I29" si="27">H29/365*12</f>
        <v>20.547945205479451</v>
      </c>
      <c r="J29" s="69"/>
      <c r="K29" s="73"/>
    </row>
    <row r="30" spans="1:11" ht="12.75" x14ac:dyDescent="0.2">
      <c r="A30" s="69" t="s">
        <v>192</v>
      </c>
      <c r="B30" s="128" t="s">
        <v>148</v>
      </c>
      <c r="C30" s="140">
        <v>64986448</v>
      </c>
      <c r="D30" s="140" t="s">
        <v>415</v>
      </c>
      <c r="E30" s="151">
        <v>15</v>
      </c>
      <c r="F30" s="68">
        <v>45810</v>
      </c>
      <c r="G30" s="71">
        <v>46524</v>
      </c>
      <c r="H30" s="100">
        <f t="shared" si="0"/>
        <v>714</v>
      </c>
      <c r="I30" s="72">
        <f t="shared" si="1"/>
        <v>23.473972602739725</v>
      </c>
      <c r="J30" s="69"/>
      <c r="K30" s="73"/>
    </row>
    <row r="31" spans="1:11" ht="12.75" x14ac:dyDescent="0.2">
      <c r="A31" s="69" t="s">
        <v>192</v>
      </c>
      <c r="B31" s="128" t="s">
        <v>148</v>
      </c>
      <c r="C31" s="140">
        <v>64986449</v>
      </c>
      <c r="D31" s="140" t="s">
        <v>342</v>
      </c>
      <c r="E31" s="151">
        <v>1</v>
      </c>
      <c r="F31" s="68">
        <v>45810</v>
      </c>
      <c r="G31" s="71">
        <v>46486</v>
      </c>
      <c r="H31" s="100">
        <f t="shared" si="0"/>
        <v>676</v>
      </c>
      <c r="I31" s="72">
        <f t="shared" si="1"/>
        <v>22.224657534246575</v>
      </c>
      <c r="J31" s="69"/>
      <c r="K31" s="73"/>
    </row>
    <row r="32" spans="1:11" ht="12.75" x14ac:dyDescent="0.2">
      <c r="A32" s="69" t="s">
        <v>192</v>
      </c>
      <c r="B32" s="128" t="s">
        <v>148</v>
      </c>
      <c r="C32" s="140">
        <v>64414778</v>
      </c>
      <c r="D32" s="140" t="s">
        <v>203</v>
      </c>
      <c r="E32" s="151">
        <v>1</v>
      </c>
      <c r="F32" s="68">
        <v>45810</v>
      </c>
      <c r="G32" s="71">
        <v>46482</v>
      </c>
      <c r="H32" s="100">
        <f t="shared" si="0"/>
        <v>672</v>
      </c>
      <c r="I32" s="72">
        <f t="shared" si="1"/>
        <v>22.093150684931508</v>
      </c>
      <c r="J32" s="69"/>
      <c r="K32" s="73"/>
    </row>
    <row r="33" spans="1:11" ht="12.75" x14ac:dyDescent="0.2">
      <c r="A33" s="69" t="s">
        <v>192</v>
      </c>
      <c r="B33" s="128" t="s">
        <v>148</v>
      </c>
      <c r="C33" s="140">
        <v>64937423</v>
      </c>
      <c r="D33" s="140" t="s">
        <v>376</v>
      </c>
      <c r="E33" s="151">
        <v>20</v>
      </c>
      <c r="F33" s="68">
        <v>45810</v>
      </c>
      <c r="G33" s="71">
        <v>46233</v>
      </c>
      <c r="H33" s="100">
        <f t="shared" si="0"/>
        <v>423</v>
      </c>
      <c r="I33" s="72">
        <f t="shared" si="1"/>
        <v>13.906849315068493</v>
      </c>
      <c r="J33" s="69"/>
      <c r="K33" s="73"/>
    </row>
    <row r="34" spans="1:11" ht="12.75" x14ac:dyDescent="0.2">
      <c r="A34" s="69" t="s">
        <v>192</v>
      </c>
      <c r="B34" s="128" t="s">
        <v>148</v>
      </c>
      <c r="C34" s="140">
        <v>64937424</v>
      </c>
      <c r="D34" s="140" t="s">
        <v>377</v>
      </c>
      <c r="E34" s="151">
        <v>20</v>
      </c>
      <c r="F34" s="68">
        <v>45810</v>
      </c>
      <c r="G34" s="71">
        <v>46233</v>
      </c>
      <c r="H34" s="100">
        <f t="shared" si="0"/>
        <v>423</v>
      </c>
      <c r="I34" s="72">
        <f t="shared" si="1"/>
        <v>13.906849315068493</v>
      </c>
      <c r="J34" s="69"/>
      <c r="K34" s="73"/>
    </row>
    <row r="35" spans="1:11" ht="12.75" x14ac:dyDescent="0.2">
      <c r="A35" s="69" t="s">
        <v>192</v>
      </c>
      <c r="B35" s="128" t="s">
        <v>148</v>
      </c>
      <c r="C35" s="140">
        <v>64916368</v>
      </c>
      <c r="D35" s="140" t="s">
        <v>216</v>
      </c>
      <c r="E35" s="151">
        <v>590</v>
      </c>
      <c r="F35" s="68">
        <v>45810</v>
      </c>
      <c r="G35" s="71">
        <v>46851</v>
      </c>
      <c r="H35" s="100">
        <f t="shared" si="0"/>
        <v>1041</v>
      </c>
      <c r="I35" s="72">
        <f t="shared" si="1"/>
        <v>34.224657534246575</v>
      </c>
      <c r="J35" s="69"/>
      <c r="K35" s="73"/>
    </row>
    <row r="36" spans="1:11" ht="12.75" x14ac:dyDescent="0.2">
      <c r="A36" s="69" t="s">
        <v>192</v>
      </c>
      <c r="B36" s="128" t="s">
        <v>148</v>
      </c>
      <c r="C36" s="140">
        <v>64937289</v>
      </c>
      <c r="D36" s="140" t="s">
        <v>217</v>
      </c>
      <c r="E36" s="151">
        <v>244</v>
      </c>
      <c r="F36" s="68">
        <v>45810</v>
      </c>
      <c r="G36" s="71">
        <v>46862</v>
      </c>
      <c r="H36" s="100">
        <f t="shared" si="0"/>
        <v>1052</v>
      </c>
      <c r="I36" s="72">
        <f t="shared" si="1"/>
        <v>34.586301369863016</v>
      </c>
      <c r="J36" s="69"/>
      <c r="K36" s="73"/>
    </row>
    <row r="37" spans="1:11" ht="12.75" x14ac:dyDescent="0.2">
      <c r="A37" s="69" t="s">
        <v>192</v>
      </c>
      <c r="B37" s="128" t="s">
        <v>148</v>
      </c>
      <c r="C37" s="156">
        <v>68908793</v>
      </c>
      <c r="D37" s="156" t="s">
        <v>194</v>
      </c>
      <c r="E37" s="154">
        <v>170</v>
      </c>
      <c r="F37" s="74">
        <v>45810</v>
      </c>
      <c r="G37" s="71">
        <v>46804</v>
      </c>
      <c r="H37" s="100">
        <f t="shared" ref="H37" si="28">G37-F37</f>
        <v>994</v>
      </c>
      <c r="I37" s="72">
        <f t="shared" ref="I37" si="29">H37/365*12</f>
        <v>32.679452054794524</v>
      </c>
      <c r="J37" s="69"/>
      <c r="K37" s="73"/>
    </row>
    <row r="38" spans="1:11" ht="12.75" x14ac:dyDescent="0.2">
      <c r="A38" s="69" t="s">
        <v>192</v>
      </c>
      <c r="B38" s="128" t="s">
        <v>148</v>
      </c>
      <c r="C38" s="156">
        <v>69993141</v>
      </c>
      <c r="D38" s="156" t="s">
        <v>196</v>
      </c>
      <c r="E38" s="154">
        <v>114</v>
      </c>
      <c r="F38" s="74">
        <v>45810</v>
      </c>
      <c r="G38" s="71">
        <v>46804</v>
      </c>
      <c r="H38" s="100">
        <f t="shared" ref="H38" si="30">G38-F38</f>
        <v>994</v>
      </c>
      <c r="I38" s="72">
        <f t="shared" ref="I38" si="31">H38/365*12</f>
        <v>32.679452054794524</v>
      </c>
      <c r="J38" s="69"/>
      <c r="K38" s="73"/>
    </row>
    <row r="39" spans="1:11" ht="12.75" x14ac:dyDescent="0.2">
      <c r="A39" s="69" t="s">
        <v>192</v>
      </c>
      <c r="B39" s="128" t="s">
        <v>148</v>
      </c>
      <c r="C39" s="156">
        <v>64937291</v>
      </c>
      <c r="D39" s="156" t="s">
        <v>218</v>
      </c>
      <c r="E39" s="154">
        <v>1198</v>
      </c>
      <c r="F39" s="68">
        <v>45810</v>
      </c>
      <c r="G39" s="71">
        <v>46497</v>
      </c>
      <c r="H39" s="100">
        <f t="shared" ref="H39" si="32">G39-F39</f>
        <v>687</v>
      </c>
      <c r="I39" s="72">
        <f t="shared" ref="I39" si="33">H39/365*12</f>
        <v>22.586301369863012</v>
      </c>
      <c r="J39" s="69"/>
      <c r="K39" s="73"/>
    </row>
    <row r="40" spans="1:11" ht="12.75" x14ac:dyDescent="0.2">
      <c r="A40" s="69" t="s">
        <v>192</v>
      </c>
      <c r="B40" s="128" t="s">
        <v>148</v>
      </c>
      <c r="C40" s="140">
        <v>64916367</v>
      </c>
      <c r="D40" s="140" t="s">
        <v>219</v>
      </c>
      <c r="E40" s="151">
        <v>14</v>
      </c>
      <c r="F40" s="68">
        <v>45810</v>
      </c>
      <c r="G40" s="71">
        <v>46631</v>
      </c>
      <c r="H40" s="100">
        <f t="shared" si="0"/>
        <v>821</v>
      </c>
      <c r="I40" s="72">
        <f t="shared" si="1"/>
        <v>26.991780821917811</v>
      </c>
      <c r="J40" s="69"/>
      <c r="K40" s="73"/>
    </row>
    <row r="41" spans="1:11" ht="12.75" x14ac:dyDescent="0.2">
      <c r="A41" s="69" t="s">
        <v>192</v>
      </c>
      <c r="B41" s="128" t="s">
        <v>148</v>
      </c>
      <c r="C41" s="140">
        <v>64937633</v>
      </c>
      <c r="D41" s="140" t="s">
        <v>220</v>
      </c>
      <c r="E41" s="151">
        <v>733</v>
      </c>
      <c r="F41" s="68">
        <v>45810</v>
      </c>
      <c r="G41" s="71">
        <v>46854</v>
      </c>
      <c r="H41" s="100">
        <f t="shared" si="0"/>
        <v>1044</v>
      </c>
      <c r="I41" s="72">
        <f t="shared" si="1"/>
        <v>34.323287671232876</v>
      </c>
      <c r="J41" s="69"/>
      <c r="K41" s="73"/>
    </row>
    <row r="42" spans="1:11" ht="12.75" x14ac:dyDescent="0.2">
      <c r="A42" s="69" t="s">
        <v>192</v>
      </c>
      <c r="B42" s="128" t="s">
        <v>148</v>
      </c>
      <c r="C42" s="140">
        <v>64937643</v>
      </c>
      <c r="D42" s="140" t="s">
        <v>221</v>
      </c>
      <c r="E42" s="151">
        <v>371</v>
      </c>
      <c r="F42" s="68">
        <v>45810</v>
      </c>
      <c r="G42" s="71">
        <v>46881</v>
      </c>
      <c r="H42" s="100">
        <f t="shared" si="0"/>
        <v>1071</v>
      </c>
      <c r="I42" s="72">
        <f t="shared" si="1"/>
        <v>35.210958904109589</v>
      </c>
      <c r="J42" s="69"/>
      <c r="K42" s="73"/>
    </row>
    <row r="43" spans="1:11" ht="12.75" x14ac:dyDescent="0.2">
      <c r="A43" s="69" t="s">
        <v>192</v>
      </c>
      <c r="B43" s="128" t="s">
        <v>148</v>
      </c>
      <c r="C43" s="140">
        <v>64937426</v>
      </c>
      <c r="D43" s="140" t="s">
        <v>222</v>
      </c>
      <c r="E43" s="151">
        <v>1589</v>
      </c>
      <c r="F43" s="68">
        <v>45810</v>
      </c>
      <c r="G43" s="71">
        <v>46853</v>
      </c>
      <c r="H43" s="100">
        <f t="shared" si="0"/>
        <v>1043</v>
      </c>
      <c r="I43" s="72">
        <f t="shared" si="1"/>
        <v>34.290410958904111</v>
      </c>
      <c r="J43" s="69"/>
      <c r="K43" s="73"/>
    </row>
    <row r="44" spans="1:11" ht="12.75" x14ac:dyDescent="0.2">
      <c r="A44" s="69" t="s">
        <v>192</v>
      </c>
      <c r="B44" s="128" t="s">
        <v>148</v>
      </c>
      <c r="C44" s="140">
        <v>64989122</v>
      </c>
      <c r="D44" s="140" t="s">
        <v>416</v>
      </c>
      <c r="E44" s="151">
        <v>676</v>
      </c>
      <c r="F44" s="68">
        <v>45810</v>
      </c>
      <c r="G44" s="71">
        <v>46866</v>
      </c>
      <c r="H44" s="100">
        <f t="shared" ref="H44" si="34">G44-F44</f>
        <v>1056</v>
      </c>
      <c r="I44" s="72">
        <f t="shared" ref="I44" si="35">H44/365*12</f>
        <v>34.717808219178082</v>
      </c>
      <c r="J44" s="69"/>
      <c r="K44" s="73"/>
    </row>
    <row r="45" spans="1:11" ht="12.75" x14ac:dyDescent="0.2">
      <c r="A45" s="69" t="s">
        <v>192</v>
      </c>
      <c r="B45" s="128" t="s">
        <v>148</v>
      </c>
      <c r="C45" s="140">
        <v>64937437</v>
      </c>
      <c r="D45" s="140" t="s">
        <v>223</v>
      </c>
      <c r="E45" s="151">
        <v>384</v>
      </c>
      <c r="F45" s="68">
        <v>45810</v>
      </c>
      <c r="G45" s="71">
        <v>46800</v>
      </c>
      <c r="H45" s="100">
        <f t="shared" si="0"/>
        <v>990</v>
      </c>
      <c r="I45" s="72">
        <f t="shared" si="1"/>
        <v>32.547945205479451</v>
      </c>
      <c r="J45" s="69"/>
      <c r="K45" s="73"/>
    </row>
    <row r="46" spans="1:11" ht="12.75" x14ac:dyDescent="0.2">
      <c r="A46" s="69" t="s">
        <v>192</v>
      </c>
      <c r="B46" s="128" t="s">
        <v>148</v>
      </c>
      <c r="C46" s="140">
        <v>64937438</v>
      </c>
      <c r="D46" s="140" t="s">
        <v>224</v>
      </c>
      <c r="E46" s="151">
        <v>143</v>
      </c>
      <c r="F46" s="68">
        <v>45810</v>
      </c>
      <c r="G46" s="71">
        <v>46799</v>
      </c>
      <c r="H46" s="100">
        <f t="shared" ref="H46" si="36">G46-F46</f>
        <v>989</v>
      </c>
      <c r="I46" s="72">
        <f t="shared" ref="I46" si="37">H46/365*12</f>
        <v>32.515068493150686</v>
      </c>
      <c r="J46" s="69"/>
      <c r="K46" s="73"/>
    </row>
    <row r="47" spans="1:11" ht="12.75" x14ac:dyDescent="0.2">
      <c r="A47" s="69" t="s">
        <v>192</v>
      </c>
      <c r="B47" s="128" t="s">
        <v>148</v>
      </c>
      <c r="C47" s="140">
        <v>64989130</v>
      </c>
      <c r="D47" s="140" t="s">
        <v>378</v>
      </c>
      <c r="E47" s="151">
        <v>316</v>
      </c>
      <c r="F47" s="68">
        <v>45810</v>
      </c>
      <c r="G47" s="71">
        <v>46880</v>
      </c>
      <c r="H47" s="100">
        <f t="shared" si="0"/>
        <v>1070</v>
      </c>
      <c r="I47" s="72">
        <f t="shared" si="1"/>
        <v>35.178082191780824</v>
      </c>
      <c r="J47" s="69"/>
      <c r="K47" s="73"/>
    </row>
    <row r="48" spans="1:11" ht="12.75" x14ac:dyDescent="0.2">
      <c r="A48" s="69" t="s">
        <v>192</v>
      </c>
      <c r="B48" s="128" t="s">
        <v>148</v>
      </c>
      <c r="C48" s="140">
        <v>64989126</v>
      </c>
      <c r="D48" s="140" t="s">
        <v>379</v>
      </c>
      <c r="E48" s="151">
        <v>420</v>
      </c>
      <c r="F48" s="68">
        <v>45810</v>
      </c>
      <c r="G48" s="71">
        <v>46879</v>
      </c>
      <c r="H48" s="100">
        <f t="shared" si="0"/>
        <v>1069</v>
      </c>
      <c r="I48" s="72">
        <f t="shared" si="1"/>
        <v>35.145205479452059</v>
      </c>
      <c r="J48" s="69"/>
      <c r="K48" s="73"/>
    </row>
    <row r="49" spans="1:11" ht="12.75" x14ac:dyDescent="0.2">
      <c r="A49" s="69" t="s">
        <v>192</v>
      </c>
      <c r="B49" s="128" t="s">
        <v>148</v>
      </c>
      <c r="C49" s="140">
        <v>64937639</v>
      </c>
      <c r="D49" s="140" t="s">
        <v>225</v>
      </c>
      <c r="E49" s="151">
        <v>130</v>
      </c>
      <c r="F49" s="68">
        <v>45810</v>
      </c>
      <c r="G49" s="71">
        <v>46857</v>
      </c>
      <c r="H49" s="100">
        <f t="shared" si="0"/>
        <v>1047</v>
      </c>
      <c r="I49" s="72">
        <f t="shared" si="1"/>
        <v>34.421917808219177</v>
      </c>
      <c r="J49" s="69"/>
      <c r="K49" s="130"/>
    </row>
    <row r="50" spans="1:11" ht="12.75" x14ac:dyDescent="0.2">
      <c r="A50" s="69" t="s">
        <v>192</v>
      </c>
      <c r="B50" s="128" t="s">
        <v>148</v>
      </c>
      <c r="C50" s="140">
        <v>64937646</v>
      </c>
      <c r="D50" s="140" t="s">
        <v>226</v>
      </c>
      <c r="E50" s="151">
        <v>92</v>
      </c>
      <c r="F50" s="68">
        <v>45810</v>
      </c>
      <c r="G50" s="71">
        <v>46821</v>
      </c>
      <c r="H50" s="100">
        <f t="shared" si="0"/>
        <v>1011</v>
      </c>
      <c r="I50" s="72">
        <f t="shared" si="1"/>
        <v>33.238356164383561</v>
      </c>
      <c r="J50" s="69"/>
      <c r="K50" s="73"/>
    </row>
    <row r="51" spans="1:11" ht="12.75" x14ac:dyDescent="0.2">
      <c r="A51" s="69" t="s">
        <v>192</v>
      </c>
      <c r="B51" s="128" t="s">
        <v>148</v>
      </c>
      <c r="C51" s="140">
        <v>64937433</v>
      </c>
      <c r="D51" s="140" t="s">
        <v>227</v>
      </c>
      <c r="E51" s="151">
        <v>361</v>
      </c>
      <c r="F51" s="68">
        <v>45810</v>
      </c>
      <c r="G51" s="71">
        <v>46882</v>
      </c>
      <c r="H51" s="100">
        <f t="shared" ref="H51" si="38">G51-F51</f>
        <v>1072</v>
      </c>
      <c r="I51" s="72">
        <f t="shared" ref="I51" si="39">H51/365*12</f>
        <v>35.243835616438353</v>
      </c>
      <c r="J51" s="69"/>
      <c r="K51" s="73"/>
    </row>
    <row r="52" spans="1:11" ht="12.75" x14ac:dyDescent="0.2">
      <c r="A52" s="69" t="s">
        <v>192</v>
      </c>
      <c r="B52" s="128" t="s">
        <v>148</v>
      </c>
      <c r="C52" s="140">
        <v>64937435</v>
      </c>
      <c r="D52" s="140" t="s">
        <v>228</v>
      </c>
      <c r="E52" s="151">
        <v>3115</v>
      </c>
      <c r="F52" s="68">
        <v>45810</v>
      </c>
      <c r="G52" s="71">
        <v>46524</v>
      </c>
      <c r="H52" s="100">
        <f t="shared" ref="H52" si="40">G52-F52</f>
        <v>714</v>
      </c>
      <c r="I52" s="72">
        <f t="shared" ref="I52" si="41">H52/365*12</f>
        <v>23.473972602739725</v>
      </c>
      <c r="J52" s="69"/>
      <c r="K52" s="73"/>
    </row>
    <row r="53" spans="1:11" ht="12.75" x14ac:dyDescent="0.2">
      <c r="A53" s="69" t="s">
        <v>192</v>
      </c>
      <c r="B53" s="128" t="s">
        <v>148</v>
      </c>
      <c r="C53" s="140">
        <v>64937432</v>
      </c>
      <c r="D53" s="140" t="s">
        <v>229</v>
      </c>
      <c r="E53" s="151">
        <v>38</v>
      </c>
      <c r="F53" s="68">
        <v>45810</v>
      </c>
      <c r="G53" s="71">
        <v>46885</v>
      </c>
      <c r="H53" s="100">
        <f t="shared" ref="H53" si="42">G53-F53</f>
        <v>1075</v>
      </c>
      <c r="I53" s="72">
        <f t="shared" ref="I53" si="43">H53/365*12</f>
        <v>35.342465753424655</v>
      </c>
      <c r="J53" s="69"/>
      <c r="K53" s="73"/>
    </row>
    <row r="54" spans="1:11" ht="12.75" x14ac:dyDescent="0.2">
      <c r="A54" s="69" t="s">
        <v>192</v>
      </c>
      <c r="B54" s="128" t="s">
        <v>148</v>
      </c>
      <c r="C54" s="140">
        <v>64937642</v>
      </c>
      <c r="D54" s="140" t="s">
        <v>230</v>
      </c>
      <c r="E54" s="151">
        <v>2324</v>
      </c>
      <c r="F54" s="68">
        <v>45810</v>
      </c>
      <c r="G54" s="71">
        <v>46526</v>
      </c>
      <c r="H54" s="100">
        <f t="shared" si="0"/>
        <v>716</v>
      </c>
      <c r="I54" s="72">
        <f t="shared" si="1"/>
        <v>23.539726027397258</v>
      </c>
      <c r="J54" s="69"/>
      <c r="K54" s="73"/>
    </row>
    <row r="55" spans="1:11" ht="12.75" x14ac:dyDescent="0.2">
      <c r="A55" s="69" t="s">
        <v>192</v>
      </c>
      <c r="B55" s="128" t="s">
        <v>148</v>
      </c>
      <c r="C55" s="140">
        <v>64937640</v>
      </c>
      <c r="D55" s="140" t="s">
        <v>231</v>
      </c>
      <c r="E55" s="151">
        <v>237</v>
      </c>
      <c r="F55" s="68">
        <v>45810</v>
      </c>
      <c r="G55" s="71">
        <v>46863</v>
      </c>
      <c r="H55" s="100">
        <f t="shared" si="0"/>
        <v>1053</v>
      </c>
      <c r="I55" s="72">
        <f t="shared" si="1"/>
        <v>34.61917808219178</v>
      </c>
      <c r="J55" s="69"/>
      <c r="K55" s="73" t="s">
        <v>176</v>
      </c>
    </row>
    <row r="56" spans="1:11" ht="12.75" x14ac:dyDescent="0.2">
      <c r="A56" s="69" t="s">
        <v>192</v>
      </c>
      <c r="B56" s="128" t="s">
        <v>148</v>
      </c>
      <c r="C56" s="140">
        <v>64937641</v>
      </c>
      <c r="D56" s="140" t="s">
        <v>232</v>
      </c>
      <c r="E56" s="151">
        <v>384</v>
      </c>
      <c r="F56" s="68">
        <v>45810</v>
      </c>
      <c r="G56" s="71">
        <v>46883</v>
      </c>
      <c r="H56" s="100">
        <f t="shared" ref="H56:H57" si="44">G56-F56</f>
        <v>1073</v>
      </c>
      <c r="I56" s="72">
        <f t="shared" ref="I56:I57" si="45">H56/365*12</f>
        <v>35.276712328767125</v>
      </c>
      <c r="J56" s="69"/>
      <c r="K56" s="73"/>
    </row>
    <row r="57" spans="1:11" ht="12.75" x14ac:dyDescent="0.2">
      <c r="A57" s="69" t="s">
        <v>192</v>
      </c>
      <c r="B57" s="128" t="s">
        <v>148</v>
      </c>
      <c r="C57" s="140">
        <v>64937645</v>
      </c>
      <c r="D57" s="140" t="s">
        <v>233</v>
      </c>
      <c r="E57" s="151">
        <v>25</v>
      </c>
      <c r="F57" s="68">
        <v>45810</v>
      </c>
      <c r="G57" s="71">
        <v>46826</v>
      </c>
      <c r="H57" s="100">
        <f t="shared" si="44"/>
        <v>1016</v>
      </c>
      <c r="I57" s="72">
        <f t="shared" si="45"/>
        <v>33.402739726027399</v>
      </c>
      <c r="J57" s="69"/>
      <c r="K57" s="73"/>
    </row>
    <row r="58" spans="1:11" ht="12.75" x14ac:dyDescent="0.2">
      <c r="A58" s="69" t="s">
        <v>192</v>
      </c>
      <c r="B58" s="128" t="s">
        <v>148</v>
      </c>
      <c r="C58" s="140">
        <v>64936119</v>
      </c>
      <c r="D58" s="140" t="s">
        <v>380</v>
      </c>
      <c r="E58" s="151">
        <v>1886</v>
      </c>
      <c r="F58" s="68">
        <v>45810</v>
      </c>
      <c r="G58" s="71">
        <v>46716</v>
      </c>
      <c r="H58" s="100">
        <f t="shared" si="0"/>
        <v>906</v>
      </c>
      <c r="I58" s="72">
        <f t="shared" si="1"/>
        <v>29.786301369863011</v>
      </c>
      <c r="J58" s="69"/>
      <c r="K58" s="73"/>
    </row>
    <row r="59" spans="1:11" ht="12.75" x14ac:dyDescent="0.2">
      <c r="A59" s="69" t="s">
        <v>192</v>
      </c>
      <c r="B59" s="128" t="s">
        <v>148</v>
      </c>
      <c r="C59" s="140">
        <v>64937429</v>
      </c>
      <c r="D59" s="140" t="s">
        <v>234</v>
      </c>
      <c r="E59" s="151">
        <v>1</v>
      </c>
      <c r="F59" s="68">
        <v>45810</v>
      </c>
      <c r="G59" s="71">
        <v>46632</v>
      </c>
      <c r="H59" s="100">
        <f t="shared" si="0"/>
        <v>822</v>
      </c>
      <c r="I59" s="72">
        <f t="shared" si="1"/>
        <v>27.024657534246572</v>
      </c>
      <c r="J59" s="69"/>
      <c r="K59" s="73"/>
    </row>
    <row r="60" spans="1:11" ht="12.75" x14ac:dyDescent="0.2">
      <c r="A60" s="69" t="s">
        <v>192</v>
      </c>
      <c r="B60" s="128" t="s">
        <v>148</v>
      </c>
      <c r="C60" s="140">
        <v>64989162</v>
      </c>
      <c r="D60" s="140" t="s">
        <v>417</v>
      </c>
      <c r="E60" s="151">
        <v>100</v>
      </c>
      <c r="F60" s="68">
        <v>45810</v>
      </c>
      <c r="G60" s="71">
        <v>46881</v>
      </c>
      <c r="H60" s="100">
        <f t="shared" ref="H60" si="46">G60-F60</f>
        <v>1071</v>
      </c>
      <c r="I60" s="72">
        <f t="shared" ref="I60" si="47">H60/365*12</f>
        <v>35.210958904109589</v>
      </c>
      <c r="J60" s="69"/>
      <c r="K60" s="73"/>
    </row>
    <row r="61" spans="1:11" ht="12.75" x14ac:dyDescent="0.2">
      <c r="A61" s="69" t="s">
        <v>192</v>
      </c>
      <c r="B61" s="128" t="s">
        <v>148</v>
      </c>
      <c r="C61" s="140">
        <v>64937649</v>
      </c>
      <c r="D61" s="140" t="s">
        <v>343</v>
      </c>
      <c r="E61" s="151">
        <v>402</v>
      </c>
      <c r="F61" s="68">
        <v>45810</v>
      </c>
      <c r="G61" s="71">
        <v>46864</v>
      </c>
      <c r="H61" s="100">
        <f t="shared" ref="H61" si="48">G61-F61</f>
        <v>1054</v>
      </c>
      <c r="I61" s="72">
        <f t="shared" ref="I61" si="49">H61/365*12</f>
        <v>34.652054794520545</v>
      </c>
      <c r="J61" s="69"/>
      <c r="K61" s="73"/>
    </row>
    <row r="62" spans="1:11" ht="12.75" x14ac:dyDescent="0.2">
      <c r="A62" s="69" t="s">
        <v>192</v>
      </c>
      <c r="B62" s="128" t="s">
        <v>148</v>
      </c>
      <c r="C62" s="140">
        <v>64937650</v>
      </c>
      <c r="D62" s="140" t="s">
        <v>344</v>
      </c>
      <c r="E62" s="151">
        <v>114</v>
      </c>
      <c r="F62" s="68">
        <v>45810</v>
      </c>
      <c r="G62" s="71">
        <v>46786</v>
      </c>
      <c r="H62" s="100">
        <f t="shared" si="0"/>
        <v>976</v>
      </c>
      <c r="I62" s="72">
        <f t="shared" si="1"/>
        <v>32.087671232876716</v>
      </c>
      <c r="J62" s="69"/>
      <c r="K62" s="73"/>
    </row>
    <row r="63" spans="1:11" ht="12.75" x14ac:dyDescent="0.2">
      <c r="A63" s="69" t="s">
        <v>192</v>
      </c>
      <c r="B63" s="128" t="s">
        <v>148</v>
      </c>
      <c r="C63" s="140">
        <v>64937647</v>
      </c>
      <c r="D63" s="140" t="s">
        <v>345</v>
      </c>
      <c r="E63" s="151">
        <v>102</v>
      </c>
      <c r="F63" s="68">
        <v>45810</v>
      </c>
      <c r="G63" s="71">
        <v>46883</v>
      </c>
      <c r="H63" s="100">
        <f t="shared" ref="H63" si="50">G63-F63</f>
        <v>1073</v>
      </c>
      <c r="I63" s="72">
        <f t="shared" ref="I63" si="51">H63/365*12</f>
        <v>35.276712328767125</v>
      </c>
      <c r="J63" s="69"/>
      <c r="K63" s="73"/>
    </row>
    <row r="64" spans="1:11" ht="12.75" x14ac:dyDescent="0.2">
      <c r="A64" s="69" t="s">
        <v>192</v>
      </c>
      <c r="B64" s="128" t="s">
        <v>148</v>
      </c>
      <c r="C64" s="140">
        <v>64937651</v>
      </c>
      <c r="D64" s="140" t="s">
        <v>235</v>
      </c>
      <c r="E64" s="151">
        <v>647</v>
      </c>
      <c r="F64" s="68">
        <v>45810</v>
      </c>
      <c r="G64" s="71">
        <v>46325</v>
      </c>
      <c r="H64" s="100">
        <f t="shared" si="0"/>
        <v>515</v>
      </c>
      <c r="I64" s="72">
        <f t="shared" si="1"/>
        <v>16.93150684931507</v>
      </c>
      <c r="J64" s="69"/>
      <c r="K64" s="73"/>
    </row>
    <row r="65" spans="1:11" ht="12.75" x14ac:dyDescent="0.2">
      <c r="A65" s="69" t="s">
        <v>192</v>
      </c>
      <c r="B65" s="128" t="s">
        <v>148</v>
      </c>
      <c r="C65" s="140">
        <v>64937648</v>
      </c>
      <c r="D65" s="140" t="s">
        <v>236</v>
      </c>
      <c r="E65" s="151">
        <v>738</v>
      </c>
      <c r="F65" s="68">
        <v>45810</v>
      </c>
      <c r="G65" s="71">
        <v>46884</v>
      </c>
      <c r="H65" s="100">
        <f t="shared" si="0"/>
        <v>1074</v>
      </c>
      <c r="I65" s="72">
        <f t="shared" si="1"/>
        <v>35.30958904109589</v>
      </c>
      <c r="J65" s="69"/>
      <c r="K65" s="73"/>
    </row>
    <row r="66" spans="1:11" ht="12.75" x14ac:dyDescent="0.2">
      <c r="A66" s="69" t="s">
        <v>192</v>
      </c>
      <c r="B66" s="128" t="s">
        <v>148</v>
      </c>
      <c r="C66" s="140">
        <v>65079039</v>
      </c>
      <c r="D66" s="140" t="s">
        <v>381</v>
      </c>
      <c r="E66" s="151">
        <v>499</v>
      </c>
      <c r="F66" s="68">
        <v>45810</v>
      </c>
      <c r="G66" s="71">
        <v>46811</v>
      </c>
      <c r="H66" s="100">
        <f t="shared" si="0"/>
        <v>1001</v>
      </c>
      <c r="I66" s="72">
        <f t="shared" si="1"/>
        <v>32.909589041095892</v>
      </c>
      <c r="J66" s="69"/>
      <c r="K66" s="73"/>
    </row>
    <row r="67" spans="1:11" ht="12" customHeight="1" x14ac:dyDescent="0.2">
      <c r="A67" s="69" t="s">
        <v>192</v>
      </c>
      <c r="B67" s="128" t="s">
        <v>148</v>
      </c>
      <c r="C67" s="140">
        <v>64937652</v>
      </c>
      <c r="D67" s="140" t="s">
        <v>237</v>
      </c>
      <c r="E67" s="151">
        <v>344</v>
      </c>
      <c r="F67" s="68">
        <v>45810</v>
      </c>
      <c r="G67" s="71">
        <v>46311</v>
      </c>
      <c r="H67" s="100">
        <f t="shared" si="0"/>
        <v>501</v>
      </c>
      <c r="I67" s="72">
        <f t="shared" si="1"/>
        <v>16.471232876712328</v>
      </c>
      <c r="J67" s="69"/>
      <c r="K67" s="129"/>
    </row>
    <row r="68" spans="1:11" ht="12.75" x14ac:dyDescent="0.2">
      <c r="A68" s="69" t="s">
        <v>192</v>
      </c>
      <c r="B68" s="128" t="s">
        <v>148</v>
      </c>
      <c r="C68" s="140">
        <v>64936972</v>
      </c>
      <c r="D68" s="140" t="s">
        <v>238</v>
      </c>
      <c r="E68" s="151">
        <v>236</v>
      </c>
      <c r="F68" s="68">
        <v>45810</v>
      </c>
      <c r="G68" s="71">
        <v>46499</v>
      </c>
      <c r="H68" s="100">
        <f t="shared" si="0"/>
        <v>689</v>
      </c>
      <c r="I68" s="72">
        <f t="shared" si="1"/>
        <v>22.652054794520545</v>
      </c>
      <c r="J68" s="69"/>
      <c r="K68" s="73"/>
    </row>
    <row r="69" spans="1:11" ht="12.75" x14ac:dyDescent="0.2">
      <c r="A69" s="69" t="s">
        <v>192</v>
      </c>
      <c r="B69" s="128" t="s">
        <v>148</v>
      </c>
      <c r="C69" s="140">
        <v>64808277</v>
      </c>
      <c r="D69" s="140" t="s">
        <v>382</v>
      </c>
      <c r="E69" s="151">
        <v>252</v>
      </c>
      <c r="F69" s="68">
        <v>45810</v>
      </c>
      <c r="G69" s="71">
        <v>46233</v>
      </c>
      <c r="H69" s="100">
        <f t="shared" ref="H69:H70" si="52">G69-F69</f>
        <v>423</v>
      </c>
      <c r="I69" s="72">
        <f t="shared" ref="I69:I70" si="53">H69/365*12</f>
        <v>13.906849315068493</v>
      </c>
      <c r="J69" s="69"/>
      <c r="K69" s="73"/>
    </row>
    <row r="70" spans="1:11" ht="12.75" x14ac:dyDescent="0.2">
      <c r="A70" s="69" t="s">
        <v>192</v>
      </c>
      <c r="B70" s="128" t="s">
        <v>148</v>
      </c>
      <c r="C70" s="140">
        <v>64941165</v>
      </c>
      <c r="D70" s="140" t="s">
        <v>239</v>
      </c>
      <c r="E70" s="151">
        <v>140</v>
      </c>
      <c r="F70" s="68">
        <v>45810</v>
      </c>
      <c r="G70" s="71">
        <v>46142</v>
      </c>
      <c r="H70" s="100">
        <f t="shared" si="52"/>
        <v>332</v>
      </c>
      <c r="I70" s="72">
        <f t="shared" si="53"/>
        <v>10.915068493150685</v>
      </c>
      <c r="J70" s="69"/>
      <c r="K70" s="73"/>
    </row>
    <row r="71" spans="1:11" ht="12.75" x14ac:dyDescent="0.2">
      <c r="A71" s="69" t="s">
        <v>192</v>
      </c>
      <c r="B71" s="128" t="s">
        <v>148</v>
      </c>
      <c r="C71" s="140">
        <v>64941166</v>
      </c>
      <c r="D71" s="140" t="s">
        <v>240</v>
      </c>
      <c r="E71" s="151">
        <v>254</v>
      </c>
      <c r="F71" s="68">
        <v>45810</v>
      </c>
      <c r="G71" s="71">
        <v>46233</v>
      </c>
      <c r="H71" s="100">
        <f t="shared" si="0"/>
        <v>423</v>
      </c>
      <c r="I71" s="72">
        <f t="shared" si="1"/>
        <v>13.906849315068493</v>
      </c>
      <c r="J71" s="69"/>
      <c r="K71" s="73"/>
    </row>
    <row r="72" spans="1:11" ht="12.75" x14ac:dyDescent="0.2">
      <c r="A72" s="69" t="s">
        <v>192</v>
      </c>
      <c r="B72" s="128" t="s">
        <v>148</v>
      </c>
      <c r="C72" s="140">
        <v>64966073</v>
      </c>
      <c r="D72" s="140" t="s">
        <v>383</v>
      </c>
      <c r="E72" s="151">
        <v>535</v>
      </c>
      <c r="F72" s="68">
        <v>45810</v>
      </c>
      <c r="G72" s="71">
        <v>46887</v>
      </c>
      <c r="H72" s="100">
        <f t="shared" si="0"/>
        <v>1077</v>
      </c>
      <c r="I72" s="72">
        <f t="shared" si="1"/>
        <v>35.408219178082192</v>
      </c>
      <c r="J72" s="69"/>
      <c r="K72" s="73"/>
    </row>
    <row r="73" spans="1:11" ht="12.75" x14ac:dyDescent="0.2">
      <c r="A73" s="69" t="s">
        <v>192</v>
      </c>
      <c r="B73" s="128" t="s">
        <v>148</v>
      </c>
      <c r="C73" s="140">
        <v>64912998</v>
      </c>
      <c r="D73" s="140" t="s">
        <v>316</v>
      </c>
      <c r="E73" s="151">
        <v>1202</v>
      </c>
      <c r="F73" s="68">
        <v>45810</v>
      </c>
      <c r="G73" s="71">
        <v>46482</v>
      </c>
      <c r="H73" s="100">
        <f t="shared" ref="H73" si="54">G73-F73</f>
        <v>672</v>
      </c>
      <c r="I73" s="72">
        <f t="shared" ref="I73" si="55">H73/365*12</f>
        <v>22.093150684931508</v>
      </c>
      <c r="J73" s="69"/>
      <c r="K73" s="73"/>
    </row>
    <row r="74" spans="1:11" ht="12.75" x14ac:dyDescent="0.2">
      <c r="A74" s="69" t="s">
        <v>192</v>
      </c>
      <c r="B74" s="128" t="s">
        <v>148</v>
      </c>
      <c r="C74" s="140">
        <v>64913000</v>
      </c>
      <c r="D74" s="140" t="s">
        <v>317</v>
      </c>
      <c r="E74" s="151">
        <v>404</v>
      </c>
      <c r="F74" s="68">
        <v>45810</v>
      </c>
      <c r="G74" s="71">
        <v>46514</v>
      </c>
      <c r="H74" s="100">
        <f t="shared" si="0"/>
        <v>704</v>
      </c>
      <c r="I74" s="72">
        <f t="shared" si="1"/>
        <v>23.145205479452056</v>
      </c>
      <c r="J74" s="69"/>
      <c r="K74" s="73"/>
    </row>
    <row r="75" spans="1:11" ht="12.75" x14ac:dyDescent="0.2">
      <c r="A75" s="69" t="s">
        <v>192</v>
      </c>
      <c r="B75" s="128" t="s">
        <v>148</v>
      </c>
      <c r="C75" s="140">
        <v>64966072</v>
      </c>
      <c r="D75" s="140" t="s">
        <v>384</v>
      </c>
      <c r="E75" s="151">
        <v>655</v>
      </c>
      <c r="F75" s="68">
        <v>45810</v>
      </c>
      <c r="G75" s="71">
        <v>46887</v>
      </c>
      <c r="H75" s="100">
        <f t="shared" si="0"/>
        <v>1077</v>
      </c>
      <c r="I75" s="72">
        <f t="shared" si="1"/>
        <v>35.408219178082192</v>
      </c>
      <c r="J75" s="69"/>
      <c r="K75" s="73"/>
    </row>
    <row r="76" spans="1:11" ht="12.75" x14ac:dyDescent="0.2">
      <c r="A76" s="69" t="s">
        <v>192</v>
      </c>
      <c r="B76" s="128" t="s">
        <v>148</v>
      </c>
      <c r="C76" s="140">
        <v>64941155</v>
      </c>
      <c r="D76" s="140" t="s">
        <v>241</v>
      </c>
      <c r="E76" s="151">
        <v>1455</v>
      </c>
      <c r="F76" s="68">
        <v>45810</v>
      </c>
      <c r="G76" s="71">
        <v>46974</v>
      </c>
      <c r="H76" s="100">
        <f t="shared" si="0"/>
        <v>1164</v>
      </c>
      <c r="I76" s="72">
        <f t="shared" si="1"/>
        <v>38.268493150684932</v>
      </c>
      <c r="J76" s="69"/>
      <c r="K76" s="73"/>
    </row>
    <row r="77" spans="1:11" ht="12.75" x14ac:dyDescent="0.2">
      <c r="A77" s="69" t="s">
        <v>192</v>
      </c>
      <c r="B77" s="128" t="s">
        <v>148</v>
      </c>
      <c r="C77" s="140">
        <v>64941153</v>
      </c>
      <c r="D77" s="140" t="s">
        <v>242</v>
      </c>
      <c r="E77" s="151">
        <v>1211</v>
      </c>
      <c r="F77" s="68">
        <v>45810</v>
      </c>
      <c r="G77" s="71">
        <v>46859</v>
      </c>
      <c r="H77" s="100">
        <f t="shared" si="0"/>
        <v>1049</v>
      </c>
      <c r="I77" s="72">
        <f t="shared" si="1"/>
        <v>34.487671232876707</v>
      </c>
      <c r="J77" s="69"/>
      <c r="K77" s="73"/>
    </row>
    <row r="78" spans="1:11" ht="12.75" x14ac:dyDescent="0.2">
      <c r="A78" s="69" t="s">
        <v>192</v>
      </c>
      <c r="B78" s="128" t="s">
        <v>148</v>
      </c>
      <c r="C78" s="140">
        <v>64937130</v>
      </c>
      <c r="D78" s="140" t="s">
        <v>243</v>
      </c>
      <c r="E78" s="151">
        <v>368</v>
      </c>
      <c r="F78" s="68">
        <v>45810</v>
      </c>
      <c r="G78" s="71">
        <v>46882</v>
      </c>
      <c r="H78" s="100">
        <f t="shared" si="0"/>
        <v>1072</v>
      </c>
      <c r="I78" s="72">
        <f t="shared" si="1"/>
        <v>35.243835616438353</v>
      </c>
      <c r="J78" s="69"/>
      <c r="K78" s="73"/>
    </row>
    <row r="79" spans="1:11" ht="12.75" x14ac:dyDescent="0.2">
      <c r="A79" s="69" t="s">
        <v>192</v>
      </c>
      <c r="B79" s="128" t="s">
        <v>148</v>
      </c>
      <c r="C79" s="140">
        <v>64937132</v>
      </c>
      <c r="D79" s="140" t="s">
        <v>244</v>
      </c>
      <c r="E79" s="151">
        <v>650</v>
      </c>
      <c r="F79" s="68">
        <v>45810</v>
      </c>
      <c r="G79" s="71">
        <v>46887</v>
      </c>
      <c r="H79" s="100">
        <f t="shared" si="0"/>
        <v>1077</v>
      </c>
      <c r="I79" s="72">
        <f t="shared" si="1"/>
        <v>35.408219178082192</v>
      </c>
      <c r="J79" s="69"/>
      <c r="K79" s="73"/>
    </row>
    <row r="80" spans="1:11" ht="12.75" x14ac:dyDescent="0.2">
      <c r="A80" s="69" t="s">
        <v>192</v>
      </c>
      <c r="B80" s="128" t="s">
        <v>148</v>
      </c>
      <c r="C80" s="140">
        <v>64941160</v>
      </c>
      <c r="D80" s="140" t="s">
        <v>245</v>
      </c>
      <c r="E80" s="151">
        <v>679</v>
      </c>
      <c r="F80" s="68">
        <v>45810</v>
      </c>
      <c r="G80" s="71">
        <v>46325</v>
      </c>
      <c r="H80" s="100">
        <f t="shared" ref="H80" si="56">G80-F80</f>
        <v>515</v>
      </c>
      <c r="I80" s="72">
        <f t="shared" ref="I80" si="57">H80/365*12</f>
        <v>16.93150684931507</v>
      </c>
      <c r="J80" s="69"/>
      <c r="K80" s="73"/>
    </row>
    <row r="81" spans="1:11" ht="12.75" x14ac:dyDescent="0.2">
      <c r="A81" s="69" t="s">
        <v>192</v>
      </c>
      <c r="B81" s="128" t="s">
        <v>148</v>
      </c>
      <c r="C81" s="140">
        <v>64941169</v>
      </c>
      <c r="D81" s="140" t="s">
        <v>419</v>
      </c>
      <c r="E81" s="151">
        <v>51</v>
      </c>
      <c r="F81" s="68">
        <v>45810</v>
      </c>
      <c r="G81" s="71">
        <v>46111</v>
      </c>
      <c r="H81" s="100">
        <f t="shared" si="0"/>
        <v>301</v>
      </c>
      <c r="I81" s="72">
        <f t="shared" si="1"/>
        <v>9.8958904109589056</v>
      </c>
      <c r="J81" s="69"/>
      <c r="K81" s="73"/>
    </row>
    <row r="82" spans="1:11" ht="12.75" x14ac:dyDescent="0.2">
      <c r="A82" s="69" t="s">
        <v>192</v>
      </c>
      <c r="B82" s="128" t="s">
        <v>148</v>
      </c>
      <c r="C82" s="140">
        <v>64941167</v>
      </c>
      <c r="D82" s="140" t="s">
        <v>420</v>
      </c>
      <c r="E82" s="151">
        <v>17</v>
      </c>
      <c r="F82" s="68">
        <v>45810</v>
      </c>
      <c r="G82" s="71">
        <v>46356</v>
      </c>
      <c r="H82" s="100">
        <f t="shared" si="0"/>
        <v>546</v>
      </c>
      <c r="I82" s="72">
        <f t="shared" si="1"/>
        <v>17.950684931506849</v>
      </c>
      <c r="J82" s="69"/>
      <c r="K82" s="73"/>
    </row>
    <row r="83" spans="1:11" ht="12" customHeight="1" x14ac:dyDescent="0.2">
      <c r="A83" s="69" t="s">
        <v>192</v>
      </c>
      <c r="B83" s="128" t="s">
        <v>148</v>
      </c>
      <c r="C83" s="140">
        <v>64941573</v>
      </c>
      <c r="D83" s="140" t="s">
        <v>387</v>
      </c>
      <c r="E83" s="151">
        <v>1944</v>
      </c>
      <c r="F83" s="68">
        <v>45810</v>
      </c>
      <c r="G83" s="74">
        <v>46501</v>
      </c>
      <c r="H83" s="100">
        <f t="shared" ref="H83:H159" si="58">G83-F83</f>
        <v>691</v>
      </c>
      <c r="I83" s="72">
        <f t="shared" ref="I83:I159" si="59">H83/365*12</f>
        <v>22.717808219178082</v>
      </c>
      <c r="J83" s="95"/>
      <c r="K83" s="73"/>
    </row>
    <row r="84" spans="1:11" ht="12" customHeight="1" x14ac:dyDescent="0.2">
      <c r="A84" s="69" t="s">
        <v>192</v>
      </c>
      <c r="B84" s="128" t="s">
        <v>148</v>
      </c>
      <c r="C84" s="140">
        <v>64972149</v>
      </c>
      <c r="D84" s="140" t="s">
        <v>346</v>
      </c>
      <c r="E84" s="151">
        <v>1509</v>
      </c>
      <c r="F84" s="68">
        <v>45810</v>
      </c>
      <c r="G84" s="74">
        <v>46521</v>
      </c>
      <c r="H84" s="100">
        <f t="shared" si="58"/>
        <v>711</v>
      </c>
      <c r="I84" s="72">
        <f t="shared" si="59"/>
        <v>23.375342465753427</v>
      </c>
      <c r="J84" s="95"/>
      <c r="K84" s="73"/>
    </row>
    <row r="85" spans="1:11" ht="12" customHeight="1" x14ac:dyDescent="0.2">
      <c r="A85" s="69" t="s">
        <v>192</v>
      </c>
      <c r="B85" s="128" t="s">
        <v>148</v>
      </c>
      <c r="C85" s="140">
        <v>64941570</v>
      </c>
      <c r="D85" s="140" t="s">
        <v>421</v>
      </c>
      <c r="E85" s="151">
        <v>325</v>
      </c>
      <c r="F85" s="68">
        <v>45810</v>
      </c>
      <c r="G85" s="74">
        <v>46395</v>
      </c>
      <c r="H85" s="100">
        <f t="shared" ref="H85" si="60">G85-F85</f>
        <v>585</v>
      </c>
      <c r="I85" s="72">
        <f t="shared" ref="I85" si="61">H85/365*12</f>
        <v>19.232876712328768</v>
      </c>
      <c r="J85" s="95"/>
      <c r="K85" s="73"/>
    </row>
    <row r="86" spans="1:11" ht="12" customHeight="1" x14ac:dyDescent="0.2">
      <c r="A86" s="69" t="s">
        <v>192</v>
      </c>
      <c r="B86" s="128" t="s">
        <v>148</v>
      </c>
      <c r="C86" s="140">
        <v>64941481</v>
      </c>
      <c r="D86" s="140" t="s">
        <v>422</v>
      </c>
      <c r="E86" s="151">
        <v>35</v>
      </c>
      <c r="F86" s="68">
        <v>45810</v>
      </c>
      <c r="G86" s="74">
        <v>46395</v>
      </c>
      <c r="H86" s="100">
        <f t="shared" ref="H86" si="62">G86-F86</f>
        <v>585</v>
      </c>
      <c r="I86" s="72">
        <f t="shared" ref="I86" si="63">H86/365*12</f>
        <v>19.232876712328768</v>
      </c>
      <c r="J86" s="95"/>
      <c r="K86" s="73"/>
    </row>
    <row r="87" spans="1:11" ht="12" customHeight="1" x14ac:dyDescent="0.2">
      <c r="A87" s="69" t="s">
        <v>192</v>
      </c>
      <c r="B87" s="128" t="s">
        <v>148</v>
      </c>
      <c r="C87" s="140">
        <v>64967579</v>
      </c>
      <c r="D87" s="140" t="s">
        <v>423</v>
      </c>
      <c r="E87" s="151">
        <v>167</v>
      </c>
      <c r="F87" s="68">
        <v>45810</v>
      </c>
      <c r="G87" s="74">
        <v>46536</v>
      </c>
      <c r="H87" s="100">
        <f t="shared" si="58"/>
        <v>726</v>
      </c>
      <c r="I87" s="72">
        <f t="shared" si="59"/>
        <v>23.868493150684934</v>
      </c>
      <c r="J87" s="95"/>
      <c r="K87" s="73"/>
    </row>
    <row r="88" spans="1:11" ht="12" customHeight="1" x14ac:dyDescent="0.2">
      <c r="A88" s="69" t="s">
        <v>192</v>
      </c>
      <c r="B88" s="128" t="s">
        <v>148</v>
      </c>
      <c r="C88" s="140">
        <v>64949038</v>
      </c>
      <c r="D88" s="140" t="s">
        <v>347</v>
      </c>
      <c r="E88" s="151">
        <v>4041</v>
      </c>
      <c r="F88" s="68">
        <v>45810</v>
      </c>
      <c r="G88" s="74">
        <v>46509</v>
      </c>
      <c r="H88" s="100">
        <f t="shared" si="58"/>
        <v>699</v>
      </c>
      <c r="I88" s="72">
        <f t="shared" si="59"/>
        <v>22.980821917808221</v>
      </c>
      <c r="J88" s="95"/>
      <c r="K88" s="73"/>
    </row>
    <row r="89" spans="1:11" ht="12" customHeight="1" x14ac:dyDescent="0.2">
      <c r="A89" s="69" t="s">
        <v>192</v>
      </c>
      <c r="B89" s="128" t="s">
        <v>148</v>
      </c>
      <c r="C89" s="140">
        <v>64953745</v>
      </c>
      <c r="D89" s="140" t="s">
        <v>247</v>
      </c>
      <c r="E89" s="151">
        <v>6059</v>
      </c>
      <c r="F89" s="68">
        <v>45810</v>
      </c>
      <c r="G89" s="74">
        <v>46364</v>
      </c>
      <c r="H89" s="100">
        <f t="shared" si="58"/>
        <v>554</v>
      </c>
      <c r="I89" s="72">
        <f t="shared" si="59"/>
        <v>18.213698630136985</v>
      </c>
      <c r="J89" s="95"/>
      <c r="K89" s="73"/>
    </row>
    <row r="90" spans="1:11" ht="12" customHeight="1" x14ac:dyDescent="0.2">
      <c r="A90" s="69" t="s">
        <v>192</v>
      </c>
      <c r="B90" s="128" t="s">
        <v>148</v>
      </c>
      <c r="C90" s="140">
        <v>64984877</v>
      </c>
      <c r="D90" s="140" t="s">
        <v>424</v>
      </c>
      <c r="E90" s="151">
        <v>4279</v>
      </c>
      <c r="F90" s="68">
        <v>45810</v>
      </c>
      <c r="G90" s="74">
        <v>46534</v>
      </c>
      <c r="H90" s="100">
        <f t="shared" si="58"/>
        <v>724</v>
      </c>
      <c r="I90" s="72">
        <f t="shared" si="59"/>
        <v>23.802739726027397</v>
      </c>
      <c r="J90" s="95"/>
      <c r="K90" s="73"/>
    </row>
    <row r="91" spans="1:11" ht="12" customHeight="1" x14ac:dyDescent="0.2">
      <c r="A91" s="69" t="s">
        <v>192</v>
      </c>
      <c r="B91" s="128" t="s">
        <v>148</v>
      </c>
      <c r="C91" s="140">
        <v>64947070</v>
      </c>
      <c r="D91" s="140" t="s">
        <v>248</v>
      </c>
      <c r="E91" s="151">
        <v>884</v>
      </c>
      <c r="F91" s="68">
        <v>45810</v>
      </c>
      <c r="G91" s="74">
        <v>46709</v>
      </c>
      <c r="H91" s="100">
        <f t="shared" si="58"/>
        <v>899</v>
      </c>
      <c r="I91" s="72">
        <f t="shared" si="59"/>
        <v>29.556164383561644</v>
      </c>
      <c r="J91" s="95"/>
      <c r="K91" s="73"/>
    </row>
    <row r="92" spans="1:11" ht="12" customHeight="1" x14ac:dyDescent="0.2">
      <c r="A92" s="69" t="s">
        <v>192</v>
      </c>
      <c r="B92" s="128" t="s">
        <v>148</v>
      </c>
      <c r="C92" s="140">
        <v>64947088</v>
      </c>
      <c r="D92" s="140" t="s">
        <v>249</v>
      </c>
      <c r="E92" s="151">
        <v>215</v>
      </c>
      <c r="F92" s="68">
        <v>45810</v>
      </c>
      <c r="G92" s="74">
        <v>46717</v>
      </c>
      <c r="H92" s="100">
        <f t="shared" si="58"/>
        <v>907</v>
      </c>
      <c r="I92" s="72">
        <f t="shared" si="59"/>
        <v>29.81917808219178</v>
      </c>
      <c r="J92" s="95"/>
      <c r="K92" s="73"/>
    </row>
    <row r="93" spans="1:11" ht="12" customHeight="1" x14ac:dyDescent="0.2">
      <c r="A93" s="69" t="s">
        <v>192</v>
      </c>
      <c r="B93" s="128" t="s">
        <v>148</v>
      </c>
      <c r="C93" s="140">
        <v>64947072</v>
      </c>
      <c r="D93" s="140" t="s">
        <v>250</v>
      </c>
      <c r="E93" s="151">
        <v>550</v>
      </c>
      <c r="F93" s="68">
        <v>45810</v>
      </c>
      <c r="G93" s="74">
        <v>46702</v>
      </c>
      <c r="H93" s="100">
        <f t="shared" ref="H93:H94" si="64">G93-F93</f>
        <v>892</v>
      </c>
      <c r="I93" s="72">
        <f t="shared" ref="I93:I94" si="65">H93/365*12</f>
        <v>29.326027397260276</v>
      </c>
      <c r="J93" s="95"/>
      <c r="K93" s="73"/>
    </row>
    <row r="94" spans="1:11" ht="12" customHeight="1" x14ac:dyDescent="0.2">
      <c r="A94" s="69" t="s">
        <v>192</v>
      </c>
      <c r="B94" s="128" t="s">
        <v>148</v>
      </c>
      <c r="C94" s="140">
        <v>64947085</v>
      </c>
      <c r="D94" s="140" t="s">
        <v>251</v>
      </c>
      <c r="E94" s="151">
        <v>2101</v>
      </c>
      <c r="F94" s="68">
        <v>45810</v>
      </c>
      <c r="G94" s="74">
        <v>46636</v>
      </c>
      <c r="H94" s="100">
        <f t="shared" si="64"/>
        <v>826</v>
      </c>
      <c r="I94" s="72">
        <f t="shared" si="65"/>
        <v>27.156164383561642</v>
      </c>
      <c r="J94" s="95"/>
      <c r="K94" s="73"/>
    </row>
    <row r="95" spans="1:11" ht="12" customHeight="1" x14ac:dyDescent="0.2">
      <c r="A95" s="69" t="s">
        <v>192</v>
      </c>
      <c r="B95" s="128" t="s">
        <v>148</v>
      </c>
      <c r="C95" s="140">
        <v>64947093</v>
      </c>
      <c r="D95" s="140" t="s">
        <v>318</v>
      </c>
      <c r="E95" s="151">
        <v>65</v>
      </c>
      <c r="F95" s="68">
        <v>45810</v>
      </c>
      <c r="G95" s="74">
        <v>46701</v>
      </c>
      <c r="H95" s="100">
        <f t="shared" si="58"/>
        <v>891</v>
      </c>
      <c r="I95" s="72">
        <f t="shared" si="59"/>
        <v>29.293150684931508</v>
      </c>
      <c r="J95" s="95"/>
      <c r="K95" s="73"/>
    </row>
    <row r="96" spans="1:11" ht="12" customHeight="1" x14ac:dyDescent="0.2">
      <c r="A96" s="69" t="s">
        <v>192</v>
      </c>
      <c r="B96" s="128" t="s">
        <v>148</v>
      </c>
      <c r="C96" s="140">
        <v>64947087</v>
      </c>
      <c r="D96" s="140" t="s">
        <v>252</v>
      </c>
      <c r="E96" s="151">
        <v>1</v>
      </c>
      <c r="F96" s="68">
        <v>45810</v>
      </c>
      <c r="G96" s="74">
        <v>46717</v>
      </c>
      <c r="H96" s="100">
        <f t="shared" si="58"/>
        <v>907</v>
      </c>
      <c r="I96" s="72">
        <f t="shared" si="59"/>
        <v>29.81917808219178</v>
      </c>
      <c r="J96" s="95"/>
      <c r="K96" s="73"/>
    </row>
    <row r="97" spans="1:11" ht="12" customHeight="1" x14ac:dyDescent="0.2">
      <c r="A97" s="69" t="s">
        <v>192</v>
      </c>
      <c r="B97" s="128" t="s">
        <v>148</v>
      </c>
      <c r="C97" s="140">
        <v>64947089</v>
      </c>
      <c r="D97" s="140" t="s">
        <v>319</v>
      </c>
      <c r="E97" s="151">
        <v>527</v>
      </c>
      <c r="F97" s="68">
        <v>45810</v>
      </c>
      <c r="G97" s="74">
        <v>46606</v>
      </c>
      <c r="H97" s="100">
        <f t="shared" si="58"/>
        <v>796</v>
      </c>
      <c r="I97" s="72">
        <f t="shared" si="59"/>
        <v>26.169863013698631</v>
      </c>
      <c r="J97" s="95"/>
      <c r="K97" s="73"/>
    </row>
    <row r="98" spans="1:11" ht="12.75" x14ac:dyDescent="0.2">
      <c r="A98" s="69" t="s">
        <v>192</v>
      </c>
      <c r="B98" s="128" t="s">
        <v>148</v>
      </c>
      <c r="C98" s="140">
        <v>64947074</v>
      </c>
      <c r="D98" s="140" t="s">
        <v>253</v>
      </c>
      <c r="E98" s="151">
        <v>3144</v>
      </c>
      <c r="F98" s="68">
        <v>45810</v>
      </c>
      <c r="G98" s="74">
        <v>46692</v>
      </c>
      <c r="H98" s="100">
        <f t="shared" si="58"/>
        <v>882</v>
      </c>
      <c r="I98" s="72">
        <f t="shared" si="59"/>
        <v>28.997260273972604</v>
      </c>
      <c r="J98" s="95"/>
      <c r="K98" s="73"/>
    </row>
    <row r="99" spans="1:11" ht="12" customHeight="1" x14ac:dyDescent="0.2">
      <c r="A99" s="69" t="s">
        <v>192</v>
      </c>
      <c r="B99" s="128" t="s">
        <v>148</v>
      </c>
      <c r="C99" s="140">
        <v>64947071</v>
      </c>
      <c r="D99" s="140" t="s">
        <v>254</v>
      </c>
      <c r="E99" s="151">
        <v>800</v>
      </c>
      <c r="F99" s="68">
        <v>45810</v>
      </c>
      <c r="G99" s="74">
        <v>46714</v>
      </c>
      <c r="H99" s="100">
        <f t="shared" si="58"/>
        <v>904</v>
      </c>
      <c r="I99" s="72">
        <f t="shared" si="59"/>
        <v>29.720547945205482</v>
      </c>
      <c r="J99" s="95"/>
      <c r="K99" s="73"/>
    </row>
    <row r="100" spans="1:11" ht="12" customHeight="1" x14ac:dyDescent="0.2">
      <c r="A100" s="69" t="s">
        <v>192</v>
      </c>
      <c r="B100" s="128" t="s">
        <v>148</v>
      </c>
      <c r="C100" s="140">
        <v>64947083</v>
      </c>
      <c r="D100" s="140" t="s">
        <v>255</v>
      </c>
      <c r="E100" s="151">
        <v>6054</v>
      </c>
      <c r="F100" s="68">
        <v>45810</v>
      </c>
      <c r="G100" s="74">
        <v>46715</v>
      </c>
      <c r="H100" s="100">
        <f t="shared" ref="H100" si="66">G100-F100</f>
        <v>905</v>
      </c>
      <c r="I100" s="72">
        <f t="shared" ref="I100" si="67">H100/365*12</f>
        <v>29.753424657534246</v>
      </c>
      <c r="J100" s="95"/>
      <c r="K100" s="73"/>
    </row>
    <row r="101" spans="1:11" ht="12" customHeight="1" x14ac:dyDescent="0.2">
      <c r="A101" s="69" t="s">
        <v>192</v>
      </c>
      <c r="B101" s="128" t="s">
        <v>148</v>
      </c>
      <c r="C101" s="140">
        <v>64947091</v>
      </c>
      <c r="D101" s="140" t="s">
        <v>256</v>
      </c>
      <c r="E101" s="151">
        <v>1228</v>
      </c>
      <c r="F101" s="68">
        <v>45810</v>
      </c>
      <c r="G101" s="74">
        <v>46573</v>
      </c>
      <c r="H101" s="100">
        <f t="shared" si="58"/>
        <v>763</v>
      </c>
      <c r="I101" s="72">
        <f t="shared" si="59"/>
        <v>25.084931506849315</v>
      </c>
      <c r="J101" s="95"/>
      <c r="K101" s="73"/>
    </row>
    <row r="102" spans="1:11" ht="12" customHeight="1" x14ac:dyDescent="0.2">
      <c r="A102" s="69" t="s">
        <v>192</v>
      </c>
      <c r="B102" s="128" t="s">
        <v>148</v>
      </c>
      <c r="C102" s="140">
        <v>65070720</v>
      </c>
      <c r="D102" s="140" t="s">
        <v>425</v>
      </c>
      <c r="E102" s="151">
        <v>2085</v>
      </c>
      <c r="F102" s="68">
        <v>45810</v>
      </c>
      <c r="G102" s="74">
        <v>46516</v>
      </c>
      <c r="H102" s="100">
        <f t="shared" si="58"/>
        <v>706</v>
      </c>
      <c r="I102" s="72">
        <f t="shared" si="59"/>
        <v>23.210958904109589</v>
      </c>
      <c r="J102" s="95"/>
      <c r="K102" s="73"/>
    </row>
    <row r="103" spans="1:11" ht="12" customHeight="1" x14ac:dyDescent="0.2">
      <c r="A103" s="69" t="s">
        <v>192</v>
      </c>
      <c r="B103" s="128" t="s">
        <v>148</v>
      </c>
      <c r="C103" s="140">
        <v>64949042</v>
      </c>
      <c r="D103" s="140" t="s">
        <v>388</v>
      </c>
      <c r="E103" s="151">
        <v>173</v>
      </c>
      <c r="F103" s="68">
        <v>45810</v>
      </c>
      <c r="G103" s="74">
        <v>46493</v>
      </c>
      <c r="H103" s="100">
        <f t="shared" si="58"/>
        <v>683</v>
      </c>
      <c r="I103" s="72">
        <f t="shared" si="59"/>
        <v>22.454794520547946</v>
      </c>
      <c r="J103" s="95"/>
      <c r="K103" s="73"/>
    </row>
    <row r="104" spans="1:11" ht="12" customHeight="1" x14ac:dyDescent="0.2">
      <c r="A104" s="69" t="s">
        <v>192</v>
      </c>
      <c r="B104" s="128" t="s">
        <v>148</v>
      </c>
      <c r="C104" s="140">
        <v>64953746</v>
      </c>
      <c r="D104" s="140" t="s">
        <v>257</v>
      </c>
      <c r="E104" s="151">
        <v>4453</v>
      </c>
      <c r="F104" s="68">
        <v>45810</v>
      </c>
      <c r="G104" s="74">
        <v>46359</v>
      </c>
      <c r="H104" s="100">
        <f t="shared" si="58"/>
        <v>549</v>
      </c>
      <c r="I104" s="72">
        <f t="shared" si="59"/>
        <v>18.049315068493151</v>
      </c>
      <c r="J104" s="95"/>
      <c r="K104" s="73"/>
    </row>
    <row r="105" spans="1:11" ht="12" customHeight="1" x14ac:dyDescent="0.2">
      <c r="A105" s="69" t="s">
        <v>192</v>
      </c>
      <c r="B105" s="128" t="s">
        <v>148</v>
      </c>
      <c r="C105" s="140">
        <v>64972988</v>
      </c>
      <c r="D105" s="140" t="s">
        <v>348</v>
      </c>
      <c r="E105" s="151">
        <v>2531</v>
      </c>
      <c r="F105" s="68">
        <v>45810</v>
      </c>
      <c r="G105" s="74">
        <v>46518</v>
      </c>
      <c r="H105" s="100">
        <f t="shared" si="58"/>
        <v>708</v>
      </c>
      <c r="I105" s="72">
        <f t="shared" si="59"/>
        <v>23.276712328767125</v>
      </c>
      <c r="J105" s="95"/>
      <c r="K105" s="73"/>
    </row>
    <row r="106" spans="1:11" ht="12" customHeight="1" x14ac:dyDescent="0.2">
      <c r="A106" s="69" t="s">
        <v>192</v>
      </c>
      <c r="B106" s="128" t="s">
        <v>148</v>
      </c>
      <c r="C106" s="140">
        <v>64972150</v>
      </c>
      <c r="D106" s="140" t="s">
        <v>349</v>
      </c>
      <c r="E106" s="151">
        <v>790</v>
      </c>
      <c r="F106" s="68">
        <v>45810</v>
      </c>
      <c r="G106" s="74">
        <v>46524</v>
      </c>
      <c r="H106" s="100">
        <f t="shared" si="58"/>
        <v>714</v>
      </c>
      <c r="I106" s="72">
        <f t="shared" si="59"/>
        <v>23.473972602739725</v>
      </c>
      <c r="J106" s="95"/>
      <c r="K106" s="73"/>
    </row>
    <row r="107" spans="1:11" ht="12" customHeight="1" x14ac:dyDescent="0.2">
      <c r="A107" s="69" t="s">
        <v>192</v>
      </c>
      <c r="B107" s="128" t="s">
        <v>148</v>
      </c>
      <c r="C107" s="140">
        <v>64949033</v>
      </c>
      <c r="D107" s="140" t="s">
        <v>350</v>
      </c>
      <c r="E107" s="151">
        <v>3083</v>
      </c>
      <c r="F107" s="68">
        <v>45810</v>
      </c>
      <c r="G107" s="74">
        <v>46514</v>
      </c>
      <c r="H107" s="100">
        <f t="shared" ref="H107:H108" si="68">G107-F107</f>
        <v>704</v>
      </c>
      <c r="I107" s="72">
        <f t="shared" ref="I107:I108" si="69">H107/365*12</f>
        <v>23.145205479452056</v>
      </c>
      <c r="J107" s="95"/>
      <c r="K107" s="73"/>
    </row>
    <row r="108" spans="1:11" ht="12" customHeight="1" x14ac:dyDescent="0.2">
      <c r="A108" s="69" t="s">
        <v>192</v>
      </c>
      <c r="B108" s="128" t="s">
        <v>148</v>
      </c>
      <c r="C108" s="140">
        <v>64941528</v>
      </c>
      <c r="D108" s="140" t="s">
        <v>426</v>
      </c>
      <c r="E108" s="151">
        <v>317</v>
      </c>
      <c r="F108" s="68">
        <v>45810</v>
      </c>
      <c r="G108" s="74">
        <v>46507</v>
      </c>
      <c r="H108" s="100">
        <f t="shared" si="68"/>
        <v>697</v>
      </c>
      <c r="I108" s="72">
        <f t="shared" si="69"/>
        <v>22.915068493150685</v>
      </c>
      <c r="J108" s="95"/>
      <c r="K108" s="73"/>
    </row>
    <row r="109" spans="1:11" ht="12" customHeight="1" x14ac:dyDescent="0.2">
      <c r="A109" s="69" t="s">
        <v>192</v>
      </c>
      <c r="B109" s="128" t="s">
        <v>148</v>
      </c>
      <c r="C109" s="140">
        <v>65077408</v>
      </c>
      <c r="D109" s="140" t="s">
        <v>389</v>
      </c>
      <c r="E109" s="151">
        <v>834</v>
      </c>
      <c r="F109" s="68">
        <v>45810</v>
      </c>
      <c r="G109" s="74">
        <v>46529</v>
      </c>
      <c r="H109" s="100">
        <f t="shared" si="58"/>
        <v>719</v>
      </c>
      <c r="I109" s="72">
        <f t="shared" si="59"/>
        <v>23.638356164383563</v>
      </c>
      <c r="J109" s="95"/>
      <c r="K109" s="73"/>
    </row>
    <row r="110" spans="1:11" ht="12" customHeight="1" x14ac:dyDescent="0.2">
      <c r="A110" s="69" t="s">
        <v>192</v>
      </c>
      <c r="B110" s="128" t="s">
        <v>148</v>
      </c>
      <c r="C110" s="140">
        <v>64984887</v>
      </c>
      <c r="D110" s="140" t="s">
        <v>427</v>
      </c>
      <c r="E110" s="151">
        <v>1533</v>
      </c>
      <c r="F110" s="68">
        <v>45810</v>
      </c>
      <c r="G110" s="74">
        <v>46526</v>
      </c>
      <c r="H110" s="100">
        <f t="shared" ref="H110:H111" si="70">G110-F110</f>
        <v>716</v>
      </c>
      <c r="I110" s="72">
        <f t="shared" ref="I110:I111" si="71">H110/365*12</f>
        <v>23.539726027397258</v>
      </c>
      <c r="J110" s="95"/>
      <c r="K110" s="73"/>
    </row>
    <row r="111" spans="1:11" ht="12" customHeight="1" x14ac:dyDescent="0.2">
      <c r="A111" s="69" t="s">
        <v>192</v>
      </c>
      <c r="B111" s="128" t="s">
        <v>148</v>
      </c>
      <c r="C111" s="140">
        <v>64797728</v>
      </c>
      <c r="D111" s="140" t="s">
        <v>200</v>
      </c>
      <c r="E111" s="151">
        <v>6</v>
      </c>
      <c r="F111" s="68">
        <v>45810</v>
      </c>
      <c r="G111" s="74">
        <v>46174</v>
      </c>
      <c r="H111" s="100">
        <f t="shared" si="70"/>
        <v>364</v>
      </c>
      <c r="I111" s="72">
        <f t="shared" si="71"/>
        <v>11.967123287671233</v>
      </c>
      <c r="J111" s="95"/>
      <c r="K111" s="73"/>
    </row>
    <row r="112" spans="1:11" ht="12" customHeight="1" x14ac:dyDescent="0.2">
      <c r="A112" s="69" t="s">
        <v>192</v>
      </c>
      <c r="B112" s="128" t="s">
        <v>148</v>
      </c>
      <c r="C112" s="140">
        <v>65077406</v>
      </c>
      <c r="D112" s="140" t="s">
        <v>390</v>
      </c>
      <c r="E112" s="151">
        <v>272</v>
      </c>
      <c r="F112" s="68">
        <v>45810</v>
      </c>
      <c r="G112" s="74">
        <v>46511</v>
      </c>
      <c r="H112" s="100">
        <f t="shared" si="58"/>
        <v>701</v>
      </c>
      <c r="I112" s="72">
        <f t="shared" si="59"/>
        <v>23.046575342465754</v>
      </c>
      <c r="J112" s="95"/>
      <c r="K112" s="73"/>
    </row>
    <row r="113" spans="1:11" ht="12" customHeight="1" x14ac:dyDescent="0.2">
      <c r="A113" s="69" t="s">
        <v>192</v>
      </c>
      <c r="B113" s="128" t="s">
        <v>148</v>
      </c>
      <c r="C113" s="140">
        <v>64984885</v>
      </c>
      <c r="D113" s="140" t="s">
        <v>428</v>
      </c>
      <c r="E113" s="151">
        <v>1276</v>
      </c>
      <c r="F113" s="68">
        <v>45810</v>
      </c>
      <c r="G113" s="74">
        <v>46518</v>
      </c>
      <c r="H113" s="100">
        <f t="shared" si="58"/>
        <v>708</v>
      </c>
      <c r="I113" s="72">
        <f t="shared" si="59"/>
        <v>23.276712328767125</v>
      </c>
      <c r="J113" s="95"/>
      <c r="K113" s="73"/>
    </row>
    <row r="114" spans="1:11" ht="12" customHeight="1" x14ac:dyDescent="0.2">
      <c r="A114" s="69" t="s">
        <v>192</v>
      </c>
      <c r="B114" s="128" t="s">
        <v>148</v>
      </c>
      <c r="C114" s="140">
        <v>65215503</v>
      </c>
      <c r="D114" s="140" t="s">
        <v>429</v>
      </c>
      <c r="E114" s="151">
        <v>222</v>
      </c>
      <c r="F114" s="68">
        <v>45810</v>
      </c>
      <c r="G114" s="74">
        <v>46711</v>
      </c>
      <c r="H114" s="100">
        <f t="shared" si="58"/>
        <v>901</v>
      </c>
      <c r="I114" s="72">
        <f t="shared" si="59"/>
        <v>29.62191780821918</v>
      </c>
      <c r="J114" s="95"/>
      <c r="K114" s="73"/>
    </row>
    <row r="115" spans="1:11" ht="12" customHeight="1" x14ac:dyDescent="0.2">
      <c r="A115" s="69" t="s">
        <v>192</v>
      </c>
      <c r="B115" s="128" t="s">
        <v>148</v>
      </c>
      <c r="C115" s="140">
        <v>65215504</v>
      </c>
      <c r="D115" s="140" t="s">
        <v>430</v>
      </c>
      <c r="E115" s="151">
        <v>367</v>
      </c>
      <c r="F115" s="68">
        <v>45810</v>
      </c>
      <c r="G115" s="74">
        <v>46715</v>
      </c>
      <c r="H115" s="100">
        <f t="shared" ref="H115:H116" si="72">G115-F115</f>
        <v>905</v>
      </c>
      <c r="I115" s="72">
        <f t="shared" ref="I115:I116" si="73">H115/365*12</f>
        <v>29.753424657534246</v>
      </c>
      <c r="J115" s="95"/>
      <c r="K115" s="73"/>
    </row>
    <row r="116" spans="1:11" ht="12" customHeight="1" x14ac:dyDescent="0.2">
      <c r="A116" s="69" t="s">
        <v>192</v>
      </c>
      <c r="B116" s="128" t="s">
        <v>148</v>
      </c>
      <c r="C116" s="140">
        <v>65215505</v>
      </c>
      <c r="D116" s="140" t="s">
        <v>431</v>
      </c>
      <c r="E116" s="151">
        <v>550</v>
      </c>
      <c r="F116" s="68">
        <v>45810</v>
      </c>
      <c r="G116" s="74">
        <v>46713</v>
      </c>
      <c r="H116" s="100">
        <f t="shared" si="72"/>
        <v>903</v>
      </c>
      <c r="I116" s="72">
        <f t="shared" si="73"/>
        <v>29.68767123287671</v>
      </c>
      <c r="J116" s="95"/>
      <c r="K116" s="73"/>
    </row>
    <row r="117" spans="1:11" ht="12" customHeight="1" x14ac:dyDescent="0.2">
      <c r="A117" s="69" t="s">
        <v>192</v>
      </c>
      <c r="B117" s="128" t="s">
        <v>148</v>
      </c>
      <c r="C117" s="140">
        <v>64985944</v>
      </c>
      <c r="D117" s="140" t="s">
        <v>351</v>
      </c>
      <c r="E117" s="151">
        <v>144</v>
      </c>
      <c r="F117" s="68">
        <v>45810</v>
      </c>
      <c r="G117" s="74">
        <v>46488</v>
      </c>
      <c r="H117" s="100">
        <f t="shared" si="58"/>
        <v>678</v>
      </c>
      <c r="I117" s="72">
        <f t="shared" si="59"/>
        <v>22.290410958904108</v>
      </c>
      <c r="J117" s="95"/>
      <c r="K117" s="73"/>
    </row>
    <row r="118" spans="1:11" ht="12" customHeight="1" x14ac:dyDescent="0.2">
      <c r="A118" s="69" t="s">
        <v>192</v>
      </c>
      <c r="B118" s="128" t="s">
        <v>148</v>
      </c>
      <c r="C118" s="140">
        <v>64941594</v>
      </c>
      <c r="D118" s="140" t="s">
        <v>320</v>
      </c>
      <c r="E118" s="151">
        <v>831</v>
      </c>
      <c r="F118" s="68">
        <v>45810</v>
      </c>
      <c r="G118" s="74">
        <v>46491</v>
      </c>
      <c r="H118" s="100">
        <f t="shared" ref="H118:H121" si="74">G118-F118</f>
        <v>681</v>
      </c>
      <c r="I118" s="72">
        <f t="shared" ref="I118:I121" si="75">H118/365*12</f>
        <v>22.389041095890413</v>
      </c>
      <c r="J118" s="95"/>
      <c r="K118" s="73"/>
    </row>
    <row r="119" spans="1:11" ht="12" customHeight="1" x14ac:dyDescent="0.2">
      <c r="A119" s="69" t="s">
        <v>192</v>
      </c>
      <c r="B119" s="128" t="s">
        <v>148</v>
      </c>
      <c r="C119" s="140">
        <v>64937502</v>
      </c>
      <c r="D119" s="140" t="s">
        <v>391</v>
      </c>
      <c r="E119" s="151">
        <v>2165</v>
      </c>
      <c r="F119" s="68">
        <v>45810</v>
      </c>
      <c r="G119" s="74">
        <v>46523</v>
      </c>
      <c r="H119" s="100">
        <f t="shared" si="74"/>
        <v>713</v>
      </c>
      <c r="I119" s="72">
        <f t="shared" si="75"/>
        <v>23.44109589041096</v>
      </c>
      <c r="J119" s="95"/>
      <c r="K119" s="73"/>
    </row>
    <row r="120" spans="1:11" ht="12" customHeight="1" x14ac:dyDescent="0.2">
      <c r="A120" s="69" t="s">
        <v>192</v>
      </c>
      <c r="B120" s="128" t="s">
        <v>148</v>
      </c>
      <c r="C120" s="140">
        <v>64941488</v>
      </c>
      <c r="D120" s="140" t="s">
        <v>258</v>
      </c>
      <c r="E120" s="151">
        <v>41</v>
      </c>
      <c r="F120" s="68">
        <v>45810</v>
      </c>
      <c r="G120" s="74">
        <v>46417</v>
      </c>
      <c r="H120" s="100">
        <f t="shared" si="74"/>
        <v>607</v>
      </c>
      <c r="I120" s="72">
        <f t="shared" si="75"/>
        <v>19.956164383561642</v>
      </c>
      <c r="J120" s="95"/>
      <c r="K120" s="73"/>
    </row>
    <row r="121" spans="1:11" ht="12" customHeight="1" x14ac:dyDescent="0.2">
      <c r="A121" s="69" t="s">
        <v>192</v>
      </c>
      <c r="B121" s="128" t="s">
        <v>148</v>
      </c>
      <c r="C121" s="140">
        <v>64762234</v>
      </c>
      <c r="D121" s="140" t="s">
        <v>199</v>
      </c>
      <c r="E121" s="151">
        <v>56</v>
      </c>
      <c r="F121" s="68">
        <v>45810</v>
      </c>
      <c r="G121" s="74">
        <v>46180</v>
      </c>
      <c r="H121" s="100">
        <f t="shared" si="74"/>
        <v>370</v>
      </c>
      <c r="I121" s="72">
        <f t="shared" si="75"/>
        <v>12.164383561643836</v>
      </c>
      <c r="J121" s="95"/>
      <c r="K121" s="73"/>
    </row>
    <row r="122" spans="1:11" ht="12" customHeight="1" x14ac:dyDescent="0.2">
      <c r="A122" s="69" t="s">
        <v>192</v>
      </c>
      <c r="B122" s="128" t="s">
        <v>148</v>
      </c>
      <c r="C122" s="140">
        <v>64985067</v>
      </c>
      <c r="D122" s="140" t="s">
        <v>432</v>
      </c>
      <c r="E122" s="151">
        <v>1559</v>
      </c>
      <c r="F122" s="68">
        <v>45810</v>
      </c>
      <c r="G122" s="74">
        <v>46511</v>
      </c>
      <c r="H122" s="100">
        <f t="shared" si="58"/>
        <v>701</v>
      </c>
      <c r="I122" s="72">
        <f t="shared" si="59"/>
        <v>23.046575342465754</v>
      </c>
      <c r="J122" s="95"/>
      <c r="K122" s="73"/>
    </row>
    <row r="123" spans="1:11" ht="12" customHeight="1" x14ac:dyDescent="0.2">
      <c r="A123" s="69" t="s">
        <v>192</v>
      </c>
      <c r="B123" s="128" t="s">
        <v>148</v>
      </c>
      <c r="C123" s="140">
        <v>64941496</v>
      </c>
      <c r="D123" s="140" t="s">
        <v>321</v>
      </c>
      <c r="E123" s="151">
        <v>3763</v>
      </c>
      <c r="F123" s="68">
        <v>45810</v>
      </c>
      <c r="G123" s="74">
        <v>46533</v>
      </c>
      <c r="H123" s="100">
        <f t="shared" ref="H123" si="76">G123-F123</f>
        <v>723</v>
      </c>
      <c r="I123" s="72">
        <f t="shared" ref="I123" si="77">H123/365*12</f>
        <v>23.769863013698629</v>
      </c>
      <c r="J123" s="95"/>
      <c r="K123" s="73"/>
    </row>
    <row r="124" spans="1:11" ht="12" customHeight="1" x14ac:dyDescent="0.2">
      <c r="A124" s="69" t="s">
        <v>192</v>
      </c>
      <c r="B124" s="128" t="s">
        <v>148</v>
      </c>
      <c r="C124" s="140">
        <v>64949025</v>
      </c>
      <c r="D124" s="140" t="s">
        <v>259</v>
      </c>
      <c r="E124" s="151">
        <v>890</v>
      </c>
      <c r="F124" s="68">
        <v>45810</v>
      </c>
      <c r="G124" s="74">
        <v>46514</v>
      </c>
      <c r="H124" s="100">
        <f t="shared" si="58"/>
        <v>704</v>
      </c>
      <c r="I124" s="72">
        <f t="shared" si="59"/>
        <v>23.145205479452056</v>
      </c>
      <c r="J124" s="95"/>
      <c r="K124" s="73"/>
    </row>
    <row r="125" spans="1:11" ht="12" customHeight="1" x14ac:dyDescent="0.2">
      <c r="A125" s="69" t="s">
        <v>192</v>
      </c>
      <c r="B125" s="128" t="s">
        <v>148</v>
      </c>
      <c r="C125" s="140">
        <v>64972146</v>
      </c>
      <c r="D125" s="140" t="s">
        <v>433</v>
      </c>
      <c r="E125" s="151">
        <v>2132</v>
      </c>
      <c r="F125" s="68">
        <v>45810</v>
      </c>
      <c r="G125" s="74">
        <v>46461</v>
      </c>
      <c r="H125" s="100">
        <f t="shared" si="58"/>
        <v>651</v>
      </c>
      <c r="I125" s="72">
        <f t="shared" si="59"/>
        <v>21.402739726027395</v>
      </c>
      <c r="J125" s="95"/>
      <c r="K125" s="73"/>
    </row>
    <row r="126" spans="1:11" ht="12" customHeight="1" x14ac:dyDescent="0.2">
      <c r="A126" s="69" t="s">
        <v>192</v>
      </c>
      <c r="B126" s="128" t="s">
        <v>148</v>
      </c>
      <c r="C126" s="140">
        <v>64991652</v>
      </c>
      <c r="D126" s="140" t="s">
        <v>392</v>
      </c>
      <c r="E126" s="151">
        <v>198</v>
      </c>
      <c r="F126" s="68">
        <v>45810</v>
      </c>
      <c r="G126" s="74">
        <v>46461</v>
      </c>
      <c r="H126" s="100">
        <f t="shared" si="58"/>
        <v>651</v>
      </c>
      <c r="I126" s="72">
        <f t="shared" si="59"/>
        <v>21.402739726027395</v>
      </c>
      <c r="J126" s="95"/>
      <c r="K126" s="73"/>
    </row>
    <row r="127" spans="1:11" ht="12" customHeight="1" x14ac:dyDescent="0.2">
      <c r="A127" s="69" t="s">
        <v>192</v>
      </c>
      <c r="B127" s="128" t="s">
        <v>148</v>
      </c>
      <c r="C127" s="140">
        <v>64949026</v>
      </c>
      <c r="D127" s="140" t="s">
        <v>352</v>
      </c>
      <c r="E127" s="151">
        <v>353</v>
      </c>
      <c r="F127" s="68">
        <v>45810</v>
      </c>
      <c r="G127" s="74">
        <v>46500</v>
      </c>
      <c r="H127" s="100">
        <f t="shared" si="58"/>
        <v>690</v>
      </c>
      <c r="I127" s="72">
        <f t="shared" si="59"/>
        <v>22.684931506849317</v>
      </c>
      <c r="J127" s="95"/>
      <c r="K127" s="73"/>
    </row>
    <row r="128" spans="1:11" ht="12" customHeight="1" x14ac:dyDescent="0.2">
      <c r="A128" s="69" t="s">
        <v>192</v>
      </c>
      <c r="B128" s="128" t="s">
        <v>148</v>
      </c>
      <c r="C128" s="140">
        <v>64985073</v>
      </c>
      <c r="D128" s="140" t="s">
        <v>434</v>
      </c>
      <c r="E128" s="151">
        <v>1400</v>
      </c>
      <c r="F128" s="68">
        <v>45810</v>
      </c>
      <c r="G128" s="74">
        <v>46463</v>
      </c>
      <c r="H128" s="100">
        <f t="shared" si="58"/>
        <v>653</v>
      </c>
      <c r="I128" s="72">
        <f t="shared" si="59"/>
        <v>21.468493150684932</v>
      </c>
      <c r="J128" s="95"/>
      <c r="K128" s="73"/>
    </row>
    <row r="129" spans="1:11" ht="12" customHeight="1" x14ac:dyDescent="0.2">
      <c r="A129" s="69" t="s">
        <v>192</v>
      </c>
      <c r="B129" s="128" t="s">
        <v>148</v>
      </c>
      <c r="C129" s="140">
        <v>64967641</v>
      </c>
      <c r="D129" s="140" t="s">
        <v>322</v>
      </c>
      <c r="E129" s="151">
        <v>3360</v>
      </c>
      <c r="F129" s="68">
        <v>45810</v>
      </c>
      <c r="G129" s="74">
        <v>46388</v>
      </c>
      <c r="H129" s="100">
        <f t="shared" si="58"/>
        <v>578</v>
      </c>
      <c r="I129" s="72">
        <f t="shared" si="59"/>
        <v>19.002739726027396</v>
      </c>
      <c r="J129" s="95"/>
      <c r="K129" s="73"/>
    </row>
    <row r="130" spans="1:11" ht="12" customHeight="1" x14ac:dyDescent="0.2">
      <c r="A130" s="69" t="s">
        <v>192</v>
      </c>
      <c r="B130" s="128" t="s">
        <v>148</v>
      </c>
      <c r="C130" s="140">
        <v>64991654</v>
      </c>
      <c r="D130" s="140" t="s">
        <v>393</v>
      </c>
      <c r="E130" s="151">
        <v>29</v>
      </c>
      <c r="F130" s="68">
        <v>45810</v>
      </c>
      <c r="G130" s="74">
        <v>46464</v>
      </c>
      <c r="H130" s="100">
        <f t="shared" ref="H130" si="78">G130-F130</f>
        <v>654</v>
      </c>
      <c r="I130" s="72">
        <f t="shared" ref="I130" si="79">H130/365*12</f>
        <v>21.5013698630137</v>
      </c>
      <c r="J130" s="95"/>
      <c r="K130" s="73"/>
    </row>
    <row r="131" spans="1:11" ht="12" customHeight="1" x14ac:dyDescent="0.2">
      <c r="A131" s="69" t="s">
        <v>192</v>
      </c>
      <c r="B131" s="128" t="s">
        <v>148</v>
      </c>
      <c r="C131" s="140">
        <v>64941491</v>
      </c>
      <c r="D131" s="140" t="s">
        <v>260</v>
      </c>
      <c r="E131" s="151">
        <v>1</v>
      </c>
      <c r="F131" s="68">
        <v>45810</v>
      </c>
      <c r="G131" s="74">
        <v>46391</v>
      </c>
      <c r="H131" s="100">
        <f t="shared" si="58"/>
        <v>581</v>
      </c>
      <c r="I131" s="72">
        <f t="shared" si="59"/>
        <v>19.101369863013698</v>
      </c>
      <c r="J131" s="95"/>
      <c r="K131" s="73"/>
    </row>
    <row r="132" spans="1:11" ht="12" customHeight="1" x14ac:dyDescent="0.2">
      <c r="A132" s="69" t="s">
        <v>192</v>
      </c>
      <c r="B132" s="128" t="s">
        <v>148</v>
      </c>
      <c r="C132" s="140">
        <v>64927973</v>
      </c>
      <c r="D132" s="140" t="s">
        <v>323</v>
      </c>
      <c r="E132" s="151">
        <v>438</v>
      </c>
      <c r="F132" s="68">
        <v>45810</v>
      </c>
      <c r="G132" s="74">
        <v>46434</v>
      </c>
      <c r="H132" s="100">
        <f t="shared" si="58"/>
        <v>624</v>
      </c>
      <c r="I132" s="72">
        <f t="shared" si="59"/>
        <v>20.515068493150686</v>
      </c>
      <c r="J132" s="95"/>
      <c r="K132" s="73"/>
    </row>
    <row r="133" spans="1:11" ht="12" customHeight="1" x14ac:dyDescent="0.2">
      <c r="A133" s="69" t="s">
        <v>192</v>
      </c>
      <c r="B133" s="128" t="s">
        <v>148</v>
      </c>
      <c r="C133" s="140">
        <v>64941579</v>
      </c>
      <c r="D133" s="140" t="s">
        <v>261</v>
      </c>
      <c r="E133" s="151">
        <v>59</v>
      </c>
      <c r="F133" s="68">
        <v>45810</v>
      </c>
      <c r="G133" s="74">
        <v>46263</v>
      </c>
      <c r="H133" s="100">
        <f t="shared" ref="H133" si="80">G133-F133</f>
        <v>453</v>
      </c>
      <c r="I133" s="72">
        <f t="shared" ref="I133" si="81">H133/365*12</f>
        <v>14.893150684931506</v>
      </c>
      <c r="J133" s="95"/>
      <c r="K133" s="73"/>
    </row>
    <row r="134" spans="1:11" ht="12" customHeight="1" x14ac:dyDescent="0.2">
      <c r="A134" s="69" t="s">
        <v>192</v>
      </c>
      <c r="B134" s="128" t="s">
        <v>148</v>
      </c>
      <c r="C134" s="140">
        <v>64941580</v>
      </c>
      <c r="D134" s="140" t="s">
        <v>262</v>
      </c>
      <c r="E134" s="151">
        <v>271</v>
      </c>
      <c r="F134" s="68">
        <v>45810</v>
      </c>
      <c r="G134" s="74">
        <v>46263</v>
      </c>
      <c r="H134" s="100">
        <f t="shared" ref="H134" si="82">G134-F134</f>
        <v>453</v>
      </c>
      <c r="I134" s="72">
        <f t="shared" ref="I134" si="83">H134/365*12</f>
        <v>14.893150684931506</v>
      </c>
      <c r="J134" s="95"/>
      <c r="K134" s="73"/>
    </row>
    <row r="135" spans="1:11" ht="12" customHeight="1" x14ac:dyDescent="0.2">
      <c r="A135" s="69" t="s">
        <v>192</v>
      </c>
      <c r="B135" s="128" t="s">
        <v>148</v>
      </c>
      <c r="C135" s="140">
        <v>64941537</v>
      </c>
      <c r="D135" s="140" t="s">
        <v>263</v>
      </c>
      <c r="E135" s="151">
        <v>380</v>
      </c>
      <c r="F135" s="68">
        <v>45810</v>
      </c>
      <c r="G135" s="74">
        <v>46412</v>
      </c>
      <c r="H135" s="100">
        <f t="shared" si="58"/>
        <v>602</v>
      </c>
      <c r="I135" s="72">
        <f t="shared" si="59"/>
        <v>19.791780821917811</v>
      </c>
      <c r="J135" s="95"/>
      <c r="K135" s="73"/>
    </row>
    <row r="136" spans="1:11" ht="12" customHeight="1" x14ac:dyDescent="0.2">
      <c r="A136" s="69" t="s">
        <v>192</v>
      </c>
      <c r="B136" s="128" t="s">
        <v>148</v>
      </c>
      <c r="C136" s="140">
        <v>64991359</v>
      </c>
      <c r="D136" s="140" t="s">
        <v>394</v>
      </c>
      <c r="E136" s="151">
        <v>468</v>
      </c>
      <c r="F136" s="68">
        <v>45810</v>
      </c>
      <c r="G136" s="101">
        <v>46468</v>
      </c>
      <c r="H136" s="100">
        <f t="shared" si="58"/>
        <v>658</v>
      </c>
      <c r="I136" s="72">
        <f t="shared" si="59"/>
        <v>21.632876712328766</v>
      </c>
      <c r="J136" s="95"/>
      <c r="K136" s="73"/>
    </row>
    <row r="137" spans="1:11" ht="12" customHeight="1" x14ac:dyDescent="0.2">
      <c r="A137" s="69" t="s">
        <v>192</v>
      </c>
      <c r="B137" s="128" t="s">
        <v>148</v>
      </c>
      <c r="C137" s="140">
        <v>64977387</v>
      </c>
      <c r="D137" s="140" t="s">
        <v>435</v>
      </c>
      <c r="E137" s="151">
        <v>307</v>
      </c>
      <c r="F137" s="68">
        <v>45810</v>
      </c>
      <c r="G137" s="101">
        <v>46531</v>
      </c>
      <c r="H137" s="100">
        <f t="shared" ref="H137" si="84">G137-F137</f>
        <v>721</v>
      </c>
      <c r="I137" s="72">
        <f t="shared" ref="I137" si="85">H137/365*12</f>
        <v>23.704109589041096</v>
      </c>
      <c r="J137" s="95"/>
      <c r="K137" s="73"/>
    </row>
    <row r="138" spans="1:11" ht="12" customHeight="1" x14ac:dyDescent="0.2">
      <c r="A138" s="69" t="s">
        <v>192</v>
      </c>
      <c r="B138" s="128" t="s">
        <v>148</v>
      </c>
      <c r="C138" s="140">
        <v>64958055</v>
      </c>
      <c r="D138" s="140" t="s">
        <v>264</v>
      </c>
      <c r="E138" s="151">
        <v>1133</v>
      </c>
      <c r="F138" s="68">
        <v>45810</v>
      </c>
      <c r="G138" s="101">
        <v>46495</v>
      </c>
      <c r="H138" s="100">
        <f t="shared" ref="H138:H139" si="86">G138-F138</f>
        <v>685</v>
      </c>
      <c r="I138" s="72">
        <f t="shared" ref="I138:I139" si="87">H138/365*12</f>
        <v>22.520547945205479</v>
      </c>
      <c r="J138" s="95"/>
      <c r="K138" s="73"/>
    </row>
    <row r="139" spans="1:11" ht="12" customHeight="1" x14ac:dyDescent="0.2">
      <c r="A139" s="69" t="s">
        <v>192</v>
      </c>
      <c r="B139" s="128" t="s">
        <v>148</v>
      </c>
      <c r="C139" s="140">
        <v>64958054</v>
      </c>
      <c r="D139" s="140" t="s">
        <v>265</v>
      </c>
      <c r="E139" s="151">
        <v>1106</v>
      </c>
      <c r="F139" s="68">
        <v>45810</v>
      </c>
      <c r="G139" s="101">
        <v>46526</v>
      </c>
      <c r="H139" s="100">
        <f t="shared" si="86"/>
        <v>716</v>
      </c>
      <c r="I139" s="72">
        <f t="shared" si="87"/>
        <v>23.539726027397258</v>
      </c>
      <c r="J139" s="95"/>
      <c r="K139" s="73"/>
    </row>
    <row r="140" spans="1:11" ht="12" customHeight="1" x14ac:dyDescent="0.2">
      <c r="A140" s="69" t="s">
        <v>192</v>
      </c>
      <c r="B140" s="128" t="s">
        <v>148</v>
      </c>
      <c r="C140" s="140">
        <v>64941595</v>
      </c>
      <c r="D140" s="140" t="s">
        <v>325</v>
      </c>
      <c r="E140" s="151">
        <v>8</v>
      </c>
      <c r="F140" s="68">
        <v>45810</v>
      </c>
      <c r="G140" s="101">
        <v>46348</v>
      </c>
      <c r="H140" s="100">
        <f t="shared" si="58"/>
        <v>538</v>
      </c>
      <c r="I140" s="72">
        <f t="shared" si="59"/>
        <v>17.68767123287671</v>
      </c>
      <c r="J140" s="95"/>
      <c r="K140" s="73"/>
    </row>
    <row r="141" spans="1:11" ht="12" customHeight="1" x14ac:dyDescent="0.2">
      <c r="A141" s="69" t="s">
        <v>192</v>
      </c>
      <c r="B141" s="128" t="s">
        <v>148</v>
      </c>
      <c r="C141" s="140">
        <v>65066193</v>
      </c>
      <c r="D141" s="140" t="s">
        <v>436</v>
      </c>
      <c r="E141" s="151">
        <v>1062</v>
      </c>
      <c r="F141" s="68">
        <v>45810</v>
      </c>
      <c r="G141" s="101">
        <v>46523</v>
      </c>
      <c r="H141" s="100">
        <f t="shared" ref="H141" si="88">G141-F141</f>
        <v>713</v>
      </c>
      <c r="I141" s="72">
        <f t="shared" ref="I141" si="89">H141/365*12</f>
        <v>23.44109589041096</v>
      </c>
      <c r="J141" s="95"/>
      <c r="K141" s="73"/>
    </row>
    <row r="142" spans="1:11" ht="12" customHeight="1" x14ac:dyDescent="0.2">
      <c r="A142" s="69" t="s">
        <v>192</v>
      </c>
      <c r="B142" s="128" t="s">
        <v>148</v>
      </c>
      <c r="C142" s="140">
        <v>64941601</v>
      </c>
      <c r="D142" s="140" t="s">
        <v>266</v>
      </c>
      <c r="E142" s="151">
        <v>1</v>
      </c>
      <c r="F142" s="68">
        <v>45810</v>
      </c>
      <c r="G142" s="101">
        <v>46348</v>
      </c>
      <c r="H142" s="100">
        <f t="shared" ref="H142:H143" si="90">G142-F142</f>
        <v>538</v>
      </c>
      <c r="I142" s="72">
        <f t="shared" ref="I142:I143" si="91">H142/365*12</f>
        <v>17.68767123287671</v>
      </c>
      <c r="J142" s="95"/>
      <c r="K142" s="73"/>
    </row>
    <row r="143" spans="1:11" ht="12" customHeight="1" x14ac:dyDescent="0.2">
      <c r="A143" s="69" t="s">
        <v>192</v>
      </c>
      <c r="B143" s="128" t="s">
        <v>148</v>
      </c>
      <c r="C143" s="140">
        <v>64941486</v>
      </c>
      <c r="D143" s="140" t="s">
        <v>267</v>
      </c>
      <c r="E143" s="151">
        <v>156</v>
      </c>
      <c r="F143" s="68">
        <v>45810</v>
      </c>
      <c r="G143" s="101">
        <v>46337</v>
      </c>
      <c r="H143" s="100">
        <f t="shared" si="90"/>
        <v>527</v>
      </c>
      <c r="I143" s="72">
        <f t="shared" si="91"/>
        <v>17.326027397260273</v>
      </c>
      <c r="J143" s="95"/>
      <c r="K143" s="73"/>
    </row>
    <row r="144" spans="1:11" ht="12" customHeight="1" x14ac:dyDescent="0.2">
      <c r="A144" s="69" t="s">
        <v>192</v>
      </c>
      <c r="B144" s="128" t="s">
        <v>148</v>
      </c>
      <c r="C144" s="140">
        <v>64879201</v>
      </c>
      <c r="D144" s="140" t="s">
        <v>395</v>
      </c>
      <c r="E144" s="151">
        <v>276</v>
      </c>
      <c r="F144" s="68">
        <v>45810</v>
      </c>
      <c r="G144" s="101">
        <v>46503</v>
      </c>
      <c r="H144" s="100">
        <f t="shared" si="58"/>
        <v>693</v>
      </c>
      <c r="I144" s="72">
        <f t="shared" si="59"/>
        <v>22.783561643835618</v>
      </c>
      <c r="J144" s="95"/>
      <c r="K144" s="73"/>
    </row>
    <row r="145" spans="1:11" ht="12" customHeight="1" x14ac:dyDescent="0.2">
      <c r="A145" s="69" t="s">
        <v>192</v>
      </c>
      <c r="B145" s="128" t="s">
        <v>148</v>
      </c>
      <c r="C145" s="140">
        <v>64941532</v>
      </c>
      <c r="D145" s="140" t="s">
        <v>268</v>
      </c>
      <c r="E145" s="151">
        <v>303</v>
      </c>
      <c r="F145" s="68">
        <v>45810</v>
      </c>
      <c r="G145" s="101">
        <v>46503</v>
      </c>
      <c r="H145" s="100">
        <f t="shared" si="58"/>
        <v>693</v>
      </c>
      <c r="I145" s="72">
        <f t="shared" si="59"/>
        <v>22.783561643835618</v>
      </c>
      <c r="J145" s="95"/>
      <c r="K145" s="73"/>
    </row>
    <row r="146" spans="1:11" ht="12" customHeight="1" x14ac:dyDescent="0.2">
      <c r="A146" s="69" t="s">
        <v>192</v>
      </c>
      <c r="B146" s="128" t="s">
        <v>148</v>
      </c>
      <c r="C146" s="140">
        <v>65076436</v>
      </c>
      <c r="D146" s="140" t="s">
        <v>437</v>
      </c>
      <c r="E146" s="151">
        <v>5</v>
      </c>
      <c r="F146" s="68">
        <v>45810</v>
      </c>
      <c r="G146" s="101">
        <v>46476</v>
      </c>
      <c r="H146" s="100">
        <f t="shared" ref="H146" si="92">G146-F146</f>
        <v>666</v>
      </c>
      <c r="I146" s="72">
        <f t="shared" ref="I146" si="93">H146/365*12</f>
        <v>21.895890410958906</v>
      </c>
      <c r="J146" s="95"/>
      <c r="K146" s="73"/>
    </row>
    <row r="147" spans="1:11" ht="12" customHeight="1" x14ac:dyDescent="0.2">
      <c r="A147" s="69" t="s">
        <v>192</v>
      </c>
      <c r="B147" s="128" t="s">
        <v>148</v>
      </c>
      <c r="C147" s="140">
        <v>64879209</v>
      </c>
      <c r="D147" s="140" t="s">
        <v>438</v>
      </c>
      <c r="E147" s="151">
        <v>10</v>
      </c>
      <c r="F147" s="68">
        <v>45810</v>
      </c>
      <c r="G147" s="101">
        <v>46535</v>
      </c>
      <c r="H147" s="100">
        <f t="shared" si="58"/>
        <v>725</v>
      </c>
      <c r="I147" s="72">
        <f t="shared" si="59"/>
        <v>23.835616438356162</v>
      </c>
      <c r="J147" s="95"/>
      <c r="K147" s="73"/>
    </row>
    <row r="148" spans="1:11" ht="12" customHeight="1" x14ac:dyDescent="0.2">
      <c r="A148" s="69" t="s">
        <v>192</v>
      </c>
      <c r="B148" s="128" t="s">
        <v>148</v>
      </c>
      <c r="C148" s="140">
        <v>64996427</v>
      </c>
      <c r="D148" s="140" t="s">
        <v>439</v>
      </c>
      <c r="E148" s="151">
        <v>294</v>
      </c>
      <c r="F148" s="68">
        <v>45810</v>
      </c>
      <c r="G148" s="101">
        <v>46499</v>
      </c>
      <c r="H148" s="100">
        <f t="shared" si="58"/>
        <v>689</v>
      </c>
      <c r="I148" s="72">
        <f t="shared" si="59"/>
        <v>22.652054794520545</v>
      </c>
      <c r="J148" s="95"/>
      <c r="K148" s="73"/>
    </row>
    <row r="149" spans="1:11" ht="12" customHeight="1" x14ac:dyDescent="0.2">
      <c r="A149" s="69" t="s">
        <v>192</v>
      </c>
      <c r="B149" s="128" t="s">
        <v>148</v>
      </c>
      <c r="C149" s="140">
        <v>64856681</v>
      </c>
      <c r="D149" s="140" t="s">
        <v>204</v>
      </c>
      <c r="E149" s="151">
        <v>1</v>
      </c>
      <c r="F149" s="68">
        <v>45810</v>
      </c>
      <c r="G149" s="101">
        <v>46502</v>
      </c>
      <c r="H149" s="100">
        <f t="shared" si="58"/>
        <v>692</v>
      </c>
      <c r="I149" s="72">
        <f t="shared" si="59"/>
        <v>22.75068493150685</v>
      </c>
      <c r="J149" s="95"/>
      <c r="K149" s="73"/>
    </row>
    <row r="150" spans="1:11" ht="12" customHeight="1" x14ac:dyDescent="0.2">
      <c r="A150" s="69" t="s">
        <v>192</v>
      </c>
      <c r="B150" s="128" t="s">
        <v>148</v>
      </c>
      <c r="C150" s="140">
        <v>64891365</v>
      </c>
      <c r="D150" s="140" t="s">
        <v>440</v>
      </c>
      <c r="E150" s="151">
        <v>15</v>
      </c>
      <c r="F150" s="68">
        <v>45810</v>
      </c>
      <c r="G150" s="101">
        <v>46502</v>
      </c>
      <c r="H150" s="100">
        <f t="shared" ref="H150" si="94">G150-F150</f>
        <v>692</v>
      </c>
      <c r="I150" s="72">
        <f t="shared" ref="I150" si="95">H150/365*12</f>
        <v>22.75068493150685</v>
      </c>
      <c r="J150" s="95"/>
      <c r="K150" s="73"/>
    </row>
    <row r="151" spans="1:11" ht="12" customHeight="1" x14ac:dyDescent="0.2">
      <c r="A151" s="69" t="s">
        <v>192</v>
      </c>
      <c r="B151" s="128" t="s">
        <v>148</v>
      </c>
      <c r="C151" s="140">
        <v>64879207</v>
      </c>
      <c r="D151" s="140" t="s">
        <v>326</v>
      </c>
      <c r="E151" s="151">
        <v>142</v>
      </c>
      <c r="F151" s="68">
        <v>45810</v>
      </c>
      <c r="G151" s="101">
        <v>46428</v>
      </c>
      <c r="H151" s="100">
        <f t="shared" ref="H151" si="96">G151-F151</f>
        <v>618</v>
      </c>
      <c r="I151" s="72">
        <f t="shared" ref="I151" si="97">H151/365*12</f>
        <v>20.317808219178083</v>
      </c>
      <c r="J151" s="95"/>
      <c r="K151" s="73"/>
    </row>
    <row r="152" spans="1:11" ht="12" customHeight="1" x14ac:dyDescent="0.2">
      <c r="A152" s="69" t="s">
        <v>192</v>
      </c>
      <c r="B152" s="128" t="s">
        <v>148</v>
      </c>
      <c r="C152" s="140">
        <v>64997025</v>
      </c>
      <c r="D152" s="140" t="s">
        <v>441</v>
      </c>
      <c r="E152" s="151">
        <v>368</v>
      </c>
      <c r="F152" s="68">
        <v>45810</v>
      </c>
      <c r="G152" s="101">
        <v>46521</v>
      </c>
      <c r="H152" s="100">
        <f t="shared" ref="H152" si="98">G152-F152</f>
        <v>711</v>
      </c>
      <c r="I152" s="72">
        <f t="shared" ref="I152" si="99">H152/365*12</f>
        <v>23.375342465753427</v>
      </c>
      <c r="J152" s="95"/>
      <c r="K152" s="73"/>
    </row>
    <row r="153" spans="1:11" ht="12" customHeight="1" x14ac:dyDescent="0.2">
      <c r="A153" s="69" t="s">
        <v>192</v>
      </c>
      <c r="B153" s="128" t="s">
        <v>148</v>
      </c>
      <c r="C153" s="140">
        <v>64996426</v>
      </c>
      <c r="D153" s="140" t="s">
        <v>353</v>
      </c>
      <c r="E153" s="151">
        <v>124</v>
      </c>
      <c r="F153" s="68">
        <v>45810</v>
      </c>
      <c r="G153" s="101">
        <v>46410</v>
      </c>
      <c r="H153" s="100">
        <f t="shared" si="58"/>
        <v>600</v>
      </c>
      <c r="I153" s="72">
        <f t="shared" si="59"/>
        <v>19.726027397260275</v>
      </c>
      <c r="J153" s="95"/>
      <c r="K153" s="73"/>
    </row>
    <row r="154" spans="1:11" ht="12" customHeight="1" x14ac:dyDescent="0.2">
      <c r="A154" s="69" t="s">
        <v>192</v>
      </c>
      <c r="B154" s="128" t="s">
        <v>148</v>
      </c>
      <c r="C154" s="140">
        <v>65076440</v>
      </c>
      <c r="D154" s="140" t="s">
        <v>442</v>
      </c>
      <c r="E154" s="151">
        <v>480</v>
      </c>
      <c r="F154" s="68">
        <v>45810</v>
      </c>
      <c r="G154" s="101">
        <v>46476</v>
      </c>
      <c r="H154" s="100">
        <f t="shared" ref="H154" si="100">G154-F154</f>
        <v>666</v>
      </c>
      <c r="I154" s="72">
        <f t="shared" ref="I154" si="101">H154/365*12</f>
        <v>21.895890410958906</v>
      </c>
      <c r="J154" s="95"/>
      <c r="K154" s="73"/>
    </row>
    <row r="155" spans="1:11" ht="12" customHeight="1" x14ac:dyDescent="0.2">
      <c r="A155" s="69" t="s">
        <v>192</v>
      </c>
      <c r="B155" s="128" t="s">
        <v>148</v>
      </c>
      <c r="C155" s="140">
        <v>65066931</v>
      </c>
      <c r="D155" s="140" t="s">
        <v>396</v>
      </c>
      <c r="E155" s="151">
        <v>270</v>
      </c>
      <c r="F155" s="68">
        <v>45810</v>
      </c>
      <c r="G155" s="101">
        <v>46514</v>
      </c>
      <c r="H155" s="100">
        <f t="shared" ref="H155:H157" si="102">G155-F155</f>
        <v>704</v>
      </c>
      <c r="I155" s="72">
        <f t="shared" ref="I155:I157" si="103">H155/365*12</f>
        <v>23.145205479452056</v>
      </c>
      <c r="J155" s="95"/>
      <c r="K155" s="73"/>
    </row>
    <row r="156" spans="1:11" ht="12" customHeight="1" x14ac:dyDescent="0.2">
      <c r="A156" s="69" t="s">
        <v>192</v>
      </c>
      <c r="B156" s="128" t="s">
        <v>148</v>
      </c>
      <c r="C156" s="140">
        <v>64996424</v>
      </c>
      <c r="D156" s="140" t="s">
        <v>354</v>
      </c>
      <c r="E156" s="151">
        <v>196</v>
      </c>
      <c r="F156" s="68">
        <v>45810</v>
      </c>
      <c r="G156" s="101">
        <v>46529</v>
      </c>
      <c r="H156" s="100">
        <f t="shared" ref="H156" si="104">G156-F156</f>
        <v>719</v>
      </c>
      <c r="I156" s="72">
        <f t="shared" ref="I156" si="105">H156/365*12</f>
        <v>23.638356164383563</v>
      </c>
      <c r="J156" s="95"/>
      <c r="K156" s="73"/>
    </row>
    <row r="157" spans="1:11" ht="12" customHeight="1" x14ac:dyDescent="0.2">
      <c r="A157" s="69" t="s">
        <v>192</v>
      </c>
      <c r="B157" s="128" t="s">
        <v>148</v>
      </c>
      <c r="C157" s="140">
        <v>64841584</v>
      </c>
      <c r="D157" s="140" t="s">
        <v>443</v>
      </c>
      <c r="E157" s="151">
        <v>1921</v>
      </c>
      <c r="F157" s="68">
        <v>45810</v>
      </c>
      <c r="G157" s="101">
        <v>46529</v>
      </c>
      <c r="H157" s="100">
        <f t="shared" si="102"/>
        <v>719</v>
      </c>
      <c r="I157" s="72">
        <f t="shared" si="103"/>
        <v>23.638356164383563</v>
      </c>
      <c r="J157" s="95"/>
      <c r="K157" s="73"/>
    </row>
    <row r="158" spans="1:11" ht="12" customHeight="1" x14ac:dyDescent="0.2">
      <c r="A158" s="69" t="s">
        <v>192</v>
      </c>
      <c r="B158" s="128" t="s">
        <v>148</v>
      </c>
      <c r="C158" s="140">
        <v>64856678</v>
      </c>
      <c r="D158" s="140" t="s">
        <v>355</v>
      </c>
      <c r="E158" s="151">
        <v>3</v>
      </c>
      <c r="F158" s="68">
        <v>45810</v>
      </c>
      <c r="G158" s="101">
        <v>46499</v>
      </c>
      <c r="H158" s="100">
        <f t="shared" ref="H158" si="106">G158-F158</f>
        <v>689</v>
      </c>
      <c r="I158" s="72">
        <f t="shared" ref="I158" si="107">H158/365*12</f>
        <v>22.652054794520545</v>
      </c>
      <c r="J158" s="95"/>
      <c r="K158" s="73"/>
    </row>
    <row r="159" spans="1:11" ht="12" customHeight="1" x14ac:dyDescent="0.2">
      <c r="A159" s="69" t="s">
        <v>192</v>
      </c>
      <c r="B159" s="128" t="s">
        <v>148</v>
      </c>
      <c r="C159" s="140">
        <v>64995353</v>
      </c>
      <c r="D159" s="140" t="s">
        <v>397</v>
      </c>
      <c r="E159" s="151">
        <v>2241</v>
      </c>
      <c r="F159" s="68">
        <v>45810</v>
      </c>
      <c r="G159" s="101">
        <v>46534</v>
      </c>
      <c r="H159" s="100">
        <f t="shared" si="58"/>
        <v>724</v>
      </c>
      <c r="I159" s="72">
        <f t="shared" si="59"/>
        <v>23.802739726027397</v>
      </c>
      <c r="J159" s="95"/>
      <c r="K159" s="73"/>
    </row>
    <row r="160" spans="1:11" ht="12" customHeight="1" x14ac:dyDescent="0.2">
      <c r="A160" s="69" t="s">
        <v>192</v>
      </c>
      <c r="B160" s="128" t="s">
        <v>148</v>
      </c>
      <c r="C160" s="140">
        <v>64941187</v>
      </c>
      <c r="D160" s="140" t="s">
        <v>356</v>
      </c>
      <c r="E160" s="151">
        <v>124</v>
      </c>
      <c r="F160" s="68">
        <v>45810</v>
      </c>
      <c r="G160" s="101">
        <v>46690</v>
      </c>
      <c r="H160" s="100">
        <f t="shared" ref="H160" si="108">G160-F160</f>
        <v>880</v>
      </c>
      <c r="I160" s="72">
        <f t="shared" ref="I160" si="109">H160/365*12</f>
        <v>28.931506849315067</v>
      </c>
      <c r="J160" s="95"/>
      <c r="K160" s="73"/>
    </row>
    <row r="161" spans="1:11" ht="12" customHeight="1" x14ac:dyDescent="0.2">
      <c r="A161" s="69" t="s">
        <v>192</v>
      </c>
      <c r="B161" s="128" t="s">
        <v>148</v>
      </c>
      <c r="C161" s="140">
        <v>64941188</v>
      </c>
      <c r="D161" s="140" t="s">
        <v>357</v>
      </c>
      <c r="E161" s="151">
        <v>296</v>
      </c>
      <c r="F161" s="68">
        <v>45810</v>
      </c>
      <c r="G161" s="101">
        <v>46356</v>
      </c>
      <c r="H161" s="100">
        <f t="shared" ref="H161" si="110">G161-F161</f>
        <v>546</v>
      </c>
      <c r="I161" s="72">
        <f t="shared" ref="I161" si="111">H161/365*12</f>
        <v>17.950684931506849</v>
      </c>
      <c r="J161" s="95"/>
      <c r="K161" s="73"/>
    </row>
    <row r="162" spans="1:11" ht="12" customHeight="1" x14ac:dyDescent="0.2">
      <c r="A162" s="69" t="s">
        <v>192</v>
      </c>
      <c r="B162" s="128" t="s">
        <v>148</v>
      </c>
      <c r="C162" s="140">
        <v>64988968</v>
      </c>
      <c r="D162" s="140" t="s">
        <v>398</v>
      </c>
      <c r="E162" s="151">
        <v>49</v>
      </c>
      <c r="F162" s="68">
        <v>45810</v>
      </c>
      <c r="G162" s="101">
        <v>46782</v>
      </c>
      <c r="H162" s="100">
        <f t="shared" ref="H162:H163" si="112">G162-F162</f>
        <v>972</v>
      </c>
      <c r="I162" s="72">
        <f t="shared" ref="I162:I163" si="113">H162/365*12</f>
        <v>31.956164383561646</v>
      </c>
      <c r="J162" s="95"/>
      <c r="K162" s="73"/>
    </row>
    <row r="163" spans="1:11" ht="12" customHeight="1" x14ac:dyDescent="0.2">
      <c r="A163" s="69" t="s">
        <v>192</v>
      </c>
      <c r="B163" s="128" t="s">
        <v>148</v>
      </c>
      <c r="C163" s="140">
        <v>64941193</v>
      </c>
      <c r="D163" s="140" t="s">
        <v>399</v>
      </c>
      <c r="E163" s="151">
        <v>279</v>
      </c>
      <c r="F163" s="68">
        <v>45810</v>
      </c>
      <c r="G163" s="101">
        <v>46882</v>
      </c>
      <c r="H163" s="100">
        <f t="shared" si="112"/>
        <v>1072</v>
      </c>
      <c r="I163" s="72">
        <f t="shared" si="113"/>
        <v>35.243835616438353</v>
      </c>
      <c r="J163" s="95"/>
      <c r="K163" s="73"/>
    </row>
    <row r="164" spans="1:11" ht="12" customHeight="1" x14ac:dyDescent="0.2">
      <c r="A164" s="69" t="s">
        <v>192</v>
      </c>
      <c r="B164" s="128" t="s">
        <v>148</v>
      </c>
      <c r="C164" s="140">
        <v>64941194</v>
      </c>
      <c r="D164" s="140" t="s">
        <v>269</v>
      </c>
      <c r="E164" s="151">
        <v>488</v>
      </c>
      <c r="F164" s="68">
        <v>45810</v>
      </c>
      <c r="G164" s="101">
        <v>46882</v>
      </c>
      <c r="H164" s="100">
        <f t="shared" ref="H164:H212" si="114">G164-F164</f>
        <v>1072</v>
      </c>
      <c r="I164" s="72">
        <f t="shared" ref="I164:I212" si="115">H164/365*12</f>
        <v>35.243835616438353</v>
      </c>
      <c r="J164" s="95"/>
      <c r="K164" s="73"/>
    </row>
    <row r="165" spans="1:11" ht="12" customHeight="1" x14ac:dyDescent="0.2">
      <c r="A165" s="69" t="s">
        <v>192</v>
      </c>
      <c r="B165" s="128" t="s">
        <v>148</v>
      </c>
      <c r="C165" s="140">
        <v>64821454</v>
      </c>
      <c r="D165" s="140" t="s">
        <v>400</v>
      </c>
      <c r="E165" s="151">
        <v>30</v>
      </c>
      <c r="F165" s="68">
        <v>45810</v>
      </c>
      <c r="G165" s="101">
        <v>46849</v>
      </c>
      <c r="H165" s="100">
        <f t="shared" ref="H165" si="116">G165-F165</f>
        <v>1039</v>
      </c>
      <c r="I165" s="72">
        <f t="shared" ref="I165" si="117">H165/365*12</f>
        <v>34.158904109589045</v>
      </c>
      <c r="J165" s="95"/>
      <c r="K165" s="73"/>
    </row>
    <row r="166" spans="1:11" ht="12" customHeight="1" x14ac:dyDescent="0.2">
      <c r="A166" s="69" t="s">
        <v>192</v>
      </c>
      <c r="B166" s="128" t="s">
        <v>148</v>
      </c>
      <c r="C166" s="140">
        <v>64941198</v>
      </c>
      <c r="D166" s="140" t="s">
        <v>270</v>
      </c>
      <c r="E166" s="151">
        <v>1099</v>
      </c>
      <c r="F166" s="68">
        <v>45810</v>
      </c>
      <c r="G166" s="101">
        <v>46850</v>
      </c>
      <c r="H166" s="100">
        <f t="shared" si="114"/>
        <v>1040</v>
      </c>
      <c r="I166" s="72">
        <f t="shared" si="115"/>
        <v>34.191780821917803</v>
      </c>
      <c r="J166" s="95"/>
      <c r="K166" s="73"/>
    </row>
    <row r="167" spans="1:11" ht="12" customHeight="1" x14ac:dyDescent="0.2">
      <c r="A167" s="69" t="s">
        <v>192</v>
      </c>
      <c r="B167" s="128" t="s">
        <v>148</v>
      </c>
      <c r="C167" s="140">
        <v>64821449</v>
      </c>
      <c r="D167" s="140" t="s">
        <v>444</v>
      </c>
      <c r="E167" s="151">
        <v>249</v>
      </c>
      <c r="F167" s="68">
        <v>45810</v>
      </c>
      <c r="G167" s="94">
        <v>46879</v>
      </c>
      <c r="H167" s="100">
        <f t="shared" ref="H167:H168" si="118">G167-F167</f>
        <v>1069</v>
      </c>
      <c r="I167" s="72">
        <f t="shared" ref="I167:I168" si="119">H167/365*12</f>
        <v>35.145205479452059</v>
      </c>
      <c r="J167" s="95"/>
      <c r="K167" s="73"/>
    </row>
    <row r="168" spans="1:11" ht="12" customHeight="1" x14ac:dyDescent="0.2">
      <c r="A168" s="69" t="s">
        <v>192</v>
      </c>
      <c r="B168" s="128" t="s">
        <v>148</v>
      </c>
      <c r="C168" s="140">
        <v>64941196</v>
      </c>
      <c r="D168" s="140" t="s">
        <v>271</v>
      </c>
      <c r="E168" s="151">
        <v>78</v>
      </c>
      <c r="F168" s="68">
        <v>45810</v>
      </c>
      <c r="G168" s="101">
        <v>46852</v>
      </c>
      <c r="H168" s="100">
        <f t="shared" si="118"/>
        <v>1042</v>
      </c>
      <c r="I168" s="72">
        <f t="shared" si="119"/>
        <v>34.257534246575347</v>
      </c>
      <c r="J168" s="95"/>
      <c r="K168" s="73"/>
    </row>
    <row r="169" spans="1:11" ht="12" customHeight="1" x14ac:dyDescent="0.2">
      <c r="A169" s="69" t="s">
        <v>192</v>
      </c>
      <c r="B169" s="128" t="s">
        <v>148</v>
      </c>
      <c r="C169" s="140">
        <v>64823228</v>
      </c>
      <c r="D169" s="140" t="s">
        <v>358</v>
      </c>
      <c r="E169" s="151">
        <v>156</v>
      </c>
      <c r="F169" s="68">
        <v>45810</v>
      </c>
      <c r="G169" s="101">
        <v>46884</v>
      </c>
      <c r="H169" s="100">
        <f t="shared" si="114"/>
        <v>1074</v>
      </c>
      <c r="I169" s="72">
        <f t="shared" si="115"/>
        <v>35.30958904109589</v>
      </c>
      <c r="J169" s="95"/>
      <c r="K169" s="73"/>
    </row>
    <row r="170" spans="1:11" ht="12" customHeight="1" x14ac:dyDescent="0.2">
      <c r="A170" s="69" t="s">
        <v>192</v>
      </c>
      <c r="B170" s="128" t="s">
        <v>148</v>
      </c>
      <c r="C170" s="140">
        <v>64823223</v>
      </c>
      <c r="D170" s="140" t="s">
        <v>401</v>
      </c>
      <c r="E170" s="151">
        <v>79</v>
      </c>
      <c r="F170" s="68">
        <v>45810</v>
      </c>
      <c r="G170" s="101">
        <v>46852</v>
      </c>
      <c r="H170" s="100">
        <f t="shared" ref="H170:H172" si="120">G170-F170</f>
        <v>1042</v>
      </c>
      <c r="I170" s="72">
        <f t="shared" ref="I170:I172" si="121">H170/365*12</f>
        <v>34.257534246575347</v>
      </c>
      <c r="J170" s="95"/>
      <c r="K170" s="73"/>
    </row>
    <row r="171" spans="1:11" ht="12" customHeight="1" x14ac:dyDescent="0.2">
      <c r="A171" s="69" t="s">
        <v>192</v>
      </c>
      <c r="B171" s="128" t="s">
        <v>148</v>
      </c>
      <c r="C171" s="140">
        <v>64941178</v>
      </c>
      <c r="D171" s="140" t="s">
        <v>272</v>
      </c>
      <c r="E171" s="151">
        <v>109</v>
      </c>
      <c r="F171" s="68">
        <v>45810</v>
      </c>
      <c r="G171" s="101">
        <v>46883</v>
      </c>
      <c r="H171" s="100">
        <f t="shared" si="120"/>
        <v>1073</v>
      </c>
      <c r="I171" s="72">
        <f t="shared" si="121"/>
        <v>35.276712328767125</v>
      </c>
      <c r="J171" s="95"/>
      <c r="K171" s="73"/>
    </row>
    <row r="172" spans="1:11" ht="12" customHeight="1" x14ac:dyDescent="0.2">
      <c r="A172" s="69" t="s">
        <v>192</v>
      </c>
      <c r="B172" s="128" t="s">
        <v>148</v>
      </c>
      <c r="C172" s="140">
        <v>64823213</v>
      </c>
      <c r="D172" s="140" t="s">
        <v>359</v>
      </c>
      <c r="E172" s="151">
        <v>2460</v>
      </c>
      <c r="F172" s="68">
        <v>45810</v>
      </c>
      <c r="G172" s="101">
        <v>46890</v>
      </c>
      <c r="H172" s="100">
        <f t="shared" si="120"/>
        <v>1080</v>
      </c>
      <c r="I172" s="72">
        <f t="shared" si="121"/>
        <v>35.506849315068493</v>
      </c>
      <c r="J172" s="95"/>
      <c r="K172" s="73"/>
    </row>
    <row r="173" spans="1:11" ht="12" customHeight="1" x14ac:dyDescent="0.2">
      <c r="A173" s="69" t="s">
        <v>192</v>
      </c>
      <c r="B173" s="128" t="s">
        <v>148</v>
      </c>
      <c r="C173" s="140">
        <v>64823208</v>
      </c>
      <c r="D173" s="140" t="s">
        <v>360</v>
      </c>
      <c r="E173" s="151">
        <v>1856</v>
      </c>
      <c r="F173" s="68">
        <v>45810</v>
      </c>
      <c r="G173" s="101">
        <v>46871</v>
      </c>
      <c r="H173" s="100">
        <f t="shared" si="114"/>
        <v>1061</v>
      </c>
      <c r="I173" s="72">
        <f t="shared" si="115"/>
        <v>34.88219178082192</v>
      </c>
      <c r="J173" s="95"/>
      <c r="K173" s="73"/>
    </row>
    <row r="174" spans="1:11" ht="12" customHeight="1" x14ac:dyDescent="0.2">
      <c r="A174" s="69" t="s">
        <v>192</v>
      </c>
      <c r="B174" s="128" t="s">
        <v>148</v>
      </c>
      <c r="C174" s="140">
        <v>64941199</v>
      </c>
      <c r="D174" s="140" t="s">
        <v>327</v>
      </c>
      <c r="E174" s="151">
        <v>20</v>
      </c>
      <c r="F174" s="68">
        <v>45810</v>
      </c>
      <c r="G174" s="101">
        <v>46356</v>
      </c>
      <c r="H174" s="100">
        <f t="shared" ref="H174" si="122">G174-F174</f>
        <v>546</v>
      </c>
      <c r="I174" s="72">
        <f t="shared" ref="I174" si="123">H174/365*12</f>
        <v>17.950684931506849</v>
      </c>
      <c r="J174" s="95"/>
      <c r="K174" s="73"/>
    </row>
    <row r="175" spans="1:11" ht="12" customHeight="1" x14ac:dyDescent="0.2">
      <c r="A175" s="69" t="s">
        <v>192</v>
      </c>
      <c r="B175" s="128" t="s">
        <v>148</v>
      </c>
      <c r="C175" s="140">
        <v>65070221</v>
      </c>
      <c r="D175" s="140" t="s">
        <v>402</v>
      </c>
      <c r="E175" s="151">
        <v>248</v>
      </c>
      <c r="F175" s="68">
        <v>45810</v>
      </c>
      <c r="G175" s="101">
        <v>46831</v>
      </c>
      <c r="H175" s="100">
        <f t="shared" ref="H175" si="124">G175-F175</f>
        <v>1021</v>
      </c>
      <c r="I175" s="72">
        <f t="shared" ref="I175" si="125">H175/365*12</f>
        <v>33.567123287671237</v>
      </c>
      <c r="J175" s="95"/>
      <c r="K175" s="73"/>
    </row>
    <row r="176" spans="1:11" ht="12" customHeight="1" x14ac:dyDescent="0.2">
      <c r="A176" s="69" t="s">
        <v>192</v>
      </c>
      <c r="B176" s="128" t="s">
        <v>148</v>
      </c>
      <c r="C176" s="140">
        <v>65070222</v>
      </c>
      <c r="D176" s="140" t="s">
        <v>403</v>
      </c>
      <c r="E176" s="151">
        <v>253</v>
      </c>
      <c r="F176" s="68">
        <v>45810</v>
      </c>
      <c r="G176" s="101">
        <v>46882</v>
      </c>
      <c r="H176" s="100">
        <f t="shared" si="114"/>
        <v>1072</v>
      </c>
      <c r="I176" s="72">
        <f t="shared" si="115"/>
        <v>35.243835616438353</v>
      </c>
      <c r="J176" s="95"/>
      <c r="K176" s="73"/>
    </row>
    <row r="177" spans="1:11" ht="12" customHeight="1" x14ac:dyDescent="0.2">
      <c r="A177" s="69" t="s">
        <v>192</v>
      </c>
      <c r="B177" s="128" t="s">
        <v>148</v>
      </c>
      <c r="C177" s="140">
        <v>64941184</v>
      </c>
      <c r="D177" s="140" t="s">
        <v>274</v>
      </c>
      <c r="E177" s="151">
        <v>23</v>
      </c>
      <c r="F177" s="68">
        <v>45810</v>
      </c>
      <c r="G177" s="101">
        <v>46728</v>
      </c>
      <c r="H177" s="100">
        <f t="shared" ref="H177" si="126">G177-F177</f>
        <v>918</v>
      </c>
      <c r="I177" s="72">
        <f t="shared" ref="I177" si="127">H177/365*12</f>
        <v>30.18082191780822</v>
      </c>
      <c r="J177" s="95"/>
      <c r="K177" s="73"/>
    </row>
    <row r="178" spans="1:11" ht="12" customHeight="1" x14ac:dyDescent="0.2">
      <c r="A178" s="69" t="s">
        <v>192</v>
      </c>
      <c r="B178" s="128" t="s">
        <v>148</v>
      </c>
      <c r="C178" s="140">
        <v>64988138</v>
      </c>
      <c r="D178" s="140" t="s">
        <v>404</v>
      </c>
      <c r="E178" s="151">
        <v>168</v>
      </c>
      <c r="F178" s="68">
        <v>45810</v>
      </c>
      <c r="G178" s="101">
        <v>46782</v>
      </c>
      <c r="H178" s="100">
        <f t="shared" ref="H178:H183" si="128">G178-F178</f>
        <v>972</v>
      </c>
      <c r="I178" s="72">
        <f t="shared" ref="I178:I183" si="129">H178/365*12</f>
        <v>31.956164383561646</v>
      </c>
      <c r="J178" s="95"/>
      <c r="K178" s="73"/>
    </row>
    <row r="179" spans="1:11" ht="12" customHeight="1" x14ac:dyDescent="0.2">
      <c r="A179" s="69" t="s">
        <v>192</v>
      </c>
      <c r="B179" s="128" t="s">
        <v>148</v>
      </c>
      <c r="C179" s="140">
        <v>64941192</v>
      </c>
      <c r="D179" s="140" t="s">
        <v>445</v>
      </c>
      <c r="E179" s="151">
        <v>459</v>
      </c>
      <c r="F179" s="68">
        <v>45810</v>
      </c>
      <c r="G179" s="101">
        <v>46782</v>
      </c>
      <c r="H179" s="100">
        <f t="shared" ref="H179:H182" si="130">G179-F179</f>
        <v>972</v>
      </c>
      <c r="I179" s="72">
        <f t="shared" ref="I179:I182" si="131">H179/365*12</f>
        <v>31.956164383561646</v>
      </c>
      <c r="J179" s="95"/>
      <c r="K179" s="73"/>
    </row>
    <row r="180" spans="1:11" ht="12" customHeight="1" x14ac:dyDescent="0.2">
      <c r="A180" s="69" t="s">
        <v>192</v>
      </c>
      <c r="B180" s="128" t="s">
        <v>148</v>
      </c>
      <c r="C180" s="140">
        <v>64991134</v>
      </c>
      <c r="D180" s="140" t="s">
        <v>405</v>
      </c>
      <c r="E180" s="151">
        <v>282</v>
      </c>
      <c r="F180" s="68">
        <v>45810</v>
      </c>
      <c r="G180" s="101">
        <v>46417</v>
      </c>
      <c r="H180" s="100">
        <f t="shared" si="130"/>
        <v>607</v>
      </c>
      <c r="I180" s="72">
        <f t="shared" si="131"/>
        <v>19.956164383561642</v>
      </c>
      <c r="J180" s="95"/>
      <c r="K180" s="73"/>
    </row>
    <row r="181" spans="1:11" ht="12" customHeight="1" x14ac:dyDescent="0.2">
      <c r="A181" s="69" t="s">
        <v>192</v>
      </c>
      <c r="B181" s="128" t="s">
        <v>148</v>
      </c>
      <c r="C181" s="140">
        <v>64959124</v>
      </c>
      <c r="D181" s="140" t="s">
        <v>361</v>
      </c>
      <c r="E181" s="151">
        <v>795</v>
      </c>
      <c r="F181" s="68">
        <v>45810</v>
      </c>
      <c r="G181" s="101">
        <v>46523</v>
      </c>
      <c r="H181" s="100">
        <f t="shared" si="130"/>
        <v>713</v>
      </c>
      <c r="I181" s="72">
        <f t="shared" si="131"/>
        <v>23.44109589041096</v>
      </c>
      <c r="J181" s="95"/>
      <c r="K181" s="73"/>
    </row>
    <row r="182" spans="1:11" ht="12" customHeight="1" x14ac:dyDescent="0.2">
      <c r="A182" s="69" t="s">
        <v>192</v>
      </c>
      <c r="B182" s="128" t="s">
        <v>148</v>
      </c>
      <c r="C182" s="140">
        <v>64823198</v>
      </c>
      <c r="D182" s="140" t="s">
        <v>362</v>
      </c>
      <c r="E182" s="151">
        <v>2495</v>
      </c>
      <c r="F182" s="68">
        <v>45810</v>
      </c>
      <c r="G182" s="101">
        <v>46526</v>
      </c>
      <c r="H182" s="100">
        <f t="shared" si="130"/>
        <v>716</v>
      </c>
      <c r="I182" s="72">
        <f t="shared" si="131"/>
        <v>23.539726027397258</v>
      </c>
      <c r="J182" s="95"/>
      <c r="K182" s="73"/>
    </row>
    <row r="183" spans="1:11" ht="12" customHeight="1" x14ac:dyDescent="0.2">
      <c r="A183" s="69" t="s">
        <v>192</v>
      </c>
      <c r="B183" s="128" t="s">
        <v>148</v>
      </c>
      <c r="C183" s="140">
        <v>64989819</v>
      </c>
      <c r="D183" s="140" t="s">
        <v>406</v>
      </c>
      <c r="E183" s="151">
        <v>736</v>
      </c>
      <c r="F183" s="68">
        <v>45810</v>
      </c>
      <c r="G183" s="101">
        <v>46417</v>
      </c>
      <c r="H183" s="100">
        <f t="shared" si="128"/>
        <v>607</v>
      </c>
      <c r="I183" s="72">
        <f t="shared" si="129"/>
        <v>19.956164383561642</v>
      </c>
      <c r="J183" s="95"/>
      <c r="K183" s="73"/>
    </row>
    <row r="184" spans="1:11" ht="12" customHeight="1" x14ac:dyDescent="0.2">
      <c r="A184" s="69" t="s">
        <v>192</v>
      </c>
      <c r="B184" s="128" t="s">
        <v>148</v>
      </c>
      <c r="C184" s="140">
        <v>64941427</v>
      </c>
      <c r="D184" s="140" t="s">
        <v>328</v>
      </c>
      <c r="E184" s="151">
        <v>280</v>
      </c>
      <c r="F184" s="68">
        <v>45810</v>
      </c>
      <c r="G184" s="101">
        <v>46525</v>
      </c>
      <c r="H184" s="100">
        <f t="shared" ref="H184" si="132">G184-F184</f>
        <v>715</v>
      </c>
      <c r="I184" s="72">
        <f t="shared" ref="I184" si="133">H184/365*12</f>
        <v>23.506849315068493</v>
      </c>
      <c r="J184" s="95"/>
      <c r="K184" s="73"/>
    </row>
    <row r="185" spans="1:11" ht="12" customHeight="1" x14ac:dyDescent="0.2">
      <c r="A185" s="69" t="s">
        <v>192</v>
      </c>
      <c r="B185" s="128" t="s">
        <v>148</v>
      </c>
      <c r="C185" s="140">
        <v>64941211</v>
      </c>
      <c r="D185" s="140" t="s">
        <v>363</v>
      </c>
      <c r="E185" s="151">
        <v>4</v>
      </c>
      <c r="F185" s="68">
        <v>45810</v>
      </c>
      <c r="G185" s="101">
        <v>46325</v>
      </c>
      <c r="H185" s="139">
        <f t="shared" ref="H185" si="134">G185-F185</f>
        <v>515</v>
      </c>
      <c r="I185" s="138">
        <f t="shared" ref="I185" si="135">H185/365*12</f>
        <v>16.93150684931507</v>
      </c>
      <c r="J185" s="95"/>
      <c r="K185" s="73"/>
    </row>
    <row r="186" spans="1:11" ht="12" customHeight="1" x14ac:dyDescent="0.2">
      <c r="A186" s="69" t="s">
        <v>192</v>
      </c>
      <c r="B186" s="128" t="s">
        <v>148</v>
      </c>
      <c r="C186" s="140">
        <v>64941209</v>
      </c>
      <c r="D186" s="140" t="s">
        <v>275</v>
      </c>
      <c r="E186" s="151">
        <v>10</v>
      </c>
      <c r="F186" s="68">
        <v>45810</v>
      </c>
      <c r="G186" s="101">
        <v>46568</v>
      </c>
      <c r="H186" s="100">
        <f t="shared" si="114"/>
        <v>758</v>
      </c>
      <c r="I186" s="72">
        <f t="shared" si="115"/>
        <v>24.920547945205481</v>
      </c>
      <c r="J186" s="95"/>
      <c r="K186" s="73"/>
    </row>
    <row r="187" spans="1:11" ht="12" customHeight="1" x14ac:dyDescent="0.2">
      <c r="A187" s="69" t="s">
        <v>192</v>
      </c>
      <c r="B187" s="128" t="s">
        <v>148</v>
      </c>
      <c r="C187" s="140">
        <v>64941210</v>
      </c>
      <c r="D187" s="140" t="s">
        <v>407</v>
      </c>
      <c r="E187" s="151">
        <v>30</v>
      </c>
      <c r="F187" s="68">
        <v>45810</v>
      </c>
      <c r="G187" s="101">
        <v>46568</v>
      </c>
      <c r="H187" s="139">
        <f t="shared" si="114"/>
        <v>758</v>
      </c>
      <c r="I187" s="138">
        <f t="shared" si="115"/>
        <v>24.920547945205481</v>
      </c>
      <c r="J187" s="95"/>
      <c r="K187" s="73"/>
    </row>
    <row r="188" spans="1:11" ht="12" customHeight="1" x14ac:dyDescent="0.2">
      <c r="A188" s="69" t="s">
        <v>192</v>
      </c>
      <c r="B188" s="128" t="s">
        <v>148</v>
      </c>
      <c r="C188" s="140">
        <v>64941213</v>
      </c>
      <c r="D188" s="140" t="s">
        <v>446</v>
      </c>
      <c r="E188" s="151">
        <v>88</v>
      </c>
      <c r="F188" s="68">
        <v>45810</v>
      </c>
      <c r="G188" s="101">
        <v>46568</v>
      </c>
      <c r="H188" s="139">
        <f t="shared" si="114"/>
        <v>758</v>
      </c>
      <c r="I188" s="138">
        <f t="shared" si="115"/>
        <v>24.920547945205481</v>
      </c>
      <c r="J188" s="95"/>
      <c r="K188" s="73"/>
    </row>
    <row r="189" spans="1:11" ht="12" customHeight="1" x14ac:dyDescent="0.2">
      <c r="A189" s="69" t="s">
        <v>192</v>
      </c>
      <c r="B189" s="128" t="s">
        <v>148</v>
      </c>
      <c r="C189" s="140">
        <v>64941216</v>
      </c>
      <c r="D189" s="140" t="s">
        <v>276</v>
      </c>
      <c r="E189" s="151">
        <v>1520</v>
      </c>
      <c r="F189" s="68">
        <v>45810</v>
      </c>
      <c r="G189" s="101">
        <v>46531</v>
      </c>
      <c r="H189" s="139">
        <f t="shared" si="114"/>
        <v>721</v>
      </c>
      <c r="I189" s="138">
        <f t="shared" si="115"/>
        <v>23.704109589041096</v>
      </c>
      <c r="J189" s="95"/>
      <c r="K189" s="73"/>
    </row>
    <row r="190" spans="1:11" ht="12" customHeight="1" x14ac:dyDescent="0.2">
      <c r="A190" s="69" t="s">
        <v>192</v>
      </c>
      <c r="B190" s="128" t="s">
        <v>148</v>
      </c>
      <c r="C190" s="140">
        <v>65077402</v>
      </c>
      <c r="D190" s="140" t="s">
        <v>408</v>
      </c>
      <c r="E190" s="151">
        <v>997</v>
      </c>
      <c r="F190" s="68">
        <v>45810</v>
      </c>
      <c r="G190" s="101">
        <v>46864</v>
      </c>
      <c r="H190" s="139">
        <f t="shared" si="114"/>
        <v>1054</v>
      </c>
      <c r="I190" s="138">
        <f t="shared" si="115"/>
        <v>34.652054794520545</v>
      </c>
      <c r="J190" s="95"/>
      <c r="K190" s="73"/>
    </row>
    <row r="191" spans="1:11" ht="12" customHeight="1" x14ac:dyDescent="0.2">
      <c r="A191" s="69" t="s">
        <v>192</v>
      </c>
      <c r="B191" s="128" t="s">
        <v>148</v>
      </c>
      <c r="C191" s="140">
        <v>69767733</v>
      </c>
      <c r="D191" s="140" t="s">
        <v>195</v>
      </c>
      <c r="E191" s="151">
        <v>129</v>
      </c>
      <c r="F191" s="68">
        <v>45810</v>
      </c>
      <c r="G191" s="101">
        <v>46640</v>
      </c>
      <c r="H191" s="139">
        <f t="shared" si="114"/>
        <v>830</v>
      </c>
      <c r="I191" s="138">
        <f t="shared" si="115"/>
        <v>27.287671232876715</v>
      </c>
      <c r="J191" s="95"/>
      <c r="K191" s="73"/>
    </row>
    <row r="192" spans="1:11" ht="12" customHeight="1" x14ac:dyDescent="0.2">
      <c r="A192" s="69" t="s">
        <v>192</v>
      </c>
      <c r="B192" s="128" t="s">
        <v>148</v>
      </c>
      <c r="C192" s="140">
        <v>64941243</v>
      </c>
      <c r="D192" s="140" t="s">
        <v>277</v>
      </c>
      <c r="E192" s="151">
        <v>236</v>
      </c>
      <c r="F192" s="68">
        <v>45810</v>
      </c>
      <c r="G192" s="101">
        <v>46885</v>
      </c>
      <c r="H192" s="100">
        <f t="shared" si="114"/>
        <v>1075</v>
      </c>
      <c r="I192" s="72">
        <f t="shared" si="115"/>
        <v>35.342465753424655</v>
      </c>
      <c r="J192" s="95"/>
      <c r="K192" s="73"/>
    </row>
    <row r="193" spans="1:11" ht="12" customHeight="1" x14ac:dyDescent="0.2">
      <c r="A193" s="69" t="s">
        <v>192</v>
      </c>
      <c r="B193" s="128" t="s">
        <v>148</v>
      </c>
      <c r="C193" s="140">
        <v>64941228</v>
      </c>
      <c r="D193" s="140" t="s">
        <v>278</v>
      </c>
      <c r="E193" s="151">
        <v>194</v>
      </c>
      <c r="F193" s="68">
        <v>45810</v>
      </c>
      <c r="G193" s="101">
        <v>46892</v>
      </c>
      <c r="H193" s="100">
        <f t="shared" ref="H193:H194" si="136">G193-F193</f>
        <v>1082</v>
      </c>
      <c r="I193" s="72">
        <f t="shared" ref="I193:I194" si="137">H193/365*12</f>
        <v>35.57260273972603</v>
      </c>
      <c r="J193" s="95"/>
      <c r="K193" s="73"/>
    </row>
    <row r="194" spans="1:11" ht="12" customHeight="1" x14ac:dyDescent="0.2">
      <c r="A194" s="69" t="s">
        <v>192</v>
      </c>
      <c r="B194" s="128" t="s">
        <v>148</v>
      </c>
      <c r="C194" s="140">
        <v>64941221</v>
      </c>
      <c r="D194" s="140" t="s">
        <v>279</v>
      </c>
      <c r="E194" s="151">
        <v>216</v>
      </c>
      <c r="F194" s="68">
        <v>45810</v>
      </c>
      <c r="G194" s="101">
        <v>46900</v>
      </c>
      <c r="H194" s="100">
        <f t="shared" si="136"/>
        <v>1090</v>
      </c>
      <c r="I194" s="72">
        <f t="shared" si="137"/>
        <v>35.835616438356162</v>
      </c>
      <c r="J194" s="95"/>
      <c r="K194" s="73"/>
    </row>
    <row r="195" spans="1:11" ht="12" customHeight="1" x14ac:dyDescent="0.2">
      <c r="A195" s="69" t="s">
        <v>192</v>
      </c>
      <c r="B195" s="128" t="s">
        <v>148</v>
      </c>
      <c r="C195" s="140">
        <v>64377573</v>
      </c>
      <c r="D195" s="140" t="s">
        <v>197</v>
      </c>
      <c r="E195" s="151">
        <v>84</v>
      </c>
      <c r="F195" s="68">
        <v>45810</v>
      </c>
      <c r="G195" s="101">
        <v>46257</v>
      </c>
      <c r="H195" s="100">
        <f t="shared" si="114"/>
        <v>447</v>
      </c>
      <c r="I195" s="72">
        <f t="shared" si="115"/>
        <v>14.695890410958903</v>
      </c>
      <c r="J195" s="95"/>
      <c r="K195" s="73"/>
    </row>
    <row r="196" spans="1:11" ht="12" customHeight="1" x14ac:dyDescent="0.2">
      <c r="A196" s="69" t="s">
        <v>192</v>
      </c>
      <c r="B196" s="128" t="s">
        <v>148</v>
      </c>
      <c r="C196" s="140">
        <v>64894867</v>
      </c>
      <c r="D196" s="140" t="s">
        <v>329</v>
      </c>
      <c r="E196" s="151">
        <v>34</v>
      </c>
      <c r="F196" s="68">
        <v>45810</v>
      </c>
      <c r="G196" s="101">
        <v>46893</v>
      </c>
      <c r="H196" s="100">
        <f t="shared" ref="H196" si="138">G196-F196</f>
        <v>1083</v>
      </c>
      <c r="I196" s="72">
        <f t="shared" ref="I196" si="139">H196/365*12</f>
        <v>35.605479452054794</v>
      </c>
      <c r="J196" s="95"/>
      <c r="K196" s="73"/>
    </row>
    <row r="197" spans="1:11" ht="12" customHeight="1" x14ac:dyDescent="0.2">
      <c r="A197" s="69" t="s">
        <v>192</v>
      </c>
      <c r="B197" s="128" t="s">
        <v>148</v>
      </c>
      <c r="C197" s="140">
        <v>64941235</v>
      </c>
      <c r="D197" s="140" t="s">
        <v>280</v>
      </c>
      <c r="E197" s="151">
        <v>400</v>
      </c>
      <c r="F197" s="68">
        <v>45810</v>
      </c>
      <c r="G197" s="101">
        <v>46859</v>
      </c>
      <c r="H197" s="100">
        <f t="shared" ref="H197:H200" si="140">G197-F197</f>
        <v>1049</v>
      </c>
      <c r="I197" s="72">
        <f t="shared" ref="I197:I200" si="141">H197/365*12</f>
        <v>34.487671232876707</v>
      </c>
      <c r="J197" s="95"/>
      <c r="K197" s="73"/>
    </row>
    <row r="198" spans="1:11" ht="12" customHeight="1" x14ac:dyDescent="0.2">
      <c r="A198" s="69" t="s">
        <v>192</v>
      </c>
      <c r="B198" s="128" t="s">
        <v>148</v>
      </c>
      <c r="C198" s="140">
        <v>64894860</v>
      </c>
      <c r="D198" s="140" t="s">
        <v>330</v>
      </c>
      <c r="E198" s="151">
        <v>110</v>
      </c>
      <c r="F198" s="68">
        <v>45810</v>
      </c>
      <c r="G198" s="101">
        <v>46865</v>
      </c>
      <c r="H198" s="139">
        <f t="shared" si="140"/>
        <v>1055</v>
      </c>
      <c r="I198" s="138">
        <f t="shared" si="141"/>
        <v>34.684931506849317</v>
      </c>
      <c r="J198" s="95"/>
      <c r="K198" s="73"/>
    </row>
    <row r="199" spans="1:11" ht="12" customHeight="1" x14ac:dyDescent="0.2">
      <c r="A199" s="69" t="s">
        <v>192</v>
      </c>
      <c r="B199" s="128" t="s">
        <v>148</v>
      </c>
      <c r="C199" s="140">
        <v>64941250</v>
      </c>
      <c r="D199" s="140" t="s">
        <v>281</v>
      </c>
      <c r="E199" s="151">
        <v>288</v>
      </c>
      <c r="F199" s="68">
        <v>45810</v>
      </c>
      <c r="G199" s="101">
        <v>46799</v>
      </c>
      <c r="H199" s="139">
        <f t="shared" si="140"/>
        <v>989</v>
      </c>
      <c r="I199" s="138">
        <f t="shared" si="141"/>
        <v>32.515068493150686</v>
      </c>
      <c r="J199" s="95"/>
      <c r="K199" s="73"/>
    </row>
    <row r="200" spans="1:11" ht="12" customHeight="1" x14ac:dyDescent="0.2">
      <c r="A200" s="69" t="s">
        <v>192</v>
      </c>
      <c r="B200" s="128" t="s">
        <v>148</v>
      </c>
      <c r="C200" s="140">
        <v>64941251</v>
      </c>
      <c r="D200" s="140" t="s">
        <v>282</v>
      </c>
      <c r="E200" s="151">
        <v>254</v>
      </c>
      <c r="F200" s="68">
        <v>45810</v>
      </c>
      <c r="G200" s="101">
        <v>46886</v>
      </c>
      <c r="H200" s="139">
        <f t="shared" si="140"/>
        <v>1076</v>
      </c>
      <c r="I200" s="138">
        <f t="shared" si="141"/>
        <v>35.37534246575342</v>
      </c>
      <c r="J200" s="95"/>
      <c r="K200" s="73"/>
    </row>
    <row r="201" spans="1:11" ht="12" customHeight="1" x14ac:dyDescent="0.2">
      <c r="A201" s="69" t="s">
        <v>192</v>
      </c>
      <c r="B201" s="128" t="s">
        <v>148</v>
      </c>
      <c r="C201" s="140">
        <v>64941246</v>
      </c>
      <c r="D201" s="140" t="s">
        <v>283</v>
      </c>
      <c r="E201" s="151">
        <v>374</v>
      </c>
      <c r="F201" s="68">
        <v>45810</v>
      </c>
      <c r="G201" s="101">
        <v>46884</v>
      </c>
      <c r="H201" s="139">
        <f t="shared" ref="H201" si="142">G201-F201</f>
        <v>1074</v>
      </c>
      <c r="I201" s="138">
        <f t="shared" ref="I201" si="143">H201/365*12</f>
        <v>35.30958904109589</v>
      </c>
      <c r="J201" s="95"/>
      <c r="K201" s="73"/>
    </row>
    <row r="202" spans="1:11" ht="12" customHeight="1" x14ac:dyDescent="0.2">
      <c r="A202" s="69" t="s">
        <v>192</v>
      </c>
      <c r="B202" s="128" t="s">
        <v>148</v>
      </c>
      <c r="C202" s="140">
        <v>64941224</v>
      </c>
      <c r="D202" s="140" t="s">
        <v>284</v>
      </c>
      <c r="E202" s="151">
        <v>489</v>
      </c>
      <c r="F202" s="68">
        <v>45810</v>
      </c>
      <c r="G202" s="101">
        <v>46110</v>
      </c>
      <c r="H202" s="100">
        <f t="shared" ref="H202" si="144">G202-F202</f>
        <v>300</v>
      </c>
      <c r="I202" s="72">
        <f t="shared" ref="I202" si="145">H202/365*12</f>
        <v>9.8630136986301373</v>
      </c>
      <c r="J202" s="95"/>
      <c r="K202" s="73"/>
    </row>
    <row r="203" spans="1:11" ht="12" customHeight="1" x14ac:dyDescent="0.2">
      <c r="A203" s="69" t="s">
        <v>192</v>
      </c>
      <c r="B203" s="128" t="s">
        <v>148</v>
      </c>
      <c r="C203" s="140">
        <v>64941240</v>
      </c>
      <c r="D203" s="140" t="s">
        <v>285</v>
      </c>
      <c r="E203" s="151">
        <v>673</v>
      </c>
      <c r="F203" s="68">
        <v>45810</v>
      </c>
      <c r="G203" s="101">
        <v>46529</v>
      </c>
      <c r="H203" s="100">
        <f t="shared" ref="H203" si="146">G203-F203</f>
        <v>719</v>
      </c>
      <c r="I203" s="72">
        <f t="shared" ref="I203" si="147">H203/365*12</f>
        <v>23.638356164383563</v>
      </c>
      <c r="J203" s="95"/>
      <c r="K203" s="73"/>
    </row>
    <row r="204" spans="1:11" ht="12" customHeight="1" x14ac:dyDescent="0.2">
      <c r="A204" s="69" t="s">
        <v>192</v>
      </c>
      <c r="B204" s="128" t="s">
        <v>148</v>
      </c>
      <c r="C204" s="140">
        <v>64991385</v>
      </c>
      <c r="D204" s="140" t="s">
        <v>409</v>
      </c>
      <c r="E204" s="151">
        <v>67</v>
      </c>
      <c r="F204" s="68">
        <v>45810</v>
      </c>
      <c r="G204" s="101">
        <v>46884</v>
      </c>
      <c r="H204" s="100">
        <f t="shared" si="114"/>
        <v>1074</v>
      </c>
      <c r="I204" s="72">
        <f t="shared" si="115"/>
        <v>35.30958904109589</v>
      </c>
      <c r="J204" s="95"/>
      <c r="K204" s="73"/>
    </row>
    <row r="205" spans="1:11" ht="12" customHeight="1" x14ac:dyDescent="0.2">
      <c r="A205" s="69" t="s">
        <v>192</v>
      </c>
      <c r="B205" s="128" t="s">
        <v>148</v>
      </c>
      <c r="C205" s="140">
        <v>64941219</v>
      </c>
      <c r="D205" s="140" t="s">
        <v>286</v>
      </c>
      <c r="E205" s="151">
        <v>1</v>
      </c>
      <c r="F205" s="68">
        <v>45810</v>
      </c>
      <c r="G205" s="101">
        <v>46900</v>
      </c>
      <c r="H205" s="100">
        <f t="shared" ref="H205:H206" si="148">G205-F205</f>
        <v>1090</v>
      </c>
      <c r="I205" s="72">
        <f t="shared" ref="I205:I206" si="149">H205/365*12</f>
        <v>35.835616438356162</v>
      </c>
      <c r="J205" s="95"/>
      <c r="K205" s="73"/>
    </row>
    <row r="206" spans="1:11" ht="12" customHeight="1" x14ac:dyDescent="0.2">
      <c r="A206" s="69" t="s">
        <v>192</v>
      </c>
      <c r="B206" s="128" t="s">
        <v>148</v>
      </c>
      <c r="C206" s="140">
        <v>64894853</v>
      </c>
      <c r="D206" s="140" t="s">
        <v>331</v>
      </c>
      <c r="E206" s="151">
        <v>545</v>
      </c>
      <c r="F206" s="68">
        <v>45810</v>
      </c>
      <c r="G206" s="101">
        <v>46860</v>
      </c>
      <c r="H206" s="100">
        <f t="shared" si="148"/>
        <v>1050</v>
      </c>
      <c r="I206" s="72">
        <f t="shared" si="149"/>
        <v>34.520547945205479</v>
      </c>
      <c r="J206" s="95"/>
      <c r="K206" s="73"/>
    </row>
    <row r="207" spans="1:11" ht="12" customHeight="1" x14ac:dyDescent="0.2">
      <c r="A207" s="69" t="s">
        <v>192</v>
      </c>
      <c r="B207" s="128" t="s">
        <v>148</v>
      </c>
      <c r="C207" s="140">
        <v>64894846</v>
      </c>
      <c r="D207" s="140" t="s">
        <v>410</v>
      </c>
      <c r="E207" s="151">
        <v>687</v>
      </c>
      <c r="F207" s="68">
        <v>45810</v>
      </c>
      <c r="G207" s="101">
        <v>46885</v>
      </c>
      <c r="H207" s="100">
        <f t="shared" ref="H207" si="150">G207-F207</f>
        <v>1075</v>
      </c>
      <c r="I207" s="72">
        <f t="shared" ref="I207" si="151">H207/365*12</f>
        <v>35.342465753424655</v>
      </c>
      <c r="J207" s="95"/>
      <c r="K207" s="73"/>
    </row>
    <row r="208" spans="1:11" ht="12" customHeight="1" x14ac:dyDescent="0.2">
      <c r="A208" s="69" t="s">
        <v>192</v>
      </c>
      <c r="B208" s="128" t="s">
        <v>148</v>
      </c>
      <c r="C208" s="140">
        <v>64991399</v>
      </c>
      <c r="D208" s="140" t="s">
        <v>447</v>
      </c>
      <c r="E208" s="151">
        <v>73</v>
      </c>
      <c r="F208" s="68">
        <v>45810</v>
      </c>
      <c r="G208" s="101">
        <v>46899</v>
      </c>
      <c r="H208" s="100">
        <f t="shared" ref="H208" si="152">G208-F208</f>
        <v>1089</v>
      </c>
      <c r="I208" s="72">
        <f t="shared" ref="I208" si="153">H208/365*12</f>
        <v>35.802739726027397</v>
      </c>
      <c r="J208" s="95"/>
      <c r="K208" s="73"/>
    </row>
    <row r="209" spans="1:11" ht="12" customHeight="1" x14ac:dyDescent="0.2">
      <c r="A209" s="69" t="s">
        <v>192</v>
      </c>
      <c r="B209" s="128" t="s">
        <v>148</v>
      </c>
      <c r="C209" s="140">
        <v>64941241</v>
      </c>
      <c r="D209" s="140" t="s">
        <v>287</v>
      </c>
      <c r="E209" s="151">
        <v>126</v>
      </c>
      <c r="F209" s="68">
        <v>45810</v>
      </c>
      <c r="G209" s="101">
        <v>46529</v>
      </c>
      <c r="H209" s="100">
        <f t="shared" ref="H209" si="154">G209-F209</f>
        <v>719</v>
      </c>
      <c r="I209" s="72">
        <f t="shared" ref="I209" si="155">H209/365*12</f>
        <v>23.638356164383563</v>
      </c>
      <c r="J209" s="95"/>
      <c r="K209" s="73"/>
    </row>
    <row r="210" spans="1:11" ht="12" customHeight="1" x14ac:dyDescent="0.2">
      <c r="A210" s="69" t="s">
        <v>192</v>
      </c>
      <c r="B210" s="128" t="s">
        <v>148</v>
      </c>
      <c r="C210" s="140">
        <v>64941242</v>
      </c>
      <c r="D210" s="140" t="s">
        <v>288</v>
      </c>
      <c r="E210" s="151">
        <v>16</v>
      </c>
      <c r="F210" s="68">
        <v>45810</v>
      </c>
      <c r="G210" s="101">
        <v>46670</v>
      </c>
      <c r="H210" s="100">
        <f t="shared" si="114"/>
        <v>860</v>
      </c>
      <c r="I210" s="72">
        <f t="shared" si="115"/>
        <v>28.273972602739725</v>
      </c>
      <c r="J210" s="95"/>
      <c r="K210" s="73"/>
    </row>
    <row r="211" spans="1:11" ht="12" customHeight="1" x14ac:dyDescent="0.2">
      <c r="A211" s="69" t="s">
        <v>192</v>
      </c>
      <c r="B211" s="128" t="s">
        <v>148</v>
      </c>
      <c r="C211" s="140">
        <v>64991386</v>
      </c>
      <c r="D211" s="140" t="s">
        <v>448</v>
      </c>
      <c r="E211" s="151">
        <v>502</v>
      </c>
      <c r="F211" s="68">
        <v>45810</v>
      </c>
      <c r="G211" s="101">
        <v>46874</v>
      </c>
      <c r="H211" s="100">
        <f t="shared" si="114"/>
        <v>1064</v>
      </c>
      <c r="I211" s="72">
        <f t="shared" si="115"/>
        <v>34.980821917808221</v>
      </c>
      <c r="J211" s="95"/>
      <c r="K211" s="73"/>
    </row>
    <row r="212" spans="1:11" ht="12" customHeight="1" x14ac:dyDescent="0.2">
      <c r="A212" s="69" t="s">
        <v>192</v>
      </c>
      <c r="B212" s="128" t="s">
        <v>148</v>
      </c>
      <c r="C212" s="140">
        <v>64941253</v>
      </c>
      <c r="D212" s="140" t="s">
        <v>289</v>
      </c>
      <c r="E212" s="151">
        <v>4723</v>
      </c>
      <c r="F212" s="68">
        <v>45810</v>
      </c>
      <c r="G212" s="101">
        <v>46441</v>
      </c>
      <c r="H212" s="100">
        <f t="shared" si="114"/>
        <v>631</v>
      </c>
      <c r="I212" s="72">
        <f t="shared" si="115"/>
        <v>20.745205479452054</v>
      </c>
      <c r="J212" s="95"/>
      <c r="K212" s="73"/>
    </row>
    <row r="213" spans="1:11" ht="12" customHeight="1" x14ac:dyDescent="0.2">
      <c r="A213" s="69" t="s">
        <v>192</v>
      </c>
      <c r="B213" s="128" t="s">
        <v>148</v>
      </c>
      <c r="C213" s="140">
        <v>64941294</v>
      </c>
      <c r="D213" s="140" t="s">
        <v>290</v>
      </c>
      <c r="E213" s="151">
        <v>1497</v>
      </c>
      <c r="F213" s="68">
        <v>45810</v>
      </c>
      <c r="G213" s="101">
        <v>46446</v>
      </c>
      <c r="H213" s="100">
        <f t="shared" ref="H213:H214" si="156">G213-F213</f>
        <v>636</v>
      </c>
      <c r="I213" s="72">
        <f t="shared" ref="I213:I214" si="157">H213/365*12</f>
        <v>20.909589041095892</v>
      </c>
      <c r="J213" s="95"/>
      <c r="K213" s="73"/>
    </row>
    <row r="214" spans="1:11" ht="12" customHeight="1" x14ac:dyDescent="0.2">
      <c r="A214" s="69" t="s">
        <v>192</v>
      </c>
      <c r="B214" s="128" t="s">
        <v>148</v>
      </c>
      <c r="C214" s="140">
        <v>64941339</v>
      </c>
      <c r="D214" s="140" t="s">
        <v>291</v>
      </c>
      <c r="E214" s="151">
        <v>111</v>
      </c>
      <c r="F214" s="68">
        <v>45810</v>
      </c>
      <c r="G214" s="101">
        <v>46417</v>
      </c>
      <c r="H214" s="100">
        <f t="shared" si="156"/>
        <v>607</v>
      </c>
      <c r="I214" s="72">
        <f t="shared" si="157"/>
        <v>19.956164383561642</v>
      </c>
      <c r="J214" s="95"/>
      <c r="K214" s="73"/>
    </row>
    <row r="215" spans="1:11" ht="12" customHeight="1" x14ac:dyDescent="0.2">
      <c r="A215" s="69" t="s">
        <v>192</v>
      </c>
      <c r="B215" s="128" t="s">
        <v>148</v>
      </c>
      <c r="C215" s="140">
        <v>64941257</v>
      </c>
      <c r="D215" s="140" t="s">
        <v>292</v>
      </c>
      <c r="E215" s="151">
        <v>193</v>
      </c>
      <c r="F215" s="68">
        <v>45810</v>
      </c>
      <c r="G215" s="101">
        <v>46891</v>
      </c>
      <c r="H215" s="100">
        <f t="shared" ref="H215:H219" si="158">G215-F215</f>
        <v>1081</v>
      </c>
      <c r="I215" s="72">
        <f t="shared" ref="I215:I219" si="159">H215/365*12</f>
        <v>35.539726027397258</v>
      </c>
      <c r="J215" s="95"/>
    </row>
    <row r="216" spans="1:11" ht="12" customHeight="1" x14ac:dyDescent="0.2">
      <c r="A216" s="69" t="s">
        <v>192</v>
      </c>
      <c r="B216" s="128" t="s">
        <v>148</v>
      </c>
      <c r="C216" s="140">
        <v>64941256</v>
      </c>
      <c r="D216" s="140" t="s">
        <v>449</v>
      </c>
      <c r="E216" s="151">
        <v>48</v>
      </c>
      <c r="F216" s="68">
        <v>45810</v>
      </c>
      <c r="G216" s="101">
        <v>46325</v>
      </c>
      <c r="H216" s="100">
        <f t="shared" si="158"/>
        <v>515</v>
      </c>
      <c r="I216" s="72">
        <f t="shared" si="159"/>
        <v>16.93150684931507</v>
      </c>
      <c r="J216" s="95"/>
    </row>
    <row r="217" spans="1:11" ht="12" customHeight="1" x14ac:dyDescent="0.2">
      <c r="A217" s="69" t="s">
        <v>192</v>
      </c>
      <c r="B217" s="128" t="s">
        <v>148</v>
      </c>
      <c r="C217" s="140">
        <v>64941259</v>
      </c>
      <c r="D217" s="140" t="s">
        <v>450</v>
      </c>
      <c r="E217" s="151">
        <v>15</v>
      </c>
      <c r="F217" s="68">
        <v>45810</v>
      </c>
      <c r="G217" s="101">
        <v>46172</v>
      </c>
      <c r="H217" s="100">
        <f t="shared" si="158"/>
        <v>362</v>
      </c>
      <c r="I217" s="72">
        <f t="shared" si="159"/>
        <v>11.901369863013699</v>
      </c>
      <c r="J217" s="95"/>
    </row>
    <row r="218" spans="1:11" ht="12" customHeight="1" x14ac:dyDescent="0.2">
      <c r="A218" s="69" t="s">
        <v>192</v>
      </c>
      <c r="B218" s="128" t="s">
        <v>148</v>
      </c>
      <c r="C218" s="140">
        <v>64941263</v>
      </c>
      <c r="D218" s="140" t="s">
        <v>293</v>
      </c>
      <c r="E218" s="151">
        <v>91</v>
      </c>
      <c r="F218" s="68">
        <v>45810</v>
      </c>
      <c r="G218" s="101">
        <v>46869</v>
      </c>
      <c r="H218" s="100">
        <f t="shared" si="158"/>
        <v>1059</v>
      </c>
      <c r="I218" s="72">
        <f t="shared" si="159"/>
        <v>34.816438356164383</v>
      </c>
      <c r="J218" s="95"/>
    </row>
    <row r="219" spans="1:11" ht="12" customHeight="1" x14ac:dyDescent="0.2">
      <c r="A219" s="69" t="s">
        <v>192</v>
      </c>
      <c r="B219" s="128" t="s">
        <v>148</v>
      </c>
      <c r="C219" s="140">
        <v>64941262</v>
      </c>
      <c r="D219" s="140" t="s">
        <v>294</v>
      </c>
      <c r="E219" s="151">
        <v>40</v>
      </c>
      <c r="F219" s="68">
        <v>45810</v>
      </c>
      <c r="G219" s="101">
        <v>46659</v>
      </c>
      <c r="H219" s="100">
        <f t="shared" si="158"/>
        <v>849</v>
      </c>
      <c r="I219" s="72">
        <f t="shared" si="159"/>
        <v>27.912328767123284</v>
      </c>
      <c r="J219" s="95"/>
    </row>
    <row r="220" spans="1:11" ht="12" customHeight="1" x14ac:dyDescent="0.2">
      <c r="A220" s="69" t="s">
        <v>192</v>
      </c>
      <c r="B220" s="128" t="s">
        <v>148</v>
      </c>
      <c r="C220" s="140">
        <v>64941262</v>
      </c>
      <c r="D220" s="140" t="s">
        <v>294</v>
      </c>
      <c r="E220" s="151">
        <v>52</v>
      </c>
      <c r="F220" s="68">
        <v>45810</v>
      </c>
      <c r="G220" s="101">
        <v>46402</v>
      </c>
      <c r="H220" s="100">
        <f t="shared" ref="H220:H221" si="160">G220-F220</f>
        <v>592</v>
      </c>
      <c r="I220" s="72">
        <f t="shared" ref="I220:I221" si="161">H220/365*12</f>
        <v>19.463013698630135</v>
      </c>
      <c r="J220" s="95"/>
    </row>
    <row r="221" spans="1:11" ht="12" customHeight="1" x14ac:dyDescent="0.2">
      <c r="A221" s="69" t="s">
        <v>192</v>
      </c>
      <c r="B221" s="128" t="s">
        <v>148</v>
      </c>
      <c r="C221" s="140">
        <v>64941262</v>
      </c>
      <c r="D221" s="140" t="s">
        <v>294</v>
      </c>
      <c r="E221" s="151">
        <v>12</v>
      </c>
      <c r="F221" s="68">
        <v>45810</v>
      </c>
      <c r="G221" s="101">
        <v>46356</v>
      </c>
      <c r="H221" s="100">
        <f t="shared" si="160"/>
        <v>546</v>
      </c>
      <c r="I221" s="72">
        <f t="shared" si="161"/>
        <v>17.950684931506849</v>
      </c>
      <c r="J221" s="95"/>
    </row>
    <row r="222" spans="1:11" ht="12" customHeight="1" x14ac:dyDescent="0.2">
      <c r="A222" s="69" t="s">
        <v>192</v>
      </c>
      <c r="B222" s="128" t="s">
        <v>148</v>
      </c>
      <c r="C222" s="140">
        <v>64941261</v>
      </c>
      <c r="D222" s="140" t="s">
        <v>295</v>
      </c>
      <c r="E222" s="151">
        <v>361</v>
      </c>
      <c r="F222" s="68">
        <v>45810</v>
      </c>
      <c r="G222" s="101">
        <v>46876</v>
      </c>
      <c r="H222" s="100">
        <f t="shared" ref="H222" si="162">G222-F222</f>
        <v>1066</v>
      </c>
      <c r="I222" s="72">
        <f t="shared" ref="I222" si="163">H222/365*12</f>
        <v>35.046575342465758</v>
      </c>
      <c r="J222" s="95"/>
    </row>
    <row r="223" spans="1:11" ht="12" customHeight="1" x14ac:dyDescent="0.2">
      <c r="A223" s="69" t="s">
        <v>192</v>
      </c>
      <c r="B223" s="128" t="s">
        <v>148</v>
      </c>
      <c r="C223" s="140">
        <v>64941268</v>
      </c>
      <c r="D223" s="140" t="s">
        <v>296</v>
      </c>
      <c r="E223" s="151">
        <v>52</v>
      </c>
      <c r="F223" s="68">
        <v>45810</v>
      </c>
      <c r="G223" s="101">
        <v>46867</v>
      </c>
      <c r="H223" s="100">
        <f t="shared" ref="H223:H226" si="164">G223-F223</f>
        <v>1057</v>
      </c>
      <c r="I223" s="72">
        <f t="shared" ref="I223:I226" si="165">H223/365*12</f>
        <v>34.750684931506854</v>
      </c>
      <c r="J223" s="95"/>
    </row>
    <row r="224" spans="1:11" ht="12" customHeight="1" x14ac:dyDescent="0.2">
      <c r="A224" s="69" t="s">
        <v>192</v>
      </c>
      <c r="B224" s="128" t="s">
        <v>148</v>
      </c>
      <c r="C224" s="140">
        <v>64941267</v>
      </c>
      <c r="D224" s="140" t="s">
        <v>297</v>
      </c>
      <c r="E224" s="151">
        <v>207</v>
      </c>
      <c r="F224" s="68">
        <v>45810</v>
      </c>
      <c r="G224" s="101">
        <v>46864</v>
      </c>
      <c r="H224" s="100">
        <f t="shared" si="164"/>
        <v>1054</v>
      </c>
      <c r="I224" s="72">
        <f t="shared" si="165"/>
        <v>34.652054794520545</v>
      </c>
      <c r="J224" s="95"/>
    </row>
    <row r="225" spans="1:10" ht="12" customHeight="1" x14ac:dyDescent="0.2">
      <c r="A225" s="69" t="s">
        <v>192</v>
      </c>
      <c r="B225" s="128" t="s">
        <v>148</v>
      </c>
      <c r="C225" s="140">
        <v>64818401</v>
      </c>
      <c r="D225" s="140" t="s">
        <v>298</v>
      </c>
      <c r="E225" s="151">
        <v>574</v>
      </c>
      <c r="F225" s="68">
        <v>45810</v>
      </c>
      <c r="G225" s="101">
        <v>46763</v>
      </c>
      <c r="H225" s="100">
        <f t="shared" si="164"/>
        <v>953</v>
      </c>
      <c r="I225" s="72">
        <f t="shared" si="165"/>
        <v>31.331506849315069</v>
      </c>
      <c r="J225" s="95"/>
    </row>
    <row r="226" spans="1:10" ht="12" customHeight="1" x14ac:dyDescent="0.2">
      <c r="A226" s="69" t="s">
        <v>192</v>
      </c>
      <c r="B226" s="128" t="s">
        <v>148</v>
      </c>
      <c r="C226" s="140">
        <v>64941260</v>
      </c>
      <c r="D226" s="140" t="s">
        <v>299</v>
      </c>
      <c r="E226" s="151">
        <v>192</v>
      </c>
      <c r="F226" s="68">
        <v>45810</v>
      </c>
      <c r="G226" s="101">
        <v>46895</v>
      </c>
      <c r="H226" s="100">
        <f t="shared" si="164"/>
        <v>1085</v>
      </c>
      <c r="I226" s="72">
        <f t="shared" si="165"/>
        <v>35.671232876712324</v>
      </c>
      <c r="J226" s="95"/>
    </row>
    <row r="227" spans="1:10" ht="12" customHeight="1" x14ac:dyDescent="0.2">
      <c r="A227" s="69" t="s">
        <v>192</v>
      </c>
      <c r="B227" s="128" t="s">
        <v>148</v>
      </c>
      <c r="C227" s="140">
        <v>64812785</v>
      </c>
      <c r="D227" s="140" t="s">
        <v>451</v>
      </c>
      <c r="E227" s="151">
        <v>1200</v>
      </c>
      <c r="F227" s="68">
        <v>45810</v>
      </c>
      <c r="G227" s="101">
        <v>46500</v>
      </c>
      <c r="H227" s="100">
        <f t="shared" ref="H227" si="166">G227-F227</f>
        <v>690</v>
      </c>
      <c r="I227" s="72">
        <f t="shared" ref="I227" si="167">H227/365*12</f>
        <v>22.684931506849317</v>
      </c>
      <c r="J227" s="95"/>
    </row>
    <row r="228" spans="1:10" ht="12" customHeight="1" x14ac:dyDescent="0.2">
      <c r="A228" s="69" t="s">
        <v>192</v>
      </c>
      <c r="B228" s="128" t="s">
        <v>148</v>
      </c>
      <c r="C228" s="140">
        <v>64941265</v>
      </c>
      <c r="D228" s="140" t="s">
        <v>300</v>
      </c>
      <c r="E228" s="151">
        <v>144</v>
      </c>
      <c r="F228" s="68">
        <v>45810</v>
      </c>
      <c r="G228" s="101">
        <v>46870</v>
      </c>
      <c r="H228" s="100">
        <f t="shared" ref="H228:H238" si="168">G228-F228</f>
        <v>1060</v>
      </c>
      <c r="I228" s="72">
        <f t="shared" ref="I228:I238" si="169">H228/365*12</f>
        <v>34.849315068493155</v>
      </c>
      <c r="J228" s="95"/>
    </row>
    <row r="229" spans="1:10" ht="12" customHeight="1" x14ac:dyDescent="0.2">
      <c r="A229" s="69" t="s">
        <v>192</v>
      </c>
      <c r="B229" s="128" t="s">
        <v>148</v>
      </c>
      <c r="C229" s="140">
        <v>64941369</v>
      </c>
      <c r="D229" s="140" t="s">
        <v>301</v>
      </c>
      <c r="E229" s="151">
        <v>147</v>
      </c>
      <c r="F229" s="68">
        <v>45810</v>
      </c>
      <c r="G229" s="101">
        <v>46629</v>
      </c>
      <c r="H229" s="100">
        <f t="shared" si="168"/>
        <v>819</v>
      </c>
      <c r="I229" s="72">
        <f t="shared" si="169"/>
        <v>26.926027397260274</v>
      </c>
      <c r="J229" s="95"/>
    </row>
    <row r="230" spans="1:10" ht="12" customHeight="1" x14ac:dyDescent="0.2">
      <c r="A230" s="69" t="s">
        <v>192</v>
      </c>
      <c r="B230" s="128" t="s">
        <v>148</v>
      </c>
      <c r="C230" s="140">
        <v>64941368</v>
      </c>
      <c r="D230" s="140" t="s">
        <v>302</v>
      </c>
      <c r="E230" s="151">
        <v>468</v>
      </c>
      <c r="F230" s="68">
        <v>45810</v>
      </c>
      <c r="G230" s="101">
        <v>46690</v>
      </c>
      <c r="H230" s="100">
        <f t="shared" si="168"/>
        <v>880</v>
      </c>
      <c r="I230" s="72">
        <f t="shared" si="169"/>
        <v>28.931506849315067</v>
      </c>
      <c r="J230" s="95"/>
    </row>
    <row r="231" spans="1:10" ht="12" customHeight="1" x14ac:dyDescent="0.2">
      <c r="A231" s="69" t="s">
        <v>192</v>
      </c>
      <c r="B231" s="128" t="s">
        <v>148</v>
      </c>
      <c r="C231" s="140">
        <v>64941273</v>
      </c>
      <c r="D231" s="140" t="s">
        <v>303</v>
      </c>
      <c r="E231" s="151">
        <v>219</v>
      </c>
      <c r="F231" s="68">
        <v>45810</v>
      </c>
      <c r="G231" s="101">
        <v>46203</v>
      </c>
      <c r="H231" s="100">
        <f t="shared" si="168"/>
        <v>393</v>
      </c>
      <c r="I231" s="72">
        <f t="shared" si="169"/>
        <v>12.920547945205477</v>
      </c>
      <c r="J231" s="95"/>
    </row>
    <row r="232" spans="1:10" ht="12" customHeight="1" x14ac:dyDescent="0.2">
      <c r="A232" s="69" t="s">
        <v>192</v>
      </c>
      <c r="B232" s="128" t="s">
        <v>148</v>
      </c>
      <c r="C232" s="140">
        <v>64941465</v>
      </c>
      <c r="D232" s="140" t="s">
        <v>304</v>
      </c>
      <c r="E232" s="151">
        <v>265</v>
      </c>
      <c r="F232" s="68">
        <v>45810</v>
      </c>
      <c r="G232" s="101">
        <v>46264</v>
      </c>
      <c r="H232" s="100">
        <f t="shared" si="168"/>
        <v>454</v>
      </c>
      <c r="I232" s="72">
        <f t="shared" si="169"/>
        <v>14.926027397260274</v>
      </c>
      <c r="J232" s="95"/>
    </row>
    <row r="233" spans="1:10" ht="12" customHeight="1" x14ac:dyDescent="0.2">
      <c r="A233" s="69" t="s">
        <v>192</v>
      </c>
      <c r="B233" s="128" t="s">
        <v>148</v>
      </c>
      <c r="C233" s="140">
        <v>64941275</v>
      </c>
      <c r="D233" s="140" t="s">
        <v>364</v>
      </c>
      <c r="E233" s="151">
        <v>359</v>
      </c>
      <c r="F233" s="68">
        <v>45810</v>
      </c>
      <c r="G233" s="101">
        <v>46825</v>
      </c>
      <c r="H233" s="100">
        <f t="shared" si="168"/>
        <v>1015</v>
      </c>
      <c r="I233" s="72">
        <f t="shared" si="169"/>
        <v>33.369863013698634</v>
      </c>
      <c r="J233" s="95"/>
    </row>
    <row r="234" spans="1:10" ht="12" customHeight="1" x14ac:dyDescent="0.2">
      <c r="A234" s="69" t="s">
        <v>192</v>
      </c>
      <c r="B234" s="128" t="s">
        <v>148</v>
      </c>
      <c r="C234" s="140">
        <v>64941354</v>
      </c>
      <c r="D234" s="140" t="s">
        <v>365</v>
      </c>
      <c r="E234" s="151">
        <v>190</v>
      </c>
      <c r="F234" s="68">
        <v>45810</v>
      </c>
      <c r="G234" s="101">
        <v>46829</v>
      </c>
      <c r="H234" s="100">
        <f t="shared" si="168"/>
        <v>1019</v>
      </c>
      <c r="I234" s="72">
        <f t="shared" si="169"/>
        <v>33.5013698630137</v>
      </c>
      <c r="J234" s="95"/>
    </row>
    <row r="235" spans="1:10" ht="12" customHeight="1" x14ac:dyDescent="0.2">
      <c r="A235" s="69" t="s">
        <v>192</v>
      </c>
      <c r="B235" s="128" t="s">
        <v>148</v>
      </c>
      <c r="C235" s="140">
        <v>64941356</v>
      </c>
      <c r="D235" s="140" t="s">
        <v>366</v>
      </c>
      <c r="E235" s="151">
        <v>499</v>
      </c>
      <c r="F235" s="68">
        <v>45810</v>
      </c>
      <c r="G235" s="101">
        <v>46872</v>
      </c>
      <c r="H235" s="100">
        <f t="shared" si="168"/>
        <v>1062</v>
      </c>
      <c r="I235" s="72">
        <f t="shared" si="169"/>
        <v>34.915068493150685</v>
      </c>
      <c r="J235" s="95"/>
    </row>
    <row r="236" spans="1:10" ht="12" customHeight="1" x14ac:dyDescent="0.2">
      <c r="A236" s="69" t="s">
        <v>192</v>
      </c>
      <c r="B236" s="128" t="s">
        <v>148</v>
      </c>
      <c r="C236" s="140">
        <v>64941359</v>
      </c>
      <c r="D236" s="140" t="s">
        <v>305</v>
      </c>
      <c r="E236" s="151">
        <v>38</v>
      </c>
      <c r="F236" s="68">
        <v>45810</v>
      </c>
      <c r="G236" s="101">
        <v>46830</v>
      </c>
      <c r="H236" s="100">
        <f t="shared" si="168"/>
        <v>1020</v>
      </c>
      <c r="I236" s="72">
        <f t="shared" si="169"/>
        <v>33.534246575342465</v>
      </c>
      <c r="J236" s="95"/>
    </row>
    <row r="237" spans="1:10" ht="12" customHeight="1" x14ac:dyDescent="0.2">
      <c r="A237" s="69" t="s">
        <v>192</v>
      </c>
      <c r="B237" s="128" t="s">
        <v>148</v>
      </c>
      <c r="C237" s="140">
        <v>64941271</v>
      </c>
      <c r="D237" s="140" t="s">
        <v>306</v>
      </c>
      <c r="E237" s="151">
        <v>39</v>
      </c>
      <c r="F237" s="68">
        <v>45810</v>
      </c>
      <c r="G237" s="101">
        <v>46320</v>
      </c>
      <c r="H237" s="100">
        <f t="shared" si="168"/>
        <v>510</v>
      </c>
      <c r="I237" s="72">
        <f t="shared" si="169"/>
        <v>16.767123287671232</v>
      </c>
      <c r="J237" s="95"/>
    </row>
    <row r="238" spans="1:10" ht="12" customHeight="1" x14ac:dyDescent="0.2">
      <c r="A238" s="69" t="s">
        <v>192</v>
      </c>
      <c r="B238" s="128" t="s">
        <v>148</v>
      </c>
      <c r="C238" s="140">
        <v>64941271</v>
      </c>
      <c r="D238" s="140" t="s">
        <v>306</v>
      </c>
      <c r="E238" s="151">
        <v>6</v>
      </c>
      <c r="F238" s="68">
        <v>45810</v>
      </c>
      <c r="G238" s="101">
        <v>46157</v>
      </c>
      <c r="H238" s="100">
        <f t="shared" si="168"/>
        <v>347</v>
      </c>
      <c r="I238" s="72">
        <f t="shared" si="169"/>
        <v>11.408219178082192</v>
      </c>
      <c r="J238" s="95"/>
    </row>
    <row r="239" spans="1:10" ht="12" customHeight="1" x14ac:dyDescent="0.2">
      <c r="A239" s="69" t="s">
        <v>192</v>
      </c>
      <c r="B239" s="128" t="s">
        <v>148</v>
      </c>
      <c r="C239" s="140">
        <v>64941271</v>
      </c>
      <c r="D239" s="140" t="s">
        <v>306</v>
      </c>
      <c r="E239" s="151">
        <v>6</v>
      </c>
      <c r="F239" s="68">
        <v>45810</v>
      </c>
      <c r="G239" s="101">
        <v>46208</v>
      </c>
      <c r="H239" s="100">
        <f t="shared" ref="H239:H252" si="170">G239-F239</f>
        <v>398</v>
      </c>
      <c r="I239" s="72">
        <f t="shared" ref="I239:I252" si="171">H239/365*12</f>
        <v>13.084931506849315</v>
      </c>
      <c r="J239" s="95"/>
    </row>
    <row r="240" spans="1:10" ht="12" customHeight="1" x14ac:dyDescent="0.2">
      <c r="A240" s="69" t="s">
        <v>192</v>
      </c>
      <c r="B240" s="128" t="s">
        <v>148</v>
      </c>
      <c r="C240" s="140">
        <v>64941447</v>
      </c>
      <c r="D240" s="140" t="s">
        <v>307</v>
      </c>
      <c r="E240" s="151">
        <v>186</v>
      </c>
      <c r="F240" s="68">
        <v>45810</v>
      </c>
      <c r="G240" s="101">
        <v>46320</v>
      </c>
      <c r="H240" s="100">
        <f t="shared" si="170"/>
        <v>510</v>
      </c>
      <c r="I240" s="72">
        <f t="shared" si="171"/>
        <v>16.767123287671232</v>
      </c>
      <c r="J240" s="95"/>
    </row>
    <row r="241" spans="1:10" ht="12" customHeight="1" x14ac:dyDescent="0.2">
      <c r="A241" s="69" t="s">
        <v>192</v>
      </c>
      <c r="B241" s="128" t="s">
        <v>148</v>
      </c>
      <c r="C241" s="140">
        <v>64954869</v>
      </c>
      <c r="D241" s="140" t="s">
        <v>332</v>
      </c>
      <c r="E241" s="151">
        <v>51</v>
      </c>
      <c r="F241" s="68">
        <v>45810</v>
      </c>
      <c r="G241" s="101">
        <v>46442</v>
      </c>
      <c r="H241" s="100">
        <f t="shared" si="170"/>
        <v>632</v>
      </c>
      <c r="I241" s="72">
        <f t="shared" si="171"/>
        <v>20.778082191780822</v>
      </c>
      <c r="J241" s="95"/>
    </row>
    <row r="242" spans="1:10" ht="12" customHeight="1" x14ac:dyDescent="0.2">
      <c r="A242" s="69" t="s">
        <v>192</v>
      </c>
      <c r="B242" s="128" t="s">
        <v>148</v>
      </c>
      <c r="C242" s="140">
        <v>64930394</v>
      </c>
      <c r="D242" s="140" t="s">
        <v>209</v>
      </c>
      <c r="E242" s="151">
        <v>707</v>
      </c>
      <c r="F242" s="68">
        <v>45810</v>
      </c>
      <c r="G242" s="101">
        <v>46380</v>
      </c>
      <c r="H242" s="100">
        <f t="shared" si="170"/>
        <v>570</v>
      </c>
      <c r="I242" s="72">
        <f t="shared" si="171"/>
        <v>18.739726027397261</v>
      </c>
      <c r="J242" s="95"/>
    </row>
    <row r="243" spans="1:10" ht="12" customHeight="1" x14ac:dyDescent="0.2">
      <c r="A243" s="69" t="s">
        <v>192</v>
      </c>
      <c r="B243" s="128" t="s">
        <v>148</v>
      </c>
      <c r="C243" s="140">
        <v>64941407</v>
      </c>
      <c r="D243" s="140" t="s">
        <v>308</v>
      </c>
      <c r="E243" s="151">
        <v>75</v>
      </c>
      <c r="F243" s="68">
        <v>45810</v>
      </c>
      <c r="G243" s="101">
        <v>46524</v>
      </c>
      <c r="H243" s="100">
        <f t="shared" si="170"/>
        <v>714</v>
      </c>
      <c r="I243" s="72">
        <f t="shared" si="171"/>
        <v>23.473972602739725</v>
      </c>
      <c r="J243" s="95"/>
    </row>
    <row r="244" spans="1:10" ht="12" customHeight="1" x14ac:dyDescent="0.2">
      <c r="A244" s="69" t="s">
        <v>192</v>
      </c>
      <c r="B244" s="128" t="s">
        <v>148</v>
      </c>
      <c r="C244" s="140">
        <v>64941411</v>
      </c>
      <c r="D244" s="140" t="s">
        <v>309</v>
      </c>
      <c r="E244" s="151">
        <v>4944</v>
      </c>
      <c r="F244" s="68">
        <v>45810</v>
      </c>
      <c r="G244" s="101">
        <v>46534</v>
      </c>
      <c r="H244" s="100">
        <f t="shared" si="170"/>
        <v>724</v>
      </c>
      <c r="I244" s="72">
        <f t="shared" si="171"/>
        <v>23.802739726027397</v>
      </c>
      <c r="J244" s="95"/>
    </row>
    <row r="245" spans="1:10" ht="12" customHeight="1" x14ac:dyDescent="0.2">
      <c r="A245" s="69" t="s">
        <v>192</v>
      </c>
      <c r="B245" s="128" t="s">
        <v>148</v>
      </c>
      <c r="C245" s="140">
        <v>64933472</v>
      </c>
      <c r="D245" s="140" t="s">
        <v>452</v>
      </c>
      <c r="E245" s="151">
        <v>6027</v>
      </c>
      <c r="F245" s="68">
        <v>45810</v>
      </c>
      <c r="G245" s="101">
        <v>46535</v>
      </c>
      <c r="H245" s="100">
        <f t="shared" si="170"/>
        <v>725</v>
      </c>
      <c r="I245" s="72">
        <f t="shared" si="171"/>
        <v>23.835616438356162</v>
      </c>
      <c r="J245" s="95"/>
    </row>
    <row r="246" spans="1:10" ht="12" customHeight="1" x14ac:dyDescent="0.2">
      <c r="A246" s="69" t="s">
        <v>192</v>
      </c>
      <c r="B246" s="128" t="s">
        <v>148</v>
      </c>
      <c r="C246" s="170">
        <v>64941292</v>
      </c>
      <c r="D246" s="170" t="s">
        <v>310</v>
      </c>
      <c r="E246" s="151">
        <v>4199</v>
      </c>
      <c r="F246" s="68">
        <v>45810</v>
      </c>
      <c r="G246" s="173">
        <v>46532</v>
      </c>
      <c r="H246" s="100">
        <f t="shared" si="170"/>
        <v>722</v>
      </c>
      <c r="I246" s="72">
        <f t="shared" si="171"/>
        <v>23.736986301369864</v>
      </c>
      <c r="J246" s="95"/>
    </row>
    <row r="247" spans="1:10" ht="12" customHeight="1" x14ac:dyDescent="0.2">
      <c r="A247" s="69" t="s">
        <v>192</v>
      </c>
      <c r="B247" s="128" t="s">
        <v>148</v>
      </c>
      <c r="C247" s="170">
        <v>64941469</v>
      </c>
      <c r="D247" s="170" t="s">
        <v>411</v>
      </c>
      <c r="E247" s="151">
        <v>7109</v>
      </c>
      <c r="F247" s="68">
        <v>45810</v>
      </c>
      <c r="G247" s="173">
        <v>46525</v>
      </c>
      <c r="H247" s="100">
        <f t="shared" si="170"/>
        <v>715</v>
      </c>
      <c r="I247" s="72">
        <f t="shared" si="171"/>
        <v>23.506849315068493</v>
      </c>
      <c r="J247" s="95"/>
    </row>
    <row r="248" spans="1:10" ht="12" customHeight="1" x14ac:dyDescent="0.2">
      <c r="A248" s="69" t="s">
        <v>192</v>
      </c>
      <c r="B248" s="128" t="s">
        <v>148</v>
      </c>
      <c r="C248" s="170">
        <v>64947044</v>
      </c>
      <c r="D248" s="170" t="s">
        <v>453</v>
      </c>
      <c r="E248" s="151">
        <v>96</v>
      </c>
      <c r="F248" s="68">
        <v>45810</v>
      </c>
      <c r="G248" s="173">
        <v>46525</v>
      </c>
      <c r="H248" s="100">
        <f t="shared" si="170"/>
        <v>715</v>
      </c>
      <c r="I248" s="72">
        <f t="shared" si="171"/>
        <v>23.506849315068493</v>
      </c>
      <c r="J248" s="95"/>
    </row>
    <row r="249" spans="1:10" ht="12" customHeight="1" x14ac:dyDescent="0.2">
      <c r="A249" s="69" t="s">
        <v>192</v>
      </c>
      <c r="B249" s="128" t="s">
        <v>148</v>
      </c>
      <c r="C249" s="170">
        <v>64947043</v>
      </c>
      <c r="D249" s="170" t="s">
        <v>311</v>
      </c>
      <c r="E249" s="151">
        <v>1</v>
      </c>
      <c r="F249" s="68">
        <v>45810</v>
      </c>
      <c r="G249" s="173">
        <v>46437</v>
      </c>
      <c r="H249" s="100">
        <f t="shared" si="170"/>
        <v>627</v>
      </c>
      <c r="I249" s="72">
        <f t="shared" si="171"/>
        <v>20.613698630136987</v>
      </c>
      <c r="J249" s="95"/>
    </row>
    <row r="250" spans="1:10" ht="12" customHeight="1" x14ac:dyDescent="0.2">
      <c r="A250" s="69" t="s">
        <v>192</v>
      </c>
      <c r="B250" s="128" t="s">
        <v>148</v>
      </c>
      <c r="C250" s="170">
        <v>64951953</v>
      </c>
      <c r="D250" s="170" t="s">
        <v>367</v>
      </c>
      <c r="E250" s="151">
        <v>3465</v>
      </c>
      <c r="F250" s="68">
        <v>45810</v>
      </c>
      <c r="G250" s="173">
        <v>46534</v>
      </c>
      <c r="H250" s="100">
        <f t="shared" si="170"/>
        <v>724</v>
      </c>
      <c r="I250" s="72">
        <f t="shared" si="171"/>
        <v>23.802739726027397</v>
      </c>
      <c r="J250" s="95"/>
    </row>
    <row r="251" spans="1:10" ht="12" customHeight="1" x14ac:dyDescent="0.2">
      <c r="A251" s="69" t="s">
        <v>192</v>
      </c>
      <c r="B251" s="128" t="s">
        <v>148</v>
      </c>
      <c r="C251" s="170">
        <v>64941421</v>
      </c>
      <c r="D251" s="170" t="s">
        <v>312</v>
      </c>
      <c r="E251" s="151">
        <v>602</v>
      </c>
      <c r="F251" s="68">
        <v>45810</v>
      </c>
      <c r="G251" s="173">
        <v>46484</v>
      </c>
      <c r="H251" s="100">
        <f t="shared" si="170"/>
        <v>674</v>
      </c>
      <c r="I251" s="72">
        <f t="shared" si="171"/>
        <v>22.158904109589042</v>
      </c>
      <c r="J251" s="95"/>
    </row>
    <row r="252" spans="1:10" ht="12" customHeight="1" x14ac:dyDescent="0.2">
      <c r="A252" s="69" t="s">
        <v>192</v>
      </c>
      <c r="B252" s="128" t="s">
        <v>148</v>
      </c>
      <c r="C252" s="170">
        <v>64941428</v>
      </c>
      <c r="D252" s="170" t="s">
        <v>368</v>
      </c>
      <c r="E252" s="151">
        <v>5683</v>
      </c>
      <c r="F252" s="68">
        <v>45810</v>
      </c>
      <c r="G252" s="173">
        <v>46433</v>
      </c>
      <c r="H252" s="100">
        <f t="shared" si="170"/>
        <v>623</v>
      </c>
      <c r="I252" s="72">
        <f t="shared" si="171"/>
        <v>20.482191780821918</v>
      </c>
      <c r="J252" s="95"/>
    </row>
  </sheetData>
  <autoFilter ref="A5:K227" xr:uid="{00000000-0001-0000-0000-000000000000}">
    <filterColumn colId="0">
      <iconFilter iconSet="3Arrows"/>
    </filterColumn>
  </autoFilter>
  <sortState xmlns:xlrd2="http://schemas.microsoft.com/office/spreadsheetml/2017/richdata2" ref="C9:M62">
    <sortCondition ref="D5"/>
  </sortState>
  <phoneticPr fontId="17" type="noConversion"/>
  <conditionalFormatting sqref="J5:J252">
    <cfRule type="expression" dxfId="23" priority="1" stopIfTrue="1">
      <formula>AND(I5&lt;9,I5&gt;=6)</formula>
    </cfRule>
    <cfRule type="expression" dxfId="22" priority="2" stopIfTrue="1">
      <formula>I5&lt;6</formula>
    </cfRule>
    <cfRule type="expression" dxfId="21" priority="3" stopIfTrue="1">
      <formula>I5&gt;9</formula>
    </cfRule>
  </conditionalFormatting>
  <pageMargins left="0.17" right="0.25" top="0.5" bottom="0.17" header="0.17" footer="0.17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V24"/>
  <sheetViews>
    <sheetView workbookViewId="0">
      <pane ySplit="5" topLeftCell="A6" activePane="bottomLeft" state="frozen"/>
      <selection pane="bottomLeft" activeCell="H32" sqref="H32"/>
    </sheetView>
  </sheetViews>
  <sheetFormatPr defaultRowHeight="12.75" x14ac:dyDescent="0.2"/>
  <cols>
    <col min="1" max="1" width="5.140625" style="57" bestFit="1" customWidth="1"/>
    <col min="2" max="2" width="16" style="57" bestFit="1" customWidth="1"/>
    <col min="3" max="3" width="10.140625" style="63" bestFit="1" customWidth="1"/>
    <col min="4" max="4" width="35.140625" style="57" bestFit="1" customWidth="1"/>
    <col min="5" max="5" width="12.7109375" style="132" bestFit="1" customWidth="1"/>
    <col min="6" max="6" width="13.42578125" style="63" bestFit="1" customWidth="1"/>
    <col min="7" max="7" width="13.85546875" style="63" bestFit="1" customWidth="1"/>
    <col min="8" max="8" width="10.28515625" style="63" bestFit="1" customWidth="1"/>
    <col min="9" max="9" width="11" style="63" bestFit="1" customWidth="1"/>
    <col min="10" max="10" width="13.5703125" style="63" customWidth="1"/>
    <col min="11" max="11" width="20.5703125" style="57" customWidth="1"/>
    <col min="12" max="16384" width="9.140625" style="85"/>
  </cols>
  <sheetData>
    <row r="2" spans="1:22" x14ac:dyDescent="0.2">
      <c r="D2" s="48" t="s">
        <v>193</v>
      </c>
      <c r="E2" s="102"/>
      <c r="G2" s="83" t="s">
        <v>7</v>
      </c>
      <c r="H2" s="78"/>
      <c r="I2" s="84"/>
    </row>
    <row r="3" spans="1:22" x14ac:dyDescent="0.2">
      <c r="D3" s="64">
        <v>45810</v>
      </c>
      <c r="E3" s="102"/>
      <c r="G3" s="83" t="s">
        <v>8</v>
      </c>
      <c r="H3" s="80"/>
      <c r="I3" s="84"/>
    </row>
    <row r="4" spans="1:22" x14ac:dyDescent="0.2">
      <c r="E4" s="102"/>
      <c r="G4" s="86" t="s">
        <v>75</v>
      </c>
      <c r="H4" s="82"/>
      <c r="I4" s="84"/>
    </row>
    <row r="5" spans="1:22" s="87" customFormat="1" ht="21" customHeight="1" x14ac:dyDescent="0.2">
      <c r="A5" s="58" t="s">
        <v>119</v>
      </c>
      <c r="B5" s="58" t="s">
        <v>120</v>
      </c>
      <c r="C5" s="58" t="s">
        <v>1</v>
      </c>
      <c r="D5" s="58" t="s">
        <v>2</v>
      </c>
      <c r="E5" s="54" t="s">
        <v>121</v>
      </c>
      <c r="F5" s="58" t="s">
        <v>4</v>
      </c>
      <c r="G5" s="58" t="s">
        <v>76</v>
      </c>
      <c r="H5" s="58" t="s">
        <v>5</v>
      </c>
      <c r="I5" s="59" t="s">
        <v>6</v>
      </c>
      <c r="J5" s="60" t="s">
        <v>114</v>
      </c>
      <c r="K5" s="53" t="s">
        <v>113</v>
      </c>
    </row>
    <row r="6" spans="1:22" s="149" customFormat="1" x14ac:dyDescent="0.2">
      <c r="A6" s="69" t="s">
        <v>192</v>
      </c>
      <c r="B6" s="128" t="s">
        <v>148</v>
      </c>
      <c r="C6" s="156">
        <v>64994213</v>
      </c>
      <c r="D6" s="156" t="s">
        <v>418</v>
      </c>
      <c r="E6" s="154">
        <v>91</v>
      </c>
      <c r="F6" s="74">
        <v>45810</v>
      </c>
      <c r="G6" s="74">
        <v>46054</v>
      </c>
      <c r="H6" s="100">
        <f t="shared" ref="H6:H8" si="0">G6-F6</f>
        <v>244</v>
      </c>
      <c r="I6" s="72">
        <f t="shared" ref="I6:I8" si="1">H6/365*12</f>
        <v>8.0219178082191789</v>
      </c>
      <c r="J6" s="147"/>
      <c r="K6" s="148"/>
    </row>
    <row r="7" spans="1:22" s="149" customFormat="1" x14ac:dyDescent="0.2">
      <c r="A7" s="69" t="s">
        <v>192</v>
      </c>
      <c r="B7" s="128" t="s">
        <v>148</v>
      </c>
      <c r="C7" s="156">
        <v>64994213</v>
      </c>
      <c r="D7" s="156" t="s">
        <v>418</v>
      </c>
      <c r="E7" s="154">
        <v>15</v>
      </c>
      <c r="F7" s="74">
        <v>45810</v>
      </c>
      <c r="G7" s="74">
        <v>46057</v>
      </c>
      <c r="H7" s="100">
        <f t="shared" ref="H7" si="2">G7-F7</f>
        <v>247</v>
      </c>
      <c r="I7" s="72">
        <f t="shared" ref="I7" si="3">H7/365*12</f>
        <v>8.1205479452054803</v>
      </c>
      <c r="J7" s="147"/>
      <c r="K7" s="148"/>
    </row>
    <row r="8" spans="1:22" x14ac:dyDescent="0.2">
      <c r="A8" s="69" t="s">
        <v>192</v>
      </c>
      <c r="B8" s="128" t="s">
        <v>148</v>
      </c>
      <c r="C8" s="140">
        <v>64941432</v>
      </c>
      <c r="D8" s="140" t="s">
        <v>386</v>
      </c>
      <c r="E8" s="151">
        <v>183</v>
      </c>
      <c r="F8" s="74">
        <v>45810</v>
      </c>
      <c r="G8" s="74">
        <v>45950</v>
      </c>
      <c r="H8" s="100">
        <f t="shared" si="0"/>
        <v>140</v>
      </c>
      <c r="I8" s="72">
        <f t="shared" si="1"/>
        <v>4.602739726027397</v>
      </c>
      <c r="J8" s="80"/>
      <c r="K8" s="88"/>
    </row>
    <row r="9" spans="1:22" s="149" customFormat="1" x14ac:dyDescent="0.2">
      <c r="A9" s="69" t="s">
        <v>192</v>
      </c>
      <c r="B9" s="128" t="s">
        <v>148</v>
      </c>
      <c r="C9" s="140">
        <v>64941432</v>
      </c>
      <c r="D9" s="140" t="s">
        <v>386</v>
      </c>
      <c r="E9" s="154">
        <v>131</v>
      </c>
      <c r="F9" s="74">
        <v>45810</v>
      </c>
      <c r="G9" s="74">
        <v>45949</v>
      </c>
      <c r="H9" s="100">
        <f t="shared" ref="H9:H23" si="4">G9-F9</f>
        <v>139</v>
      </c>
      <c r="I9" s="72">
        <f t="shared" ref="I9:I23" si="5">H9/365*12</f>
        <v>4.5698630136986296</v>
      </c>
      <c r="J9" s="80"/>
      <c r="K9" s="148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</row>
    <row r="10" spans="1:22" s="149" customFormat="1" x14ac:dyDescent="0.2">
      <c r="A10" s="69" t="s">
        <v>192</v>
      </c>
      <c r="B10" s="128" t="s">
        <v>148</v>
      </c>
      <c r="C10" s="140">
        <v>64941432</v>
      </c>
      <c r="D10" s="140" t="s">
        <v>386</v>
      </c>
      <c r="E10" s="154">
        <v>22</v>
      </c>
      <c r="F10" s="74">
        <v>45810</v>
      </c>
      <c r="G10" s="74">
        <v>45948</v>
      </c>
      <c r="H10" s="100">
        <f t="shared" si="4"/>
        <v>138</v>
      </c>
      <c r="I10" s="72">
        <f t="shared" si="5"/>
        <v>4.536986301369863</v>
      </c>
      <c r="J10" s="80"/>
      <c r="K10" s="148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</row>
    <row r="11" spans="1:22" s="149" customFormat="1" x14ac:dyDescent="0.2">
      <c r="A11" s="69" t="s">
        <v>192</v>
      </c>
      <c r="B11" s="128" t="s">
        <v>148</v>
      </c>
      <c r="C11" s="140">
        <v>64941434</v>
      </c>
      <c r="D11" s="140" t="s">
        <v>385</v>
      </c>
      <c r="E11" s="151">
        <v>182</v>
      </c>
      <c r="F11" s="68">
        <v>45779</v>
      </c>
      <c r="G11" s="74">
        <v>45989</v>
      </c>
      <c r="H11" s="100">
        <f t="shared" si="4"/>
        <v>210</v>
      </c>
      <c r="I11" s="72">
        <f t="shared" si="5"/>
        <v>6.9041095890410951</v>
      </c>
      <c r="J11" s="80"/>
      <c r="K11" s="148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</row>
    <row r="12" spans="1:22" s="149" customFormat="1" x14ac:dyDescent="0.2">
      <c r="A12" s="69" t="s">
        <v>192</v>
      </c>
      <c r="B12" s="128" t="s">
        <v>148</v>
      </c>
      <c r="C12" s="140">
        <v>64941434</v>
      </c>
      <c r="D12" s="140" t="s">
        <v>385</v>
      </c>
      <c r="E12" s="154">
        <v>446</v>
      </c>
      <c r="F12" s="74">
        <v>45810</v>
      </c>
      <c r="G12" s="74">
        <v>45976</v>
      </c>
      <c r="H12" s="100">
        <f t="shared" si="4"/>
        <v>166</v>
      </c>
      <c r="I12" s="72">
        <f t="shared" si="5"/>
        <v>5.4575342465753423</v>
      </c>
      <c r="J12" s="80"/>
      <c r="K12" s="148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</row>
    <row r="13" spans="1:22" s="149" customFormat="1" x14ac:dyDescent="0.2">
      <c r="A13" s="69" t="s">
        <v>192</v>
      </c>
      <c r="B13" s="128" t="s">
        <v>148</v>
      </c>
      <c r="C13" s="140">
        <v>64941434</v>
      </c>
      <c r="D13" s="140" t="s">
        <v>385</v>
      </c>
      <c r="E13" s="154">
        <v>69</v>
      </c>
      <c r="F13" s="74">
        <v>45810</v>
      </c>
      <c r="G13" s="74">
        <v>45959</v>
      </c>
      <c r="H13" s="100">
        <f t="shared" si="4"/>
        <v>149</v>
      </c>
      <c r="I13" s="72">
        <f t="shared" si="5"/>
        <v>4.8986301369863012</v>
      </c>
      <c r="J13" s="80"/>
      <c r="K13" s="148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</row>
    <row r="14" spans="1:22" s="149" customFormat="1" x14ac:dyDescent="0.2">
      <c r="A14" s="69" t="s">
        <v>192</v>
      </c>
      <c r="B14" s="128" t="s">
        <v>148</v>
      </c>
      <c r="C14" s="140">
        <v>64941434</v>
      </c>
      <c r="D14" s="140" t="s">
        <v>385</v>
      </c>
      <c r="E14" s="154">
        <v>83</v>
      </c>
      <c r="F14" s="74">
        <v>45810</v>
      </c>
      <c r="G14" s="74">
        <v>45960</v>
      </c>
      <c r="H14" s="100">
        <f t="shared" si="4"/>
        <v>150</v>
      </c>
      <c r="I14" s="72">
        <f t="shared" si="5"/>
        <v>4.9315068493150687</v>
      </c>
      <c r="J14" s="80"/>
      <c r="K14" s="148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</row>
    <row r="15" spans="1:22" s="149" customFormat="1" x14ac:dyDescent="0.2">
      <c r="A15" s="69" t="s">
        <v>192</v>
      </c>
      <c r="B15" s="128" t="s">
        <v>148</v>
      </c>
      <c r="C15" s="140">
        <v>64941434</v>
      </c>
      <c r="D15" s="140" t="s">
        <v>385</v>
      </c>
      <c r="E15" s="154">
        <v>75</v>
      </c>
      <c r="F15" s="74">
        <v>45810</v>
      </c>
      <c r="G15" s="74">
        <v>45961</v>
      </c>
      <c r="H15" s="100">
        <f t="shared" si="4"/>
        <v>151</v>
      </c>
      <c r="I15" s="72">
        <f t="shared" si="5"/>
        <v>4.9643835616438361</v>
      </c>
      <c r="J15" s="80"/>
      <c r="K15" s="148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</row>
    <row r="16" spans="1:22" s="149" customFormat="1" x14ac:dyDescent="0.2">
      <c r="A16" s="69" t="s">
        <v>192</v>
      </c>
      <c r="B16" s="128" t="s">
        <v>148</v>
      </c>
      <c r="C16" s="140">
        <v>64941434</v>
      </c>
      <c r="D16" s="140" t="s">
        <v>385</v>
      </c>
      <c r="E16" s="154">
        <v>175</v>
      </c>
      <c r="F16" s="74">
        <v>45810</v>
      </c>
      <c r="G16" s="74">
        <v>45962</v>
      </c>
      <c r="H16" s="100">
        <f t="shared" si="4"/>
        <v>152</v>
      </c>
      <c r="I16" s="72">
        <f t="shared" si="5"/>
        <v>4.9972602739726026</v>
      </c>
      <c r="J16" s="80"/>
      <c r="K16" s="148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</row>
    <row r="17" spans="1:22" s="149" customFormat="1" x14ac:dyDescent="0.2">
      <c r="A17" s="69" t="s">
        <v>192</v>
      </c>
      <c r="B17" s="128" t="s">
        <v>148</v>
      </c>
      <c r="C17" s="140">
        <v>64941434</v>
      </c>
      <c r="D17" s="140" t="s">
        <v>385</v>
      </c>
      <c r="E17" s="154">
        <v>253</v>
      </c>
      <c r="F17" s="74">
        <v>45810</v>
      </c>
      <c r="G17" s="74">
        <v>45974</v>
      </c>
      <c r="H17" s="100">
        <f t="shared" si="4"/>
        <v>164</v>
      </c>
      <c r="I17" s="72">
        <f t="shared" si="5"/>
        <v>5.3917808219178083</v>
      </c>
      <c r="J17" s="80"/>
      <c r="K17" s="148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</row>
    <row r="18" spans="1:22" s="149" customFormat="1" x14ac:dyDescent="0.2">
      <c r="A18" s="69" t="s">
        <v>192</v>
      </c>
      <c r="B18" s="128" t="s">
        <v>148</v>
      </c>
      <c r="C18" s="140">
        <v>64941434</v>
      </c>
      <c r="D18" s="140" t="s">
        <v>385</v>
      </c>
      <c r="E18" s="154">
        <v>162</v>
      </c>
      <c r="F18" s="74">
        <v>45810</v>
      </c>
      <c r="G18" s="74">
        <v>45977</v>
      </c>
      <c r="H18" s="100">
        <f t="shared" si="4"/>
        <v>167</v>
      </c>
      <c r="I18" s="72">
        <f t="shared" si="5"/>
        <v>5.4904109589041097</v>
      </c>
      <c r="J18" s="80"/>
      <c r="K18" s="148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</row>
    <row r="19" spans="1:22" s="149" customFormat="1" x14ac:dyDescent="0.2">
      <c r="A19" s="69" t="s">
        <v>192</v>
      </c>
      <c r="B19" s="128" t="s">
        <v>148</v>
      </c>
      <c r="C19" s="140">
        <v>64941434</v>
      </c>
      <c r="D19" s="140" t="s">
        <v>385</v>
      </c>
      <c r="E19" s="154">
        <v>121</v>
      </c>
      <c r="F19" s="74">
        <v>45810</v>
      </c>
      <c r="G19" s="74">
        <v>45985</v>
      </c>
      <c r="H19" s="100">
        <f t="shared" si="4"/>
        <v>175</v>
      </c>
      <c r="I19" s="72">
        <f t="shared" si="5"/>
        <v>5.7534246575342465</v>
      </c>
      <c r="J19" s="80"/>
      <c r="K19" s="148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</row>
    <row r="20" spans="1:22" s="149" customFormat="1" x14ac:dyDescent="0.2">
      <c r="A20" s="69" t="s">
        <v>192</v>
      </c>
      <c r="B20" s="128" t="s">
        <v>148</v>
      </c>
      <c r="C20" s="140">
        <v>64941434</v>
      </c>
      <c r="D20" s="140" t="s">
        <v>385</v>
      </c>
      <c r="E20" s="154">
        <v>168</v>
      </c>
      <c r="F20" s="74">
        <v>45810</v>
      </c>
      <c r="G20" s="74">
        <v>45984</v>
      </c>
      <c r="H20" s="100">
        <f t="shared" si="4"/>
        <v>174</v>
      </c>
      <c r="I20" s="72">
        <f t="shared" si="5"/>
        <v>5.720547945205479</v>
      </c>
      <c r="J20" s="80"/>
      <c r="K20" s="148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</row>
    <row r="21" spans="1:22" s="149" customFormat="1" x14ac:dyDescent="0.2">
      <c r="A21" s="69" t="s">
        <v>192</v>
      </c>
      <c r="B21" s="128" t="s">
        <v>148</v>
      </c>
      <c r="C21" s="140">
        <v>64941434</v>
      </c>
      <c r="D21" s="140" t="s">
        <v>385</v>
      </c>
      <c r="E21" s="154">
        <v>364</v>
      </c>
      <c r="F21" s="74">
        <v>45810</v>
      </c>
      <c r="G21" s="74">
        <v>45988</v>
      </c>
      <c r="H21" s="100">
        <f t="shared" si="4"/>
        <v>178</v>
      </c>
      <c r="I21" s="72">
        <f t="shared" si="5"/>
        <v>5.8520547945205479</v>
      </c>
      <c r="J21" s="80"/>
      <c r="K21" s="148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</row>
    <row r="22" spans="1:22" s="149" customFormat="1" x14ac:dyDescent="0.2">
      <c r="A22" s="69" t="s">
        <v>192</v>
      </c>
      <c r="B22" s="128" t="s">
        <v>148</v>
      </c>
      <c r="C22" s="140">
        <v>64941434</v>
      </c>
      <c r="D22" s="140" t="s">
        <v>385</v>
      </c>
      <c r="E22" s="154">
        <v>273</v>
      </c>
      <c r="F22" s="74">
        <v>45810</v>
      </c>
      <c r="G22" s="74">
        <v>45975</v>
      </c>
      <c r="H22" s="100">
        <f t="shared" si="4"/>
        <v>165</v>
      </c>
      <c r="I22" s="72">
        <f t="shared" si="5"/>
        <v>5.4246575342465748</v>
      </c>
      <c r="J22" s="80"/>
      <c r="K22" s="148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</row>
    <row r="23" spans="1:22" s="149" customFormat="1" x14ac:dyDescent="0.2">
      <c r="A23" s="69" t="s">
        <v>192</v>
      </c>
      <c r="B23" s="128" t="s">
        <v>148</v>
      </c>
      <c r="C23" s="140">
        <v>64941434</v>
      </c>
      <c r="D23" s="140" t="s">
        <v>385</v>
      </c>
      <c r="E23" s="154">
        <v>42</v>
      </c>
      <c r="F23" s="74">
        <v>45810</v>
      </c>
      <c r="G23" s="74">
        <v>45963</v>
      </c>
      <c r="H23" s="100">
        <f t="shared" si="4"/>
        <v>153</v>
      </c>
      <c r="I23" s="72">
        <f t="shared" si="5"/>
        <v>5.0301369863013701</v>
      </c>
      <c r="J23" s="80"/>
      <c r="K23" s="148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</row>
    <row r="24" spans="1:22" s="149" customFormat="1" x14ac:dyDescent="0.2">
      <c r="A24" s="69" t="s">
        <v>192</v>
      </c>
      <c r="B24" s="128" t="s">
        <v>148</v>
      </c>
      <c r="C24" s="140">
        <v>64941434</v>
      </c>
      <c r="D24" s="140" t="s">
        <v>385</v>
      </c>
      <c r="E24" s="154">
        <v>184</v>
      </c>
      <c r="F24" s="74">
        <v>45810</v>
      </c>
      <c r="G24" s="74">
        <v>45987</v>
      </c>
      <c r="H24" s="100">
        <f t="shared" ref="H24" si="6">G24-F24</f>
        <v>177</v>
      </c>
      <c r="I24" s="72">
        <f t="shared" ref="I24" si="7">H24/365*12</f>
        <v>5.8191780821917813</v>
      </c>
      <c r="J24" s="80"/>
      <c r="K24" s="148"/>
    </row>
  </sheetData>
  <phoneticPr fontId="17" type="noConversion"/>
  <pageMargins left="0.7" right="0.7" top="0.5" bottom="0.75" header="0.3" footer="0.3"/>
  <pageSetup paperSize="9" scale="8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11"/>
  <sheetViews>
    <sheetView workbookViewId="0">
      <pane ySplit="5" topLeftCell="A6" activePane="bottomLeft" state="frozen"/>
      <selection pane="bottomLeft" activeCell="A7" sqref="A7:XFD7"/>
    </sheetView>
  </sheetViews>
  <sheetFormatPr defaultColWidth="9.140625" defaultRowHeight="12" customHeight="1" x14ac:dyDescent="0.2"/>
  <cols>
    <col min="1" max="1" width="5" style="46" bestFit="1" customWidth="1"/>
    <col min="2" max="2" width="16.28515625" style="46" bestFit="1" customWidth="1"/>
    <col min="3" max="3" width="10.7109375" style="50" bestFit="1" customWidth="1"/>
    <col min="4" max="4" width="40.7109375" style="134" bestFit="1" customWidth="1"/>
    <col min="5" max="5" width="12.42578125" style="104" bestFit="1" customWidth="1"/>
    <col min="6" max="6" width="13.28515625" style="46" bestFit="1" customWidth="1"/>
    <col min="7" max="7" width="16.28515625" style="50" bestFit="1" customWidth="1"/>
    <col min="8" max="8" width="10.42578125" style="46" customWidth="1"/>
    <col min="9" max="9" width="10.85546875" style="46" bestFit="1" customWidth="1"/>
    <col min="10" max="10" width="11.140625" style="46" customWidth="1"/>
    <col min="11" max="11" width="22.140625" style="50" customWidth="1"/>
    <col min="12" max="12" width="9.140625" style="50" customWidth="1"/>
    <col min="13" max="16382" width="9.140625" style="46"/>
    <col min="16383" max="16384" width="10.5703125" style="46" customWidth="1"/>
  </cols>
  <sheetData>
    <row r="2" spans="1:11" s="56" customFormat="1" ht="12" customHeight="1" x14ac:dyDescent="0.2">
      <c r="A2" s="76"/>
      <c r="B2" s="76"/>
      <c r="C2" s="47"/>
      <c r="D2" s="99" t="s">
        <v>193</v>
      </c>
      <c r="E2" s="102"/>
      <c r="F2" s="48"/>
      <c r="G2" s="77" t="s">
        <v>117</v>
      </c>
      <c r="H2" s="91"/>
      <c r="I2" s="79"/>
      <c r="J2" s="48"/>
    </row>
    <row r="3" spans="1:11" s="56" customFormat="1" ht="12" customHeight="1" x14ac:dyDescent="0.2">
      <c r="A3" s="76"/>
      <c r="B3" s="76"/>
      <c r="C3" s="47"/>
      <c r="D3" s="64">
        <v>45810</v>
      </c>
      <c r="E3" s="102"/>
      <c r="F3" s="51"/>
      <c r="G3" s="77" t="s">
        <v>116</v>
      </c>
      <c r="H3" s="92"/>
      <c r="I3" s="79"/>
      <c r="J3" s="48"/>
    </row>
    <row r="4" spans="1:11" s="56" customFormat="1" ht="12" customHeight="1" x14ac:dyDescent="0.2">
      <c r="A4" s="76"/>
      <c r="B4" s="76"/>
      <c r="C4" s="47"/>
      <c r="D4" s="96"/>
      <c r="E4" s="103"/>
      <c r="F4" s="76"/>
      <c r="G4" s="81" t="s">
        <v>115</v>
      </c>
      <c r="H4" s="93"/>
      <c r="I4" s="79"/>
      <c r="J4" s="48"/>
    </row>
    <row r="5" spans="1:11" s="56" customFormat="1" ht="18" customHeight="1" x14ac:dyDescent="0.2">
      <c r="A5" s="52" t="s">
        <v>119</v>
      </c>
      <c r="B5" s="52" t="s">
        <v>120</v>
      </c>
      <c r="C5" s="53" t="s">
        <v>1</v>
      </c>
      <c r="D5" s="133" t="s">
        <v>2</v>
      </c>
      <c r="E5" s="54" t="s">
        <v>118</v>
      </c>
      <c r="F5" s="53" t="s">
        <v>4</v>
      </c>
      <c r="G5" s="53" t="s">
        <v>76</v>
      </c>
      <c r="H5" s="53" t="s">
        <v>5</v>
      </c>
      <c r="I5" s="55" t="s">
        <v>6</v>
      </c>
      <c r="J5" s="53" t="s">
        <v>114</v>
      </c>
      <c r="K5" s="53" t="s">
        <v>113</v>
      </c>
    </row>
    <row r="6" spans="1:11" ht="12" customHeight="1" x14ac:dyDescent="0.2">
      <c r="A6" s="73" t="s">
        <v>192</v>
      </c>
      <c r="B6" s="73" t="s">
        <v>175</v>
      </c>
      <c r="C6" s="140">
        <v>64941152</v>
      </c>
      <c r="D6" s="140" t="s">
        <v>334</v>
      </c>
      <c r="E6" s="141">
        <v>2</v>
      </c>
      <c r="F6" s="74">
        <v>45810</v>
      </c>
      <c r="G6" s="174">
        <v>46570</v>
      </c>
      <c r="H6" s="144">
        <f t="shared" ref="H6:H7" si="0">G6-F6</f>
        <v>760</v>
      </c>
      <c r="I6" s="138">
        <f t="shared" ref="I6:I7" si="1">H6/365*12</f>
        <v>24.986301369863014</v>
      </c>
      <c r="J6" s="95"/>
      <c r="K6" s="150"/>
    </row>
    <row r="7" spans="1:11" ht="12" customHeight="1" x14ac:dyDescent="0.2">
      <c r="A7" s="73" t="s">
        <v>192</v>
      </c>
      <c r="B7" s="73" t="s">
        <v>175</v>
      </c>
      <c r="C7" s="140">
        <v>64941595</v>
      </c>
      <c r="D7" s="140" t="s">
        <v>325</v>
      </c>
      <c r="E7" s="141">
        <v>2</v>
      </c>
      <c r="F7" s="74">
        <v>45810</v>
      </c>
      <c r="G7" s="174">
        <v>46348</v>
      </c>
      <c r="H7" s="144">
        <f t="shared" si="0"/>
        <v>538</v>
      </c>
      <c r="I7" s="138">
        <f t="shared" si="1"/>
        <v>17.68767123287671</v>
      </c>
      <c r="J7" s="95"/>
      <c r="K7" s="150"/>
    </row>
    <row r="8" spans="1:11" ht="12" customHeight="1" x14ac:dyDescent="0.2">
      <c r="A8" s="73" t="s">
        <v>192</v>
      </c>
      <c r="B8" s="73" t="s">
        <v>175</v>
      </c>
      <c r="C8" s="140">
        <v>64875321</v>
      </c>
      <c r="D8" s="140" t="s">
        <v>335</v>
      </c>
      <c r="E8" s="141">
        <v>10</v>
      </c>
      <c r="F8" s="74">
        <v>45810</v>
      </c>
      <c r="G8" s="174">
        <v>46379</v>
      </c>
      <c r="H8" s="144">
        <f t="shared" ref="H8:H9" si="2">G8-F8</f>
        <v>569</v>
      </c>
      <c r="I8" s="138">
        <f t="shared" ref="I8:I9" si="3">H8/365*12</f>
        <v>18.706849315068492</v>
      </c>
      <c r="J8" s="95"/>
      <c r="K8" s="150"/>
    </row>
    <row r="9" spans="1:11" ht="12" customHeight="1" x14ac:dyDescent="0.2">
      <c r="A9" s="73" t="s">
        <v>192</v>
      </c>
      <c r="B9" s="73" t="s">
        <v>175</v>
      </c>
      <c r="C9" s="140">
        <v>64941231</v>
      </c>
      <c r="D9" s="140" t="s">
        <v>313</v>
      </c>
      <c r="E9" s="141">
        <v>2000</v>
      </c>
      <c r="F9" s="74">
        <v>45810</v>
      </c>
      <c r="G9" s="131">
        <v>46456</v>
      </c>
      <c r="H9" s="144">
        <f t="shared" si="2"/>
        <v>646</v>
      </c>
      <c r="I9" s="138">
        <f t="shared" si="3"/>
        <v>21.238356164383561</v>
      </c>
      <c r="J9" s="95"/>
      <c r="K9" s="150"/>
    </row>
    <row r="10" spans="1:11" ht="12" customHeight="1" x14ac:dyDescent="0.2">
      <c r="A10" s="73" t="s">
        <v>192</v>
      </c>
      <c r="B10" s="73" t="s">
        <v>175</v>
      </c>
      <c r="C10" s="140">
        <v>64856839</v>
      </c>
      <c r="D10" s="140" t="s">
        <v>205</v>
      </c>
      <c r="E10" s="141">
        <v>94</v>
      </c>
      <c r="F10" s="74">
        <v>45810</v>
      </c>
      <c r="G10" s="131">
        <v>46456</v>
      </c>
      <c r="H10" s="144">
        <f t="shared" ref="H10" si="4">G10-F10</f>
        <v>646</v>
      </c>
      <c r="I10" s="138">
        <f t="shared" ref="I10" si="5">H10/365*12</f>
        <v>21.238356164383561</v>
      </c>
      <c r="J10" s="95"/>
      <c r="K10" s="150"/>
    </row>
    <row r="11" spans="1:11" ht="12" customHeight="1" x14ac:dyDescent="0.2">
      <c r="A11" s="73" t="s">
        <v>192</v>
      </c>
      <c r="B11" s="73" t="s">
        <v>175</v>
      </c>
      <c r="C11" s="150">
        <v>64841581</v>
      </c>
      <c r="D11" s="171" t="s">
        <v>454</v>
      </c>
      <c r="E11" s="172">
        <v>24</v>
      </c>
      <c r="F11" s="74">
        <v>45810</v>
      </c>
      <c r="G11" s="176">
        <v>46456</v>
      </c>
      <c r="H11" s="144">
        <f t="shared" ref="H11" si="6">G11-F11</f>
        <v>646</v>
      </c>
      <c r="I11" s="138">
        <f t="shared" ref="I11" si="7">H11/365*12</f>
        <v>21.238356164383561</v>
      </c>
      <c r="J11" s="95"/>
      <c r="K11" s="150"/>
    </row>
  </sheetData>
  <phoneticPr fontId="17" type="noConversion"/>
  <conditionalFormatting sqref="J6:J11">
    <cfRule type="expression" dxfId="20" priority="10" stopIfTrue="1">
      <formula>AND(I6&lt;9,I6&gt;=6)</formula>
    </cfRule>
    <cfRule type="expression" dxfId="19" priority="11" stopIfTrue="1">
      <formula>I6&lt;6</formula>
    </cfRule>
    <cfRule type="expression" dxfId="18" priority="12" stopIfTrue="1">
      <formula>I6&gt;9</formula>
    </cfRule>
  </conditionalFormatting>
  <pageMargins left="0.17" right="0.25" top="0.17" bottom="0.17" header="0.17" footer="0.17"/>
  <pageSetup scale="7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A9FB-88BE-4398-AE2F-F277E3DD1E47}">
  <dimension ref="A1:K6"/>
  <sheetViews>
    <sheetView workbookViewId="0">
      <selection activeCell="G18" sqref="G18"/>
    </sheetView>
  </sheetViews>
  <sheetFormatPr defaultRowHeight="12.75" x14ac:dyDescent="0.2"/>
  <cols>
    <col min="2" max="2" width="15.5703125" bestFit="1" customWidth="1"/>
    <col min="4" max="4" width="40.7109375" bestFit="1" customWidth="1"/>
    <col min="5" max="5" width="12.42578125" style="152" bestFit="1" customWidth="1"/>
    <col min="7" max="7" width="16.28515625" bestFit="1" customWidth="1"/>
  </cols>
  <sheetData>
    <row r="1" spans="1:11" x14ac:dyDescent="0.2">
      <c r="A1" s="46"/>
      <c r="B1" s="46"/>
      <c r="C1" s="50"/>
      <c r="D1" s="134"/>
      <c r="E1" s="104"/>
      <c r="F1" s="46"/>
      <c r="G1" s="50"/>
      <c r="H1" s="46"/>
      <c r="I1" s="46"/>
      <c r="J1" s="46"/>
      <c r="K1" s="50"/>
    </row>
    <row r="2" spans="1:11" x14ac:dyDescent="0.2">
      <c r="A2" s="76"/>
      <c r="B2" s="76"/>
      <c r="C2" s="47"/>
      <c r="D2" s="99" t="s">
        <v>193</v>
      </c>
      <c r="E2" s="102"/>
      <c r="F2" s="48"/>
      <c r="G2" s="77" t="s">
        <v>117</v>
      </c>
      <c r="H2" s="91"/>
      <c r="I2" s="79"/>
      <c r="J2" s="48"/>
      <c r="K2" s="56"/>
    </row>
    <row r="3" spans="1:11" x14ac:dyDescent="0.2">
      <c r="A3" s="76"/>
      <c r="B3" s="76"/>
      <c r="C3" s="47"/>
      <c r="D3" s="64">
        <v>45810</v>
      </c>
      <c r="E3" s="102"/>
      <c r="F3" s="51"/>
      <c r="G3" s="77" t="s">
        <v>116</v>
      </c>
      <c r="H3" s="92"/>
      <c r="I3" s="79"/>
      <c r="J3" s="48"/>
      <c r="K3" s="56"/>
    </row>
    <row r="4" spans="1:11" x14ac:dyDescent="0.2">
      <c r="A4" s="76"/>
      <c r="B4" s="76"/>
      <c r="C4" s="47"/>
      <c r="D4" s="96"/>
      <c r="E4" s="103"/>
      <c r="F4" s="76"/>
      <c r="G4" s="81" t="s">
        <v>115</v>
      </c>
      <c r="H4" s="93"/>
      <c r="I4" s="79"/>
      <c r="J4" s="48"/>
      <c r="K4" s="56"/>
    </row>
    <row r="5" spans="1:11" ht="25.5" x14ac:dyDescent="0.2">
      <c r="A5" s="153" t="s">
        <v>119</v>
      </c>
      <c r="B5" s="153" t="s">
        <v>120</v>
      </c>
      <c r="C5" s="53" t="s">
        <v>1</v>
      </c>
      <c r="D5" s="133" t="s">
        <v>2</v>
      </c>
      <c r="E5" s="54" t="s">
        <v>118</v>
      </c>
      <c r="F5" s="53" t="s">
        <v>4</v>
      </c>
      <c r="G5" s="53" t="s">
        <v>76</v>
      </c>
      <c r="H5" s="53" t="s">
        <v>5</v>
      </c>
      <c r="I5" s="55" t="s">
        <v>6</v>
      </c>
      <c r="J5" s="53" t="s">
        <v>114</v>
      </c>
      <c r="K5" s="53" t="s">
        <v>113</v>
      </c>
    </row>
    <row r="6" spans="1:11" x14ac:dyDescent="0.2">
      <c r="A6" s="73" t="s">
        <v>192</v>
      </c>
      <c r="B6" s="73" t="s">
        <v>157</v>
      </c>
      <c r="C6" s="140">
        <v>62722532</v>
      </c>
      <c r="D6" s="140" t="s">
        <v>336</v>
      </c>
      <c r="E6" s="151">
        <v>34</v>
      </c>
      <c r="F6" s="74">
        <v>45810</v>
      </c>
      <c r="G6" s="174">
        <v>46203</v>
      </c>
      <c r="H6" s="144">
        <f t="shared" ref="H6" si="0">G6-F6</f>
        <v>393</v>
      </c>
      <c r="I6" s="138">
        <f t="shared" ref="I6" si="1">H6/365*12</f>
        <v>12.920547945205477</v>
      </c>
      <c r="J6" s="95"/>
      <c r="K6" s="73"/>
    </row>
  </sheetData>
  <conditionalFormatting sqref="J6">
    <cfRule type="expression" dxfId="17" priority="1" stopIfTrue="1">
      <formula>AND(I6&lt;9,I6&gt;=6)</formula>
    </cfRule>
    <cfRule type="expression" dxfId="16" priority="2" stopIfTrue="1">
      <formula>I6&lt;6</formula>
    </cfRule>
    <cfRule type="expression" dxfId="15" priority="3" stopIfTrue="1">
      <formula>I6&gt;9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2"/>
  <sheetViews>
    <sheetView workbookViewId="0">
      <pane ySplit="5" topLeftCell="A6" activePane="bottomLeft" state="frozen"/>
      <selection pane="bottomLeft" activeCell="G24" sqref="G24"/>
    </sheetView>
  </sheetViews>
  <sheetFormatPr defaultColWidth="9.140625" defaultRowHeight="12" customHeight="1" x14ac:dyDescent="0.2"/>
  <cols>
    <col min="1" max="1" width="5.140625" style="76" bestFit="1" customWidth="1"/>
    <col min="2" max="2" width="16" style="76" bestFit="1" customWidth="1"/>
    <col min="3" max="3" width="10.7109375" style="47" bestFit="1" customWidth="1"/>
    <col min="4" max="4" width="39.7109375" style="76" bestFit="1" customWidth="1"/>
    <col min="5" max="5" width="11.28515625" style="162" bestFit="1" customWidth="1"/>
    <col min="6" max="6" width="13.28515625" style="56" bestFit="1" customWidth="1"/>
    <col min="7" max="7" width="16.28515625" style="47" bestFit="1" customWidth="1"/>
    <col min="8" max="8" width="10.42578125" style="48" customWidth="1"/>
    <col min="9" max="9" width="10.85546875" style="76" bestFit="1" customWidth="1"/>
    <col min="10" max="10" width="11.140625" style="76" customWidth="1"/>
    <col min="11" max="11" width="22.140625" style="56" customWidth="1"/>
    <col min="12" max="12" width="9.140625" style="56" customWidth="1"/>
    <col min="13" max="16382" width="9.140625" style="76"/>
    <col min="16383" max="16384" width="17.5703125" style="76" customWidth="1"/>
  </cols>
  <sheetData>
    <row r="2" spans="1:15" s="56" customFormat="1" ht="12" customHeight="1" x14ac:dyDescent="0.2">
      <c r="A2" s="76"/>
      <c r="B2" s="76"/>
      <c r="C2" s="47"/>
      <c r="D2" s="48" t="s">
        <v>193</v>
      </c>
      <c r="E2" s="161"/>
      <c r="F2" s="47"/>
      <c r="G2" s="77" t="s">
        <v>117</v>
      </c>
      <c r="H2" s="91"/>
      <c r="I2" s="79"/>
      <c r="J2" s="48"/>
      <c r="M2" s="76"/>
      <c r="N2" s="76"/>
      <c r="O2" s="76"/>
    </row>
    <row r="3" spans="1:15" s="56" customFormat="1" ht="12" customHeight="1" x14ac:dyDescent="0.2">
      <c r="A3" s="76"/>
      <c r="B3" s="76"/>
      <c r="C3" s="47"/>
      <c r="D3" s="64">
        <v>45810</v>
      </c>
      <c r="E3" s="161"/>
      <c r="F3" s="62"/>
      <c r="G3" s="77" t="s">
        <v>116</v>
      </c>
      <c r="H3" s="92"/>
      <c r="I3" s="79"/>
      <c r="J3" s="48"/>
      <c r="M3" s="76"/>
      <c r="N3" s="76"/>
      <c r="O3" s="76"/>
    </row>
    <row r="4" spans="1:15" s="56" customFormat="1" ht="12" customHeight="1" x14ac:dyDescent="0.2">
      <c r="A4" s="76"/>
      <c r="B4" s="76"/>
      <c r="C4" s="47"/>
      <c r="D4" s="76"/>
      <c r="E4" s="162"/>
      <c r="G4" s="81" t="s">
        <v>115</v>
      </c>
      <c r="H4" s="93"/>
      <c r="I4" s="79"/>
      <c r="J4" s="48"/>
      <c r="M4" s="76"/>
      <c r="N4" s="76"/>
      <c r="O4" s="76"/>
    </row>
    <row r="5" spans="1:15" s="56" customFormat="1" ht="21" customHeight="1" x14ac:dyDescent="0.2">
      <c r="A5" s="52" t="s">
        <v>176</v>
      </c>
      <c r="B5" s="52" t="s">
        <v>120</v>
      </c>
      <c r="C5" s="53" t="s">
        <v>1</v>
      </c>
      <c r="D5" s="53" t="s">
        <v>2</v>
      </c>
      <c r="E5" s="163" t="s">
        <v>118</v>
      </c>
      <c r="F5" s="53" t="s">
        <v>4</v>
      </c>
      <c r="G5" s="53" t="s">
        <v>76</v>
      </c>
      <c r="H5" s="159" t="s">
        <v>5</v>
      </c>
      <c r="I5" s="55" t="s">
        <v>6</v>
      </c>
      <c r="J5" s="53" t="s">
        <v>114</v>
      </c>
      <c r="K5" s="168" t="s">
        <v>113</v>
      </c>
    </row>
    <row r="6" spans="1:15" s="143" customFormat="1" ht="12" customHeight="1" x14ac:dyDescent="0.2">
      <c r="A6" s="69" t="s">
        <v>192</v>
      </c>
      <c r="B6" s="128" t="s">
        <v>154</v>
      </c>
      <c r="C6" s="156">
        <v>64792193</v>
      </c>
      <c r="D6" s="156" t="s">
        <v>333</v>
      </c>
      <c r="E6" s="164">
        <v>1</v>
      </c>
      <c r="F6" s="68">
        <v>45810</v>
      </c>
      <c r="G6" s="174">
        <v>46021</v>
      </c>
      <c r="H6" s="160">
        <f t="shared" ref="H6" si="0">G6-F6</f>
        <v>211</v>
      </c>
      <c r="I6" s="72">
        <f t="shared" ref="I6" si="1">H6/365*12</f>
        <v>6.9369863013698625</v>
      </c>
      <c r="J6" s="95"/>
      <c r="K6" s="73"/>
      <c r="L6" s="142"/>
    </row>
    <row r="7" spans="1:15" ht="12" customHeight="1" x14ac:dyDescent="0.2">
      <c r="A7" s="69" t="s">
        <v>192</v>
      </c>
      <c r="B7" s="128" t="s">
        <v>154</v>
      </c>
      <c r="C7" s="155">
        <v>64947056</v>
      </c>
      <c r="D7" s="155" t="s">
        <v>246</v>
      </c>
      <c r="E7" s="165">
        <v>337</v>
      </c>
      <c r="F7" s="68">
        <v>45810</v>
      </c>
      <c r="G7" s="101">
        <v>45834</v>
      </c>
      <c r="H7" s="160">
        <f t="shared" ref="H7:H12" si="2">G7-F7</f>
        <v>24</v>
      </c>
      <c r="I7" s="72">
        <f t="shared" ref="I7:I9" si="3">H7/365*12</f>
        <v>0.78904109589041083</v>
      </c>
      <c r="J7" s="95"/>
      <c r="K7" s="73"/>
    </row>
    <row r="8" spans="1:15" ht="12" customHeight="1" x14ac:dyDescent="0.2">
      <c r="A8" s="73" t="s">
        <v>192</v>
      </c>
      <c r="B8" s="128" t="s">
        <v>154</v>
      </c>
      <c r="C8" s="140">
        <v>64941202</v>
      </c>
      <c r="D8" s="140" t="s">
        <v>273</v>
      </c>
      <c r="E8" s="166">
        <v>1096</v>
      </c>
      <c r="F8" s="68">
        <v>45810</v>
      </c>
      <c r="G8" s="101">
        <v>46052</v>
      </c>
      <c r="H8" s="144">
        <f t="shared" si="2"/>
        <v>242</v>
      </c>
      <c r="I8" s="138">
        <f t="shared" si="3"/>
        <v>7.956164383561644</v>
      </c>
      <c r="J8" s="95"/>
      <c r="K8" s="150"/>
    </row>
    <row r="9" spans="1:15" ht="12" customHeight="1" x14ac:dyDescent="0.2">
      <c r="A9" s="69" t="s">
        <v>192</v>
      </c>
      <c r="B9" s="128" t="s">
        <v>154</v>
      </c>
      <c r="C9" s="156">
        <v>64941447</v>
      </c>
      <c r="D9" s="156" t="s">
        <v>307</v>
      </c>
      <c r="E9" s="167">
        <v>1</v>
      </c>
      <c r="F9" s="68">
        <v>45810</v>
      </c>
      <c r="G9" s="101">
        <v>45953</v>
      </c>
      <c r="H9" s="144">
        <f t="shared" ref="H9" si="4">G9-F9</f>
        <v>143</v>
      </c>
      <c r="I9" s="72">
        <f t="shared" si="3"/>
        <v>4.7013698630136984</v>
      </c>
      <c r="J9" s="95"/>
      <c r="K9" s="169"/>
    </row>
    <row r="10" spans="1:15" ht="12" customHeight="1" x14ac:dyDescent="0.2">
      <c r="A10" s="69" t="s">
        <v>192</v>
      </c>
      <c r="B10" s="128" t="s">
        <v>154</v>
      </c>
      <c r="C10" s="156">
        <v>64941447</v>
      </c>
      <c r="D10" s="156" t="s">
        <v>307</v>
      </c>
      <c r="E10" s="167">
        <v>217</v>
      </c>
      <c r="F10" s="68">
        <v>45810</v>
      </c>
      <c r="G10" s="101">
        <v>46028</v>
      </c>
      <c r="H10" s="144">
        <f t="shared" si="2"/>
        <v>218</v>
      </c>
      <c r="I10" s="72">
        <f t="shared" ref="I10:I12" si="5">H10/365*12</f>
        <v>7.1671232876712327</v>
      </c>
      <c r="J10" s="95"/>
      <c r="K10" s="169"/>
    </row>
    <row r="11" spans="1:15" ht="12" customHeight="1" x14ac:dyDescent="0.2">
      <c r="A11" s="69" t="s">
        <v>192</v>
      </c>
      <c r="B11" s="128" t="s">
        <v>154</v>
      </c>
      <c r="C11" s="140">
        <v>64874260</v>
      </c>
      <c r="D11" s="140" t="s">
        <v>324</v>
      </c>
      <c r="E11" s="151">
        <v>1</v>
      </c>
      <c r="F11" s="68">
        <v>45810</v>
      </c>
      <c r="G11" s="74">
        <v>46081</v>
      </c>
      <c r="H11" s="100">
        <f t="shared" si="2"/>
        <v>271</v>
      </c>
      <c r="I11" s="72">
        <f t="shared" si="5"/>
        <v>8.9095890410958898</v>
      </c>
      <c r="J11" s="95"/>
      <c r="K11" s="169"/>
    </row>
    <row r="12" spans="1:15" ht="12" customHeight="1" x14ac:dyDescent="0.2">
      <c r="A12" s="73" t="s">
        <v>192</v>
      </c>
      <c r="B12" s="128" t="s">
        <v>154</v>
      </c>
      <c r="C12" s="140">
        <v>64874260</v>
      </c>
      <c r="D12" s="140" t="s">
        <v>324</v>
      </c>
      <c r="E12" s="141">
        <v>1</v>
      </c>
      <c r="F12" s="74">
        <v>45810</v>
      </c>
      <c r="G12" s="174">
        <v>46081</v>
      </c>
      <c r="H12" s="144">
        <f t="shared" si="2"/>
        <v>271</v>
      </c>
      <c r="I12" s="138">
        <f t="shared" si="5"/>
        <v>8.9095890410958898</v>
      </c>
      <c r="J12" s="95"/>
      <c r="K12" s="150"/>
    </row>
  </sheetData>
  <phoneticPr fontId="17" type="noConversion"/>
  <conditionalFormatting sqref="J6:J10">
    <cfRule type="expression" dxfId="14" priority="7" stopIfTrue="1">
      <formula>AND(I6&lt;9,I6&gt;=6)</formula>
    </cfRule>
    <cfRule type="expression" dxfId="13" priority="8" stopIfTrue="1">
      <formula>I6&lt;6</formula>
    </cfRule>
    <cfRule type="expression" dxfId="12" priority="9" stopIfTrue="1">
      <formula>I6&gt;9</formula>
    </cfRule>
  </conditionalFormatting>
  <conditionalFormatting sqref="J11">
    <cfRule type="expression" dxfId="11" priority="4" stopIfTrue="1">
      <formula>AND(I11&lt;9,I11&gt;=6)</formula>
    </cfRule>
    <cfRule type="expression" dxfId="10" priority="5" stopIfTrue="1">
      <formula>I11&lt;6</formula>
    </cfRule>
    <cfRule type="expression" dxfId="9" priority="6" stopIfTrue="1">
      <formula>I11&gt;9</formula>
    </cfRule>
  </conditionalFormatting>
  <conditionalFormatting sqref="J12">
    <cfRule type="expression" dxfId="8" priority="1" stopIfTrue="1">
      <formula>AND(I12&lt;9,I12&gt;=6)</formula>
    </cfRule>
    <cfRule type="expression" dxfId="7" priority="2" stopIfTrue="1">
      <formula>I12&lt;6</formula>
    </cfRule>
    <cfRule type="expression" dxfId="6" priority="3" stopIfTrue="1">
      <formula>I12&gt;9</formula>
    </cfRule>
  </conditionalFormatting>
  <pageMargins left="0.17" right="0.25" top="0.5" bottom="0.17" header="0.17" footer="0.17"/>
  <pageSetup paperSize="9" scale="7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1338-B8BD-4EF8-8195-762AC2A4EC62}">
  <dimension ref="A1:K11"/>
  <sheetViews>
    <sheetView workbookViewId="0">
      <selection activeCell="E27" sqref="E27"/>
    </sheetView>
  </sheetViews>
  <sheetFormatPr defaultRowHeight="12.75" x14ac:dyDescent="0.2"/>
  <cols>
    <col min="1" max="1" width="5" bestFit="1" customWidth="1"/>
    <col min="2" max="2" width="15.5703125" bestFit="1" customWidth="1"/>
    <col min="3" max="3" width="9" bestFit="1" customWidth="1"/>
    <col min="4" max="4" width="44.42578125" style="137" bestFit="1" customWidth="1"/>
    <col min="5" max="5" width="12.42578125" bestFit="1" customWidth="1"/>
    <col min="6" max="6" width="9.42578125" bestFit="1" customWidth="1"/>
    <col min="7" max="7" width="16.28515625" bestFit="1" customWidth="1"/>
    <col min="9" max="9" width="8.5703125" bestFit="1" customWidth="1"/>
    <col min="10" max="10" width="11.5703125" customWidth="1"/>
    <col min="11" max="11" width="13.7109375" customWidth="1"/>
  </cols>
  <sheetData>
    <row r="1" spans="1:11" x14ac:dyDescent="0.2">
      <c r="A1" s="111"/>
      <c r="B1" s="111"/>
      <c r="C1" s="112"/>
      <c r="D1" s="99" t="s">
        <v>193</v>
      </c>
      <c r="E1" s="114"/>
      <c r="F1" s="113"/>
      <c r="G1" s="115" t="s">
        <v>117</v>
      </c>
      <c r="H1" s="116"/>
      <c r="I1" s="117"/>
      <c r="J1" s="113"/>
      <c r="K1" s="118"/>
    </row>
    <row r="2" spans="1:11" x14ac:dyDescent="0.2">
      <c r="A2" s="111"/>
      <c r="B2" s="111"/>
      <c r="C2" s="112"/>
      <c r="D2" s="64">
        <v>45810</v>
      </c>
      <c r="E2" s="114"/>
      <c r="F2" s="119"/>
      <c r="G2" s="115" t="s">
        <v>116</v>
      </c>
      <c r="H2" s="120"/>
      <c r="I2" s="117"/>
      <c r="J2" s="113"/>
      <c r="K2" s="118"/>
    </row>
    <row r="3" spans="1:11" x14ac:dyDescent="0.2">
      <c r="A3" s="111"/>
      <c r="B3" s="111"/>
      <c r="C3" s="112"/>
      <c r="D3" s="135"/>
      <c r="E3" s="121"/>
      <c r="F3" s="111"/>
      <c r="G3" s="122" t="s">
        <v>115</v>
      </c>
      <c r="H3" s="123"/>
      <c r="I3" s="117"/>
      <c r="J3" s="113"/>
      <c r="K3" s="118"/>
    </row>
    <row r="4" spans="1:11" ht="22.5" x14ac:dyDescent="0.2">
      <c r="A4" s="124" t="s">
        <v>119</v>
      </c>
      <c r="B4" s="124" t="s">
        <v>120</v>
      </c>
      <c r="C4" s="125" t="s">
        <v>1</v>
      </c>
      <c r="D4" s="136" t="s">
        <v>2</v>
      </c>
      <c r="E4" s="126" t="s">
        <v>118</v>
      </c>
      <c r="F4" s="125" t="s">
        <v>4</v>
      </c>
      <c r="G4" s="125" t="s">
        <v>76</v>
      </c>
      <c r="H4" s="125" t="s">
        <v>5</v>
      </c>
      <c r="I4" s="127" t="s">
        <v>6</v>
      </c>
      <c r="J4" s="125" t="s">
        <v>114</v>
      </c>
      <c r="K4" s="125" t="s">
        <v>113</v>
      </c>
    </row>
    <row r="5" spans="1:11" s="146" customFormat="1" x14ac:dyDescent="0.2">
      <c r="A5" s="73" t="s">
        <v>192</v>
      </c>
      <c r="B5" s="73" t="s">
        <v>177</v>
      </c>
      <c r="C5" s="140">
        <v>64876110</v>
      </c>
      <c r="D5" s="140" t="s">
        <v>207</v>
      </c>
      <c r="E5" s="141">
        <v>99</v>
      </c>
      <c r="F5" s="74">
        <v>45810</v>
      </c>
      <c r="G5" s="131">
        <v>46295</v>
      </c>
      <c r="H5" s="145">
        <f t="shared" ref="H5:H11" si="0">G5-F5</f>
        <v>485</v>
      </c>
      <c r="I5" s="138">
        <f t="shared" ref="I5:I7" si="1">H5/365*12</f>
        <v>15.945205479452055</v>
      </c>
      <c r="J5" s="69"/>
      <c r="K5" s="73"/>
    </row>
    <row r="6" spans="1:11" s="146" customFormat="1" x14ac:dyDescent="0.2">
      <c r="A6" s="73" t="s">
        <v>192</v>
      </c>
      <c r="B6" s="73" t="s">
        <v>177</v>
      </c>
      <c r="C6" s="140">
        <v>64383248</v>
      </c>
      <c r="D6" s="140" t="s">
        <v>198</v>
      </c>
      <c r="E6" s="141">
        <v>2747</v>
      </c>
      <c r="F6" s="74">
        <v>45810</v>
      </c>
      <c r="G6" s="71">
        <v>46356</v>
      </c>
      <c r="H6" s="145">
        <f t="shared" si="0"/>
        <v>546</v>
      </c>
      <c r="I6" s="138">
        <f t="shared" si="1"/>
        <v>17.950684931506849</v>
      </c>
      <c r="J6" s="69"/>
      <c r="K6" s="73"/>
    </row>
    <row r="7" spans="1:11" s="146" customFormat="1" x14ac:dyDescent="0.2">
      <c r="A7" s="73" t="s">
        <v>192</v>
      </c>
      <c r="B7" s="73" t="s">
        <v>177</v>
      </c>
      <c r="C7" s="140">
        <v>64381601</v>
      </c>
      <c r="D7" s="140" t="s">
        <v>201</v>
      </c>
      <c r="E7" s="141">
        <v>4674</v>
      </c>
      <c r="F7" s="74">
        <v>45810</v>
      </c>
      <c r="G7" s="131">
        <v>46442</v>
      </c>
      <c r="H7" s="145">
        <f t="shared" si="0"/>
        <v>632</v>
      </c>
      <c r="I7" s="138">
        <f t="shared" si="1"/>
        <v>20.778082191780822</v>
      </c>
      <c r="J7" s="69"/>
      <c r="K7" s="73"/>
    </row>
    <row r="8" spans="1:11" s="146" customFormat="1" x14ac:dyDescent="0.2">
      <c r="A8" s="73" t="s">
        <v>192</v>
      </c>
      <c r="B8" s="73" t="s">
        <v>177</v>
      </c>
      <c r="C8" s="140">
        <v>64409883</v>
      </c>
      <c r="D8" s="140" t="s">
        <v>202</v>
      </c>
      <c r="E8" s="141">
        <v>87</v>
      </c>
      <c r="F8" s="74">
        <v>45810</v>
      </c>
      <c r="G8" s="175">
        <v>46214</v>
      </c>
      <c r="H8" s="145">
        <f t="shared" si="0"/>
        <v>404</v>
      </c>
      <c r="I8" s="138">
        <f>H8/365*12</f>
        <v>13.282191780821917</v>
      </c>
      <c r="J8" s="69"/>
      <c r="K8" s="73"/>
    </row>
    <row r="9" spans="1:11" s="146" customFormat="1" x14ac:dyDescent="0.2">
      <c r="A9" s="73" t="s">
        <v>192</v>
      </c>
      <c r="B9" s="73" t="s">
        <v>177</v>
      </c>
      <c r="C9" s="140">
        <v>68928242</v>
      </c>
      <c r="D9" s="140" t="s">
        <v>206</v>
      </c>
      <c r="E9" s="141">
        <v>12</v>
      </c>
      <c r="F9" s="74">
        <v>45810</v>
      </c>
      <c r="G9" s="175">
        <v>46295</v>
      </c>
      <c r="H9" s="145">
        <f t="shared" si="0"/>
        <v>485</v>
      </c>
      <c r="I9" s="138">
        <f t="shared" ref="I9:I11" si="2">H9/365*12</f>
        <v>15.945205479452055</v>
      </c>
      <c r="J9" s="69"/>
      <c r="K9" s="73"/>
    </row>
    <row r="10" spans="1:11" s="146" customFormat="1" x14ac:dyDescent="0.2">
      <c r="A10" s="73" t="s">
        <v>192</v>
      </c>
      <c r="B10" s="73" t="s">
        <v>177</v>
      </c>
      <c r="C10" s="140">
        <v>64879470</v>
      </c>
      <c r="D10" s="140" t="s">
        <v>208</v>
      </c>
      <c r="E10" s="141">
        <v>7828</v>
      </c>
      <c r="F10" s="74">
        <v>45810</v>
      </c>
      <c r="G10" s="175">
        <v>46456</v>
      </c>
      <c r="H10" s="145">
        <f t="shared" ref="H10" si="3">G10-F10</f>
        <v>646</v>
      </c>
      <c r="I10" s="138">
        <f t="shared" ref="I10" si="4">H10/365*12</f>
        <v>21.238356164383561</v>
      </c>
      <c r="J10" s="69"/>
      <c r="K10" s="73"/>
    </row>
    <row r="11" spans="1:11" s="146" customFormat="1" x14ac:dyDescent="0.2">
      <c r="A11" s="73" t="s">
        <v>192</v>
      </c>
      <c r="B11" s="73" t="s">
        <v>177</v>
      </c>
      <c r="C11" s="140">
        <v>64359777</v>
      </c>
      <c r="D11" s="140" t="s">
        <v>455</v>
      </c>
      <c r="E11" s="141">
        <v>45</v>
      </c>
      <c r="F11" s="74">
        <v>45810</v>
      </c>
      <c r="G11" s="175">
        <v>46456</v>
      </c>
      <c r="H11" s="145">
        <f t="shared" si="0"/>
        <v>646</v>
      </c>
      <c r="I11" s="138">
        <f t="shared" si="2"/>
        <v>21.238356164383561</v>
      </c>
      <c r="J11" s="69"/>
      <c r="K11" s="73"/>
    </row>
  </sheetData>
  <phoneticPr fontId="17" type="noConversion"/>
  <conditionalFormatting sqref="J5:J11">
    <cfRule type="expression" dxfId="5" priority="1" stopIfTrue="1">
      <formula>AND(I5&lt;6,I5&gt;=4)</formula>
    </cfRule>
    <cfRule type="expression" dxfId="4" priority="2" stopIfTrue="1">
      <formula>I5&lt;4</formula>
    </cfRule>
    <cfRule type="expression" dxfId="3" priority="3" stopIfTrue="1">
      <formula>I5&gt;6</formula>
    </cfRule>
  </conditionalFormatting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29"/>
  <sheetViews>
    <sheetView workbookViewId="0">
      <selection activeCell="B10" sqref="B10"/>
    </sheetView>
  </sheetViews>
  <sheetFormatPr defaultRowHeight="12.75" x14ac:dyDescent="0.2"/>
  <cols>
    <col min="1" max="1" width="4.42578125" customWidth="1"/>
    <col min="2" max="2" width="30.140625" bestFit="1" customWidth="1"/>
    <col min="3" max="3" width="29.28515625" bestFit="1" customWidth="1"/>
    <col min="4" max="4" width="20.5703125" customWidth="1"/>
    <col min="5" max="5" width="12.140625" bestFit="1" customWidth="1"/>
    <col min="6" max="6" width="16.28515625" bestFit="1" customWidth="1"/>
    <col min="7" max="7" width="18.140625" bestFit="1" customWidth="1"/>
  </cols>
  <sheetData>
    <row r="2" spans="2:7" ht="24" customHeight="1" x14ac:dyDescent="0.2">
      <c r="B2" s="177" t="s">
        <v>144</v>
      </c>
      <c r="C2" s="177"/>
      <c r="D2" s="177"/>
      <c r="E2" s="177"/>
      <c r="F2" s="177"/>
      <c r="G2" s="177"/>
    </row>
    <row r="3" spans="2:7" ht="25.5" x14ac:dyDescent="0.2">
      <c r="B3" s="110" t="s">
        <v>122</v>
      </c>
      <c r="C3" s="110" t="s">
        <v>123</v>
      </c>
      <c r="D3" s="110" t="s">
        <v>124</v>
      </c>
      <c r="E3" s="110" t="s">
        <v>125</v>
      </c>
      <c r="F3" s="110" t="s">
        <v>173</v>
      </c>
      <c r="G3" s="110" t="s">
        <v>174</v>
      </c>
    </row>
    <row r="4" spans="2:7" x14ac:dyDescent="0.2">
      <c r="B4" s="105" t="s">
        <v>126</v>
      </c>
      <c r="C4" s="105" t="s">
        <v>127</v>
      </c>
      <c r="D4" s="105" t="s">
        <v>128</v>
      </c>
      <c r="E4" s="109" t="s">
        <v>189</v>
      </c>
      <c r="F4" s="105">
        <v>3</v>
      </c>
      <c r="G4" s="105">
        <v>3</v>
      </c>
    </row>
    <row r="5" spans="2:7" x14ac:dyDescent="0.2">
      <c r="B5" s="105" t="s">
        <v>182</v>
      </c>
      <c r="C5" s="105" t="s">
        <v>129</v>
      </c>
      <c r="D5" s="105" t="s">
        <v>130</v>
      </c>
      <c r="E5" s="109" t="s">
        <v>190</v>
      </c>
      <c r="F5" s="105">
        <v>4</v>
      </c>
      <c r="G5" s="105">
        <v>4</v>
      </c>
    </row>
    <row r="6" spans="2:7" x14ac:dyDescent="0.2">
      <c r="B6" s="105" t="s">
        <v>131</v>
      </c>
      <c r="C6" s="105" t="s">
        <v>132</v>
      </c>
      <c r="D6" s="105" t="s">
        <v>133</v>
      </c>
      <c r="E6" s="108" t="s">
        <v>134</v>
      </c>
      <c r="F6" s="105">
        <v>6</v>
      </c>
      <c r="G6" s="105">
        <v>6</v>
      </c>
    </row>
    <row r="7" spans="2:7" x14ac:dyDescent="0.2">
      <c r="B7" s="107" t="s">
        <v>185</v>
      </c>
      <c r="C7" s="105" t="s">
        <v>135</v>
      </c>
      <c r="D7" s="105" t="s">
        <v>136</v>
      </c>
      <c r="E7" s="108" t="s">
        <v>134</v>
      </c>
      <c r="F7" s="105">
        <v>6</v>
      </c>
      <c r="G7" s="105">
        <v>6</v>
      </c>
    </row>
    <row r="8" spans="2:7" x14ac:dyDescent="0.2">
      <c r="B8" s="107" t="s">
        <v>184</v>
      </c>
      <c r="C8" s="105" t="s">
        <v>137</v>
      </c>
      <c r="D8" s="105" t="s">
        <v>138</v>
      </c>
      <c r="E8" s="108" t="s">
        <v>134</v>
      </c>
      <c r="F8" s="105">
        <v>9</v>
      </c>
      <c r="G8" s="105">
        <v>9</v>
      </c>
    </row>
    <row r="9" spans="2:7" x14ac:dyDescent="0.2">
      <c r="B9" s="105" t="s">
        <v>143</v>
      </c>
      <c r="C9" s="105" t="s">
        <v>140</v>
      </c>
      <c r="D9" s="105" t="s">
        <v>141</v>
      </c>
      <c r="E9" s="108" t="s">
        <v>142</v>
      </c>
      <c r="F9" s="105">
        <v>9</v>
      </c>
      <c r="G9" s="105">
        <v>9</v>
      </c>
    </row>
    <row r="10" spans="2:7" x14ac:dyDescent="0.2">
      <c r="B10" s="105" t="s">
        <v>178</v>
      </c>
      <c r="C10" s="105" t="s">
        <v>135</v>
      </c>
      <c r="D10" s="105" t="s">
        <v>136</v>
      </c>
      <c r="E10" s="108" t="s">
        <v>134</v>
      </c>
      <c r="F10" s="105">
        <v>6</v>
      </c>
      <c r="G10" s="105">
        <v>6</v>
      </c>
    </row>
    <row r="11" spans="2:7" x14ac:dyDescent="0.2">
      <c r="B11" s="105" t="s">
        <v>179</v>
      </c>
      <c r="C11" s="105" t="s">
        <v>137</v>
      </c>
      <c r="D11" s="105" t="s">
        <v>138</v>
      </c>
      <c r="E11" s="108" t="s">
        <v>134</v>
      </c>
      <c r="F11" s="105">
        <v>9</v>
      </c>
      <c r="G11" s="105">
        <v>9</v>
      </c>
    </row>
    <row r="12" spans="2:7" x14ac:dyDescent="0.2">
      <c r="B12" s="105" t="s">
        <v>180</v>
      </c>
      <c r="C12" s="105" t="s">
        <v>137</v>
      </c>
      <c r="D12" s="105" t="s">
        <v>138</v>
      </c>
      <c r="E12" s="108" t="s">
        <v>134</v>
      </c>
      <c r="F12" s="105">
        <v>9</v>
      </c>
      <c r="G12" s="105">
        <v>9</v>
      </c>
    </row>
    <row r="13" spans="2:7" x14ac:dyDescent="0.2">
      <c r="B13" s="105" t="s">
        <v>181</v>
      </c>
      <c r="C13" s="105" t="s">
        <v>135</v>
      </c>
      <c r="D13" s="105" t="s">
        <v>136</v>
      </c>
      <c r="E13" s="108" t="s">
        <v>134</v>
      </c>
      <c r="F13" s="105">
        <v>6</v>
      </c>
      <c r="G13" s="105">
        <v>6</v>
      </c>
    </row>
    <row r="14" spans="2:7" x14ac:dyDescent="0.2">
      <c r="B14" s="105" t="s">
        <v>139</v>
      </c>
      <c r="C14" s="105" t="s">
        <v>132</v>
      </c>
      <c r="D14" s="105" t="s">
        <v>133</v>
      </c>
      <c r="E14" s="108" t="s">
        <v>134</v>
      </c>
      <c r="F14" s="105">
        <v>6</v>
      </c>
      <c r="G14" s="105">
        <v>6</v>
      </c>
    </row>
    <row r="15" spans="2:7" x14ac:dyDescent="0.2">
      <c r="B15" s="105" t="s">
        <v>139</v>
      </c>
      <c r="C15" s="105" t="s">
        <v>140</v>
      </c>
      <c r="D15" s="105" t="s">
        <v>141</v>
      </c>
      <c r="E15" s="108" t="s">
        <v>142</v>
      </c>
      <c r="F15" s="105">
        <v>9</v>
      </c>
      <c r="G15" s="105">
        <v>9</v>
      </c>
    </row>
    <row r="16" spans="2:7" ht="25.5" x14ac:dyDescent="0.2">
      <c r="B16" s="106" t="s">
        <v>183</v>
      </c>
      <c r="C16" s="107" t="s">
        <v>186</v>
      </c>
      <c r="D16" s="107" t="s">
        <v>187</v>
      </c>
      <c r="E16" s="109" t="s">
        <v>191</v>
      </c>
      <c r="F16" s="105">
        <v>3</v>
      </c>
      <c r="G16" s="105">
        <v>3</v>
      </c>
    </row>
    <row r="17" spans="2:12" x14ac:dyDescent="0.2">
      <c r="B17" s="107" t="s">
        <v>188</v>
      </c>
      <c r="C17" s="105" t="s">
        <v>132</v>
      </c>
      <c r="D17" s="105" t="s">
        <v>133</v>
      </c>
      <c r="E17" s="105" t="s">
        <v>134</v>
      </c>
      <c r="F17" s="105">
        <v>6</v>
      </c>
      <c r="G17" s="105">
        <v>6</v>
      </c>
    </row>
    <row r="19" spans="2:12" x14ac:dyDescent="0.2">
      <c r="B19" s="179" t="s">
        <v>172</v>
      </c>
      <c r="C19" s="179"/>
      <c r="D19" s="179"/>
      <c r="E19" s="179"/>
      <c r="F19" s="179"/>
      <c r="G19" s="179"/>
      <c r="H19" s="179"/>
      <c r="I19" s="179"/>
      <c r="J19" s="179"/>
      <c r="K19" s="179"/>
      <c r="L19" s="179"/>
    </row>
    <row r="21" spans="2:12" x14ac:dyDescent="0.2">
      <c r="B21" s="61" t="s">
        <v>145</v>
      </c>
      <c r="C21" s="61" t="s">
        <v>146</v>
      </c>
      <c r="D21" s="180" t="s">
        <v>147</v>
      </c>
      <c r="E21" s="181"/>
      <c r="F21" s="181"/>
      <c r="G21" s="181"/>
      <c r="H21" s="181"/>
      <c r="I21" s="181"/>
      <c r="J21" s="181"/>
      <c r="K21" s="181"/>
      <c r="L21" s="182"/>
    </row>
    <row r="22" spans="2:12" x14ac:dyDescent="0.2">
      <c r="B22" s="45" t="s">
        <v>148</v>
      </c>
      <c r="C22" s="45" t="s">
        <v>149</v>
      </c>
      <c r="D22" s="178" t="s">
        <v>150</v>
      </c>
      <c r="E22" s="178"/>
      <c r="F22" s="178"/>
      <c r="G22" s="178"/>
      <c r="H22" s="178"/>
      <c r="I22" s="178"/>
      <c r="J22" s="178"/>
      <c r="K22" s="178"/>
      <c r="L22" s="178"/>
    </row>
    <row r="23" spans="2:12" x14ac:dyDescent="0.2">
      <c r="B23" s="45" t="s">
        <v>151</v>
      </c>
      <c r="C23" s="45" t="s">
        <v>152</v>
      </c>
      <c r="D23" s="178" t="s">
        <v>153</v>
      </c>
      <c r="E23" s="178"/>
      <c r="F23" s="178"/>
      <c r="G23" s="178"/>
      <c r="H23" s="178"/>
      <c r="I23" s="178"/>
      <c r="J23" s="178"/>
      <c r="K23" s="178"/>
      <c r="L23" s="178"/>
    </row>
    <row r="24" spans="2:12" x14ac:dyDescent="0.2">
      <c r="B24" s="45" t="s">
        <v>154</v>
      </c>
      <c r="C24" s="45" t="s">
        <v>155</v>
      </c>
      <c r="D24" s="178" t="s">
        <v>156</v>
      </c>
      <c r="E24" s="178"/>
      <c r="F24" s="178"/>
      <c r="G24" s="178"/>
      <c r="H24" s="178"/>
      <c r="I24" s="178"/>
      <c r="J24" s="178"/>
      <c r="K24" s="178"/>
      <c r="L24" s="178"/>
    </row>
    <row r="25" spans="2:12" x14ac:dyDescent="0.2">
      <c r="B25" s="45" t="s">
        <v>157</v>
      </c>
      <c r="C25" s="45" t="s">
        <v>158</v>
      </c>
      <c r="D25" s="178" t="s">
        <v>159</v>
      </c>
      <c r="E25" s="178"/>
      <c r="F25" s="178"/>
      <c r="G25" s="178"/>
      <c r="H25" s="178"/>
      <c r="I25" s="178"/>
      <c r="J25" s="178"/>
      <c r="K25" s="178"/>
      <c r="L25" s="178"/>
    </row>
    <row r="26" spans="2:12" x14ac:dyDescent="0.2">
      <c r="B26" s="45" t="s">
        <v>160</v>
      </c>
      <c r="C26" s="45" t="s">
        <v>161</v>
      </c>
      <c r="D26" s="178" t="s">
        <v>162</v>
      </c>
      <c r="E26" s="178"/>
      <c r="F26" s="178"/>
      <c r="G26" s="178"/>
      <c r="H26" s="178"/>
      <c r="I26" s="178"/>
      <c r="J26" s="178"/>
      <c r="K26" s="178"/>
      <c r="L26" s="178"/>
    </row>
    <row r="27" spans="2:12" x14ac:dyDescent="0.2">
      <c r="B27" s="45" t="s">
        <v>163</v>
      </c>
      <c r="C27" s="45" t="s">
        <v>164</v>
      </c>
      <c r="D27" s="178" t="s">
        <v>165</v>
      </c>
      <c r="E27" s="178"/>
      <c r="F27" s="178"/>
      <c r="G27" s="178"/>
      <c r="H27" s="178"/>
      <c r="I27" s="178"/>
      <c r="J27" s="178"/>
      <c r="K27" s="178"/>
      <c r="L27" s="178"/>
    </row>
    <row r="28" spans="2:12" x14ac:dyDescent="0.2">
      <c r="B28" s="45" t="s">
        <v>166</v>
      </c>
      <c r="C28" s="45" t="s">
        <v>167</v>
      </c>
      <c r="D28" s="178" t="s">
        <v>168</v>
      </c>
      <c r="E28" s="178"/>
      <c r="F28" s="178"/>
      <c r="G28" s="178"/>
      <c r="H28" s="178"/>
      <c r="I28" s="178"/>
      <c r="J28" s="178"/>
      <c r="K28" s="178"/>
      <c r="L28" s="178"/>
    </row>
    <row r="29" spans="2:12" x14ac:dyDescent="0.2">
      <c r="B29" s="45" t="s">
        <v>169</v>
      </c>
      <c r="C29" s="45" t="s">
        <v>170</v>
      </c>
      <c r="D29" s="178" t="s">
        <v>171</v>
      </c>
      <c r="E29" s="178"/>
      <c r="F29" s="178"/>
      <c r="G29" s="178"/>
      <c r="H29" s="178"/>
      <c r="I29" s="178"/>
      <c r="J29" s="178"/>
      <c r="K29" s="178"/>
      <c r="L29" s="178"/>
    </row>
  </sheetData>
  <mergeCells count="11">
    <mergeCell ref="D25:L25"/>
    <mergeCell ref="D26:L26"/>
    <mergeCell ref="D27:L27"/>
    <mergeCell ref="D28:L28"/>
    <mergeCell ref="D29:L29"/>
    <mergeCell ref="B2:G2"/>
    <mergeCell ref="D24:L24"/>
    <mergeCell ref="B19:L19"/>
    <mergeCell ref="D21:L21"/>
    <mergeCell ref="D22:L22"/>
    <mergeCell ref="D23:L23"/>
  </mergeCells>
  <pageMargins left="0.7" right="0.7" top="0.75" bottom="0.75" header="0.3" footer="0.3"/>
  <pageSetup scale="7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M502"/>
  <sheetViews>
    <sheetView workbookViewId="0">
      <pane ySplit="6" topLeftCell="A28" activePane="bottomLeft" state="frozen"/>
      <selection pane="bottomLeft" activeCell="E45" sqref="E45"/>
    </sheetView>
  </sheetViews>
  <sheetFormatPr defaultColWidth="0" defaultRowHeight="12.75" zeroHeight="1" x14ac:dyDescent="0.2"/>
  <cols>
    <col min="1" max="1" width="1.85546875" style="11" customWidth="1"/>
    <col min="2" max="2" width="7.7109375" style="11" customWidth="1"/>
    <col min="3" max="3" width="11" style="11" customWidth="1"/>
    <col min="4" max="4" width="10.140625" style="10" bestFit="1" customWidth="1"/>
    <col min="5" max="5" width="48" style="11" bestFit="1" customWidth="1"/>
    <col min="6" max="6" width="11.7109375" style="11" customWidth="1"/>
    <col min="7" max="7" width="17.140625" style="11" bestFit="1" customWidth="1"/>
    <col min="8" max="8" width="15.28515625" style="11" bestFit="1" customWidth="1"/>
    <col min="9" max="9" width="10.5703125" style="11" bestFit="1" customWidth="1"/>
    <col min="10" max="10" width="11.85546875" style="11" bestFit="1" customWidth="1"/>
    <col min="11" max="11" width="12.42578125" style="11" bestFit="1" customWidth="1"/>
    <col min="12" max="12" width="17.28515625" style="10" customWidth="1"/>
    <col min="13" max="13" width="0" style="10" hidden="1" customWidth="1"/>
    <col min="14" max="16384" width="0" style="11" hidden="1"/>
  </cols>
  <sheetData>
    <row r="1" spans="1:11" x14ac:dyDescent="0.2">
      <c r="A1" s="1"/>
      <c r="B1" s="1"/>
      <c r="C1" s="1"/>
      <c r="D1" s="4"/>
      <c r="H1" s="2"/>
      <c r="I1" s="1"/>
      <c r="J1" s="3"/>
      <c r="K1" s="1"/>
    </row>
    <row r="2" spans="1:11" x14ac:dyDescent="0.2">
      <c r="A2" s="1"/>
      <c r="B2" s="8" t="s">
        <v>77</v>
      </c>
      <c r="C2" s="8"/>
      <c r="D2" s="4"/>
      <c r="H2" s="14" t="s">
        <v>7</v>
      </c>
      <c r="I2" s="29"/>
      <c r="J2" s="3"/>
      <c r="K2" s="1"/>
    </row>
    <row r="3" spans="1:11" x14ac:dyDescent="0.2">
      <c r="A3" s="1"/>
      <c r="B3" s="1"/>
      <c r="C3" s="1"/>
      <c r="D3" s="4"/>
      <c r="H3" s="14" t="s">
        <v>8</v>
      </c>
      <c r="I3" s="13"/>
      <c r="J3" s="3"/>
      <c r="K3" s="1"/>
    </row>
    <row r="4" spans="1:11" x14ac:dyDescent="0.2">
      <c r="A4" s="1"/>
      <c r="B4" s="1"/>
      <c r="C4" s="1"/>
      <c r="D4" s="4"/>
      <c r="H4" s="14" t="s">
        <v>75</v>
      </c>
      <c r="I4" s="28"/>
      <c r="J4" s="3"/>
      <c r="K4" s="1"/>
    </row>
    <row r="5" spans="1:11" ht="5.25" customHeight="1" thickBot="1" x14ac:dyDescent="0.25">
      <c r="A5" s="1"/>
      <c r="B5" s="1"/>
      <c r="C5" s="1"/>
      <c r="D5" s="4"/>
      <c r="E5" s="1"/>
      <c r="F5" s="1"/>
      <c r="G5" s="1"/>
      <c r="H5" s="2"/>
      <c r="I5" s="1"/>
      <c r="J5" s="3"/>
      <c r="K5" s="1"/>
    </row>
    <row r="6" spans="1:11" ht="26.25" thickBot="1" x14ac:dyDescent="0.25">
      <c r="A6" s="7"/>
      <c r="B6" s="5" t="s">
        <v>0</v>
      </c>
      <c r="C6" s="5" t="s">
        <v>78</v>
      </c>
      <c r="D6" s="5" t="s">
        <v>1</v>
      </c>
      <c r="E6" s="5" t="s">
        <v>2</v>
      </c>
      <c r="F6" s="5" t="s">
        <v>3</v>
      </c>
      <c r="G6" s="5" t="s">
        <v>4</v>
      </c>
      <c r="H6" s="5" t="s">
        <v>76</v>
      </c>
      <c r="I6" s="5" t="s">
        <v>5</v>
      </c>
      <c r="J6" s="6" t="s">
        <v>6</v>
      </c>
      <c r="K6" s="12" t="s">
        <v>9</v>
      </c>
    </row>
    <row r="7" spans="1:11" ht="4.5" customHeight="1" thickBot="1" x14ac:dyDescent="0.25">
      <c r="A7" s="1"/>
      <c r="B7" s="1"/>
      <c r="C7" s="1"/>
      <c r="D7" s="4"/>
      <c r="E7" s="1"/>
      <c r="F7" s="1"/>
      <c r="G7" s="1"/>
      <c r="H7" s="1"/>
      <c r="I7" s="1"/>
      <c r="J7" s="3"/>
      <c r="K7" s="1"/>
    </row>
    <row r="8" spans="1:11" ht="8.25" customHeight="1" x14ac:dyDescent="0.2">
      <c r="A8" s="1"/>
      <c r="B8" s="15"/>
      <c r="C8" s="30"/>
      <c r="D8" s="16"/>
      <c r="E8" s="17"/>
      <c r="F8" s="16"/>
      <c r="G8" s="18"/>
      <c r="H8" s="18"/>
      <c r="I8" s="19"/>
      <c r="J8" s="20"/>
      <c r="K8" s="21"/>
    </row>
    <row r="9" spans="1:11" ht="15" customHeight="1" x14ac:dyDescent="0.2">
      <c r="A9" s="1"/>
      <c r="B9" s="22" t="s">
        <v>10</v>
      </c>
      <c r="C9" s="32" t="s">
        <v>81</v>
      </c>
      <c r="D9" s="9">
        <v>21014239</v>
      </c>
      <c r="E9" s="23" t="s">
        <v>95</v>
      </c>
      <c r="F9" s="40">
        <v>26</v>
      </c>
      <c r="G9" s="41">
        <v>41204</v>
      </c>
      <c r="H9" s="41">
        <v>41194</v>
      </c>
      <c r="I9" s="42">
        <f>H9-G9</f>
        <v>-10</v>
      </c>
      <c r="J9" s="42">
        <f>I9/30</f>
        <v>-0.33333333333333331</v>
      </c>
      <c r="K9" s="26" t="s">
        <v>101</v>
      </c>
    </row>
    <row r="10" spans="1:11" ht="15" customHeight="1" x14ac:dyDescent="0.2">
      <c r="A10" s="1"/>
      <c r="B10" s="22" t="s">
        <v>11</v>
      </c>
      <c r="C10" s="32" t="s">
        <v>81</v>
      </c>
      <c r="D10" s="9">
        <v>65150483</v>
      </c>
      <c r="E10" s="23" t="s">
        <v>96</v>
      </c>
      <c r="F10" s="40">
        <v>3</v>
      </c>
      <c r="G10" s="41">
        <v>41204</v>
      </c>
      <c r="H10" s="41">
        <v>41164</v>
      </c>
      <c r="I10" s="25">
        <f t="shared" ref="I10:I74" si="0">H10-G10</f>
        <v>-40</v>
      </c>
      <c r="J10" s="25">
        <f t="shared" ref="J10:J74" si="1">I10/30</f>
        <v>-1.3333333333333333</v>
      </c>
      <c r="K10" s="26" t="s">
        <v>101</v>
      </c>
    </row>
    <row r="11" spans="1:11" ht="15" customHeight="1" x14ac:dyDescent="0.2">
      <c r="A11" s="1"/>
      <c r="B11" s="22" t="s">
        <v>12</v>
      </c>
      <c r="C11" s="32" t="s">
        <v>81</v>
      </c>
      <c r="D11" s="9">
        <v>65150482</v>
      </c>
      <c r="E11" s="23" t="s">
        <v>97</v>
      </c>
      <c r="F11" s="40">
        <v>3</v>
      </c>
      <c r="G11" s="41">
        <v>41204</v>
      </c>
      <c r="H11" s="41">
        <v>41164</v>
      </c>
      <c r="I11" s="25">
        <f t="shared" si="0"/>
        <v>-40</v>
      </c>
      <c r="J11" s="25">
        <f t="shared" si="1"/>
        <v>-1.3333333333333333</v>
      </c>
      <c r="K11" s="26" t="s">
        <v>101</v>
      </c>
    </row>
    <row r="12" spans="1:11" ht="15" customHeight="1" x14ac:dyDescent="0.2">
      <c r="A12" s="1"/>
      <c r="B12" s="22" t="s">
        <v>13</v>
      </c>
      <c r="C12" s="32" t="s">
        <v>79</v>
      </c>
      <c r="D12" s="9">
        <v>21014239</v>
      </c>
      <c r="E12" s="23" t="s">
        <v>98</v>
      </c>
      <c r="F12" s="23">
        <v>2</v>
      </c>
      <c r="G12" s="41">
        <v>41204</v>
      </c>
      <c r="H12" s="24">
        <v>41189</v>
      </c>
      <c r="I12" s="25">
        <f t="shared" si="0"/>
        <v>-15</v>
      </c>
      <c r="J12" s="25">
        <f t="shared" si="1"/>
        <v>-0.5</v>
      </c>
      <c r="K12" s="26" t="s">
        <v>101</v>
      </c>
    </row>
    <row r="13" spans="1:11" ht="15" customHeight="1" x14ac:dyDescent="0.2">
      <c r="A13" s="1"/>
      <c r="B13" s="22" t="s">
        <v>14</v>
      </c>
      <c r="C13" s="32" t="s">
        <v>79</v>
      </c>
      <c r="D13" s="9">
        <v>65150482</v>
      </c>
      <c r="E13" s="23" t="s">
        <v>97</v>
      </c>
      <c r="F13" s="23">
        <v>12</v>
      </c>
      <c r="G13" s="41">
        <v>41204</v>
      </c>
      <c r="H13" s="24">
        <v>41190</v>
      </c>
      <c r="I13" s="25">
        <f t="shared" si="0"/>
        <v>-14</v>
      </c>
      <c r="J13" s="25">
        <f t="shared" si="1"/>
        <v>-0.46666666666666667</v>
      </c>
      <c r="K13" s="26" t="s">
        <v>101</v>
      </c>
    </row>
    <row r="14" spans="1:11" ht="15" customHeight="1" x14ac:dyDescent="0.2">
      <c r="A14" s="1"/>
      <c r="B14" s="22" t="s">
        <v>15</v>
      </c>
      <c r="C14" s="32" t="s">
        <v>79</v>
      </c>
      <c r="D14" s="9">
        <v>21014236</v>
      </c>
      <c r="E14" s="23" t="s">
        <v>99</v>
      </c>
      <c r="F14" s="23">
        <v>2</v>
      </c>
      <c r="G14" s="41">
        <v>41204</v>
      </c>
      <c r="H14" s="24">
        <v>41190</v>
      </c>
      <c r="I14" s="25">
        <f t="shared" si="0"/>
        <v>-14</v>
      </c>
      <c r="J14" s="25">
        <f t="shared" si="1"/>
        <v>-0.46666666666666667</v>
      </c>
      <c r="K14" s="26" t="s">
        <v>101</v>
      </c>
    </row>
    <row r="15" spans="1:11" ht="15" customHeight="1" x14ac:dyDescent="0.2">
      <c r="A15" s="1"/>
      <c r="B15" s="22" t="s">
        <v>16</v>
      </c>
      <c r="C15" s="32" t="s">
        <v>79</v>
      </c>
      <c r="D15" s="9">
        <v>65150484</v>
      </c>
      <c r="E15" s="23" t="s">
        <v>100</v>
      </c>
      <c r="F15" s="23">
        <v>11</v>
      </c>
      <c r="G15" s="41">
        <v>41204</v>
      </c>
      <c r="H15" s="24">
        <v>41182</v>
      </c>
      <c r="I15" s="25">
        <f t="shared" si="0"/>
        <v>-22</v>
      </c>
      <c r="J15" s="25">
        <f t="shared" si="1"/>
        <v>-0.73333333333333328</v>
      </c>
      <c r="K15" s="26" t="s">
        <v>101</v>
      </c>
    </row>
    <row r="16" spans="1:11" ht="15" customHeight="1" x14ac:dyDescent="0.2">
      <c r="A16" s="1"/>
      <c r="B16" s="22" t="s">
        <v>17</v>
      </c>
      <c r="C16" s="32" t="s">
        <v>79</v>
      </c>
      <c r="D16" s="9">
        <v>65150484</v>
      </c>
      <c r="E16" s="23" t="s">
        <v>100</v>
      </c>
      <c r="F16" s="23">
        <v>5</v>
      </c>
      <c r="G16" s="41">
        <v>41204</v>
      </c>
      <c r="H16" s="24">
        <v>41387</v>
      </c>
      <c r="I16" s="25">
        <f t="shared" si="0"/>
        <v>183</v>
      </c>
      <c r="J16" s="25">
        <f t="shared" si="1"/>
        <v>6.1</v>
      </c>
      <c r="K16" s="26"/>
    </row>
    <row r="17" spans="1:11" ht="15" customHeight="1" x14ac:dyDescent="0.2">
      <c r="A17" s="1"/>
      <c r="B17" s="22" t="s">
        <v>18</v>
      </c>
      <c r="C17" s="32" t="s">
        <v>79</v>
      </c>
      <c r="D17" s="9">
        <v>65150484</v>
      </c>
      <c r="E17" s="23" t="s">
        <v>100</v>
      </c>
      <c r="F17" s="23">
        <v>1</v>
      </c>
      <c r="G17" s="41">
        <v>41204</v>
      </c>
      <c r="H17" s="24">
        <v>41385</v>
      </c>
      <c r="I17" s="25">
        <f t="shared" si="0"/>
        <v>181</v>
      </c>
      <c r="J17" s="25">
        <f t="shared" si="1"/>
        <v>6.0333333333333332</v>
      </c>
      <c r="K17" s="26"/>
    </row>
    <row r="18" spans="1:11" ht="15" customHeight="1" x14ac:dyDescent="0.2">
      <c r="A18" s="1"/>
      <c r="B18" s="22" t="s">
        <v>19</v>
      </c>
      <c r="C18" s="32" t="s">
        <v>106</v>
      </c>
      <c r="D18" s="9">
        <v>20290055</v>
      </c>
      <c r="E18" s="23" t="s">
        <v>102</v>
      </c>
      <c r="F18" s="23">
        <v>70</v>
      </c>
      <c r="G18" s="41">
        <v>41204</v>
      </c>
      <c r="H18" s="24">
        <v>41243</v>
      </c>
      <c r="I18" s="25">
        <f t="shared" si="0"/>
        <v>39</v>
      </c>
      <c r="J18" s="25">
        <f t="shared" si="1"/>
        <v>1.3</v>
      </c>
      <c r="K18" s="26" t="s">
        <v>112</v>
      </c>
    </row>
    <row r="19" spans="1:11" ht="15" customHeight="1" x14ac:dyDescent="0.2">
      <c r="A19" s="1"/>
      <c r="B19" s="22" t="s">
        <v>20</v>
      </c>
      <c r="C19" s="32" t="s">
        <v>106</v>
      </c>
      <c r="D19" s="9">
        <v>21014239</v>
      </c>
      <c r="E19" s="23" t="s">
        <v>95</v>
      </c>
      <c r="F19" s="23">
        <v>266</v>
      </c>
      <c r="G19" s="41">
        <v>41204</v>
      </c>
      <c r="H19" s="24">
        <v>41243</v>
      </c>
      <c r="I19" s="25">
        <f t="shared" si="0"/>
        <v>39</v>
      </c>
      <c r="J19" s="25">
        <f t="shared" si="1"/>
        <v>1.3</v>
      </c>
      <c r="K19" s="26" t="s">
        <v>112</v>
      </c>
    </row>
    <row r="20" spans="1:11" ht="15" customHeight="1" x14ac:dyDescent="0.2">
      <c r="A20" s="1"/>
      <c r="B20" s="22" t="s">
        <v>21</v>
      </c>
      <c r="C20" s="32" t="s">
        <v>106</v>
      </c>
      <c r="D20" s="9">
        <v>65150481</v>
      </c>
      <c r="E20" s="23" t="s">
        <v>103</v>
      </c>
      <c r="F20" s="23">
        <v>15</v>
      </c>
      <c r="G20" s="41">
        <v>41204</v>
      </c>
      <c r="H20" s="24">
        <v>41120</v>
      </c>
      <c r="I20" s="25">
        <f t="shared" si="0"/>
        <v>-84</v>
      </c>
      <c r="J20" s="25">
        <f t="shared" si="1"/>
        <v>-2.8</v>
      </c>
      <c r="K20" s="26" t="s">
        <v>101</v>
      </c>
    </row>
    <row r="21" spans="1:11" ht="15" customHeight="1" x14ac:dyDescent="0.2">
      <c r="A21" s="1"/>
      <c r="B21" s="22" t="s">
        <v>22</v>
      </c>
      <c r="C21" s="32" t="s">
        <v>106</v>
      </c>
      <c r="D21" s="9">
        <v>65150483</v>
      </c>
      <c r="E21" s="23" t="s">
        <v>96</v>
      </c>
      <c r="F21" s="23">
        <v>184</v>
      </c>
      <c r="G21" s="41">
        <v>41204</v>
      </c>
      <c r="H21" s="24">
        <v>41455</v>
      </c>
      <c r="I21" s="25">
        <f t="shared" si="0"/>
        <v>251</v>
      </c>
      <c r="J21" s="25">
        <f t="shared" si="1"/>
        <v>8.3666666666666671</v>
      </c>
      <c r="K21" s="26"/>
    </row>
    <row r="22" spans="1:11" ht="15" customHeight="1" x14ac:dyDescent="0.2">
      <c r="A22" s="1"/>
      <c r="B22" s="22" t="s">
        <v>23</v>
      </c>
      <c r="C22" s="32" t="s">
        <v>106</v>
      </c>
      <c r="D22" s="9">
        <v>65150483</v>
      </c>
      <c r="E22" s="23" t="s">
        <v>96</v>
      </c>
      <c r="F22" s="23">
        <v>155</v>
      </c>
      <c r="G22" s="41">
        <v>41204</v>
      </c>
      <c r="H22" s="24">
        <v>41213</v>
      </c>
      <c r="I22" s="25">
        <f t="shared" si="0"/>
        <v>9</v>
      </c>
      <c r="J22" s="25">
        <f t="shared" si="1"/>
        <v>0.3</v>
      </c>
      <c r="K22" s="26" t="s">
        <v>112</v>
      </c>
    </row>
    <row r="23" spans="1:11" ht="15" customHeight="1" x14ac:dyDescent="0.2">
      <c r="A23" s="1"/>
      <c r="B23" s="22" t="s">
        <v>24</v>
      </c>
      <c r="C23" s="32" t="s">
        <v>106</v>
      </c>
      <c r="D23" s="9">
        <v>65150482</v>
      </c>
      <c r="E23" s="23" t="s">
        <v>97</v>
      </c>
      <c r="F23" s="23">
        <v>751</v>
      </c>
      <c r="G23" s="41">
        <v>41204</v>
      </c>
      <c r="H23" s="24">
        <v>41213</v>
      </c>
      <c r="I23" s="25">
        <f t="shared" si="0"/>
        <v>9</v>
      </c>
      <c r="J23" s="25">
        <f t="shared" si="1"/>
        <v>0.3</v>
      </c>
      <c r="K23" s="26" t="s">
        <v>112</v>
      </c>
    </row>
    <row r="24" spans="1:11" ht="15" customHeight="1" x14ac:dyDescent="0.2">
      <c r="A24" s="1"/>
      <c r="B24" s="22" t="s">
        <v>25</v>
      </c>
      <c r="C24" s="32" t="s">
        <v>106</v>
      </c>
      <c r="D24" s="9">
        <v>21014236</v>
      </c>
      <c r="E24" s="23" t="s">
        <v>104</v>
      </c>
      <c r="F24" s="23">
        <v>3</v>
      </c>
      <c r="G24" s="41">
        <v>41204</v>
      </c>
      <c r="H24" s="24">
        <v>41243</v>
      </c>
      <c r="I24" s="25">
        <f t="shared" si="0"/>
        <v>39</v>
      </c>
      <c r="J24" s="25">
        <f t="shared" si="1"/>
        <v>1.3</v>
      </c>
      <c r="K24" s="26" t="s">
        <v>112</v>
      </c>
    </row>
    <row r="25" spans="1:11" ht="15" customHeight="1" x14ac:dyDescent="0.2">
      <c r="A25" s="1"/>
      <c r="B25" s="22" t="s">
        <v>26</v>
      </c>
      <c r="C25" s="32" t="s">
        <v>106</v>
      </c>
      <c r="D25" s="9">
        <v>65150484</v>
      </c>
      <c r="E25" s="23" t="s">
        <v>100</v>
      </c>
      <c r="F25" s="23">
        <v>158</v>
      </c>
      <c r="G25" s="41">
        <v>41204</v>
      </c>
      <c r="H25" s="24">
        <v>41394</v>
      </c>
      <c r="I25" s="25">
        <f t="shared" si="0"/>
        <v>190</v>
      </c>
      <c r="J25" s="25">
        <f t="shared" si="1"/>
        <v>6.333333333333333</v>
      </c>
      <c r="K25" s="26"/>
    </row>
    <row r="26" spans="1:11" ht="15" customHeight="1" x14ac:dyDescent="0.2">
      <c r="A26" s="1"/>
      <c r="B26" s="22" t="s">
        <v>27</v>
      </c>
      <c r="C26" s="32" t="s">
        <v>106</v>
      </c>
      <c r="D26" s="9">
        <v>21014238</v>
      </c>
      <c r="E26" s="23" t="s">
        <v>105</v>
      </c>
      <c r="F26" s="23">
        <v>10</v>
      </c>
      <c r="G26" s="41">
        <v>41204</v>
      </c>
      <c r="H26" s="24">
        <v>41213</v>
      </c>
      <c r="I26" s="25">
        <f t="shared" si="0"/>
        <v>9</v>
      </c>
      <c r="J26" s="25">
        <f t="shared" si="1"/>
        <v>0.3</v>
      </c>
      <c r="K26" s="26" t="s">
        <v>112</v>
      </c>
    </row>
    <row r="27" spans="1:11" ht="15" customHeight="1" x14ac:dyDescent="0.2">
      <c r="A27" s="1"/>
      <c r="B27" s="22" t="s">
        <v>28</v>
      </c>
      <c r="C27" s="32" t="s">
        <v>80</v>
      </c>
      <c r="D27" s="9">
        <v>21014239</v>
      </c>
      <c r="E27" s="23" t="s">
        <v>95</v>
      </c>
      <c r="F27" s="23">
        <v>45</v>
      </c>
      <c r="G27" s="41">
        <v>41204</v>
      </c>
      <c r="H27" s="24">
        <v>41212</v>
      </c>
      <c r="I27" s="25">
        <f t="shared" si="0"/>
        <v>8</v>
      </c>
      <c r="J27" s="25">
        <f t="shared" si="1"/>
        <v>0.26666666666666666</v>
      </c>
      <c r="K27" s="26" t="s">
        <v>112</v>
      </c>
    </row>
    <row r="28" spans="1:11" ht="15" customHeight="1" x14ac:dyDescent="0.2">
      <c r="A28" s="1"/>
      <c r="B28" s="22" t="s">
        <v>29</v>
      </c>
      <c r="C28" s="32" t="s">
        <v>80</v>
      </c>
      <c r="D28" s="9">
        <v>21014236</v>
      </c>
      <c r="E28" s="23" t="s">
        <v>99</v>
      </c>
      <c r="F28" s="23">
        <v>30</v>
      </c>
      <c r="G28" s="41">
        <v>41204</v>
      </c>
      <c r="H28" s="24">
        <v>41191</v>
      </c>
      <c r="I28" s="25">
        <f t="shared" si="0"/>
        <v>-13</v>
      </c>
      <c r="J28" s="25">
        <f t="shared" si="1"/>
        <v>-0.43333333333333335</v>
      </c>
      <c r="K28" s="26" t="s">
        <v>101</v>
      </c>
    </row>
    <row r="29" spans="1:11" ht="15" customHeight="1" x14ac:dyDescent="0.2">
      <c r="A29" s="1"/>
      <c r="B29" s="22" t="s">
        <v>30</v>
      </c>
      <c r="C29" s="32" t="s">
        <v>80</v>
      </c>
      <c r="D29" s="9">
        <v>65150484</v>
      </c>
      <c r="E29" s="23" t="s">
        <v>100</v>
      </c>
      <c r="F29" s="23">
        <v>67</v>
      </c>
      <c r="G29" s="41">
        <v>41204</v>
      </c>
      <c r="H29" s="24">
        <v>41387</v>
      </c>
      <c r="I29" s="25">
        <f t="shared" si="0"/>
        <v>183</v>
      </c>
      <c r="J29" s="25">
        <f t="shared" si="1"/>
        <v>6.1</v>
      </c>
      <c r="K29" s="26"/>
    </row>
    <row r="30" spans="1:11" ht="15" customHeight="1" x14ac:dyDescent="0.2">
      <c r="A30" s="1"/>
      <c r="B30" s="22" t="s">
        <v>31</v>
      </c>
      <c r="C30" s="32" t="s">
        <v>80</v>
      </c>
      <c r="D30" s="9">
        <v>21014238</v>
      </c>
      <c r="E30" s="23" t="s">
        <v>105</v>
      </c>
      <c r="F30" s="23">
        <v>5</v>
      </c>
      <c r="G30" s="41">
        <v>41204</v>
      </c>
      <c r="H30" s="24">
        <v>41191</v>
      </c>
      <c r="I30" s="25">
        <f t="shared" si="0"/>
        <v>-13</v>
      </c>
      <c r="J30" s="25">
        <f t="shared" si="1"/>
        <v>-0.43333333333333335</v>
      </c>
      <c r="K30" s="26" t="s">
        <v>101</v>
      </c>
    </row>
    <row r="31" spans="1:11" ht="15" customHeight="1" x14ac:dyDescent="0.2">
      <c r="A31" s="1"/>
      <c r="B31" s="22" t="s">
        <v>32</v>
      </c>
      <c r="C31" s="32" t="s">
        <v>94</v>
      </c>
      <c r="D31" s="9">
        <v>65150481</v>
      </c>
      <c r="E31" s="23" t="s">
        <v>107</v>
      </c>
      <c r="F31" s="23">
        <v>262</v>
      </c>
      <c r="G31" s="41">
        <v>41204</v>
      </c>
      <c r="H31" s="24">
        <v>41283</v>
      </c>
      <c r="I31" s="25">
        <f t="shared" si="0"/>
        <v>79</v>
      </c>
      <c r="J31" s="25">
        <f t="shared" si="1"/>
        <v>2.6333333333333333</v>
      </c>
      <c r="K31" s="26"/>
    </row>
    <row r="32" spans="1:11" ht="15" customHeight="1" x14ac:dyDescent="0.2">
      <c r="A32" s="1"/>
      <c r="B32" s="22" t="s">
        <v>33</v>
      </c>
      <c r="C32" s="32" t="s">
        <v>94</v>
      </c>
      <c r="D32" s="9">
        <v>65150481</v>
      </c>
      <c r="E32" s="23" t="s">
        <v>107</v>
      </c>
      <c r="F32" s="23">
        <v>172</v>
      </c>
      <c r="G32" s="41">
        <v>41204</v>
      </c>
      <c r="H32" s="24">
        <v>41290</v>
      </c>
      <c r="I32" s="25">
        <f t="shared" si="0"/>
        <v>86</v>
      </c>
      <c r="J32" s="25">
        <f t="shared" si="1"/>
        <v>2.8666666666666667</v>
      </c>
      <c r="K32" s="26"/>
    </row>
    <row r="33" spans="1:11" ht="15" customHeight="1" x14ac:dyDescent="0.2">
      <c r="A33" s="1"/>
      <c r="B33" s="22" t="s">
        <v>34</v>
      </c>
      <c r="C33" s="32" t="s">
        <v>94</v>
      </c>
      <c r="D33" s="9">
        <v>65150481</v>
      </c>
      <c r="E33" s="23" t="s">
        <v>107</v>
      </c>
      <c r="F33" s="23">
        <v>291</v>
      </c>
      <c r="G33" s="41">
        <v>41204</v>
      </c>
      <c r="H33" s="24">
        <v>41291</v>
      </c>
      <c r="I33" s="25">
        <f t="shared" si="0"/>
        <v>87</v>
      </c>
      <c r="J33" s="25">
        <f t="shared" si="1"/>
        <v>2.9</v>
      </c>
      <c r="K33" s="26"/>
    </row>
    <row r="34" spans="1:11" ht="15" customHeight="1" x14ac:dyDescent="0.2">
      <c r="A34" s="1"/>
      <c r="B34" s="22" t="s">
        <v>35</v>
      </c>
      <c r="C34" s="32" t="s">
        <v>94</v>
      </c>
      <c r="D34" s="9">
        <v>65150481</v>
      </c>
      <c r="E34" s="23" t="s">
        <v>107</v>
      </c>
      <c r="F34" s="23">
        <v>311</v>
      </c>
      <c r="G34" s="41">
        <v>41204</v>
      </c>
      <c r="H34" s="24">
        <v>41292</v>
      </c>
      <c r="I34" s="25">
        <f t="shared" si="0"/>
        <v>88</v>
      </c>
      <c r="J34" s="25">
        <f t="shared" si="1"/>
        <v>2.9333333333333331</v>
      </c>
      <c r="K34" s="26"/>
    </row>
    <row r="35" spans="1:11" ht="15" customHeight="1" x14ac:dyDescent="0.2">
      <c r="A35" s="1"/>
      <c r="B35" s="22" t="s">
        <v>36</v>
      </c>
      <c r="C35" s="32" t="s">
        <v>94</v>
      </c>
      <c r="D35" s="9">
        <v>65150481</v>
      </c>
      <c r="E35" s="23" t="s">
        <v>107</v>
      </c>
      <c r="F35" s="23">
        <v>87</v>
      </c>
      <c r="G35" s="41">
        <v>41204</v>
      </c>
      <c r="H35" s="24">
        <v>41299</v>
      </c>
      <c r="I35" s="25">
        <f t="shared" si="0"/>
        <v>95</v>
      </c>
      <c r="J35" s="25">
        <f t="shared" si="1"/>
        <v>3.1666666666666665</v>
      </c>
      <c r="K35" s="26"/>
    </row>
    <row r="36" spans="1:11" ht="15" customHeight="1" x14ac:dyDescent="0.2">
      <c r="A36" s="1"/>
      <c r="B36" s="22" t="s">
        <v>37</v>
      </c>
      <c r="C36" s="32" t="s">
        <v>94</v>
      </c>
      <c r="D36" s="9">
        <v>65150484</v>
      </c>
      <c r="E36" s="23" t="s">
        <v>108</v>
      </c>
      <c r="F36" s="23">
        <v>42</v>
      </c>
      <c r="G36" s="41">
        <v>41204</v>
      </c>
      <c r="H36" s="24">
        <v>41385</v>
      </c>
      <c r="I36" s="25">
        <f t="shared" si="0"/>
        <v>181</v>
      </c>
      <c r="J36" s="25">
        <f t="shared" si="1"/>
        <v>6.0333333333333332</v>
      </c>
      <c r="K36" s="26"/>
    </row>
    <row r="37" spans="1:11" ht="15" customHeight="1" x14ac:dyDescent="0.2">
      <c r="A37" s="1"/>
      <c r="B37" s="22" t="s">
        <v>38</v>
      </c>
      <c r="C37" s="32" t="s">
        <v>94</v>
      </c>
      <c r="D37" s="9">
        <v>65150483</v>
      </c>
      <c r="E37" s="23" t="s">
        <v>109</v>
      </c>
      <c r="F37" s="23">
        <v>7</v>
      </c>
      <c r="G37" s="41">
        <v>41204</v>
      </c>
      <c r="H37" s="24">
        <v>41299</v>
      </c>
      <c r="I37" s="25">
        <f t="shared" si="0"/>
        <v>95</v>
      </c>
      <c r="J37" s="25">
        <f t="shared" si="1"/>
        <v>3.1666666666666665</v>
      </c>
      <c r="K37" s="26"/>
    </row>
    <row r="38" spans="1:11" ht="15" customHeight="1" x14ac:dyDescent="0.2">
      <c r="A38" s="1"/>
      <c r="B38" s="183" t="s">
        <v>110</v>
      </c>
      <c r="C38" s="184"/>
      <c r="D38" s="184"/>
      <c r="E38" s="184"/>
      <c r="F38" s="184"/>
      <c r="G38" s="184"/>
      <c r="H38" s="184"/>
      <c r="I38" s="184"/>
      <c r="J38" s="184"/>
      <c r="K38" s="185"/>
    </row>
    <row r="39" spans="1:11" ht="15" customHeight="1" x14ac:dyDescent="0.2">
      <c r="A39" s="1"/>
      <c r="B39" s="22" t="s">
        <v>39</v>
      </c>
      <c r="C39" s="32" t="s">
        <v>94</v>
      </c>
      <c r="D39" s="9">
        <v>65150481</v>
      </c>
      <c r="E39" s="23" t="s">
        <v>107</v>
      </c>
      <c r="F39" s="23">
        <v>66</v>
      </c>
      <c r="G39" s="41">
        <v>41204</v>
      </c>
      <c r="H39" s="24">
        <v>41221</v>
      </c>
      <c r="I39" s="25">
        <f t="shared" si="0"/>
        <v>17</v>
      </c>
      <c r="J39" s="25">
        <f t="shared" si="1"/>
        <v>0.56666666666666665</v>
      </c>
      <c r="K39" s="26" t="s">
        <v>112</v>
      </c>
    </row>
    <row r="40" spans="1:11" ht="15" customHeight="1" x14ac:dyDescent="0.2">
      <c r="A40" s="1"/>
      <c r="B40" s="22" t="s">
        <v>40</v>
      </c>
      <c r="C40" s="32" t="s">
        <v>94</v>
      </c>
      <c r="D40" s="9">
        <v>65150481</v>
      </c>
      <c r="E40" s="23" t="s">
        <v>107</v>
      </c>
      <c r="F40" s="23">
        <v>30</v>
      </c>
      <c r="G40" s="41">
        <v>41204</v>
      </c>
      <c r="H40" s="24">
        <v>41223</v>
      </c>
      <c r="I40" s="25">
        <f t="shared" si="0"/>
        <v>19</v>
      </c>
      <c r="J40" s="25">
        <f t="shared" si="1"/>
        <v>0.6333333333333333</v>
      </c>
      <c r="K40" s="26" t="s">
        <v>112</v>
      </c>
    </row>
    <row r="41" spans="1:11" ht="15" customHeight="1" x14ac:dyDescent="0.2">
      <c r="A41" s="1"/>
      <c r="B41" s="33" t="s">
        <v>41</v>
      </c>
      <c r="C41" s="32" t="s">
        <v>94</v>
      </c>
      <c r="D41" s="9">
        <v>65150481</v>
      </c>
      <c r="E41" s="23" t="s">
        <v>107</v>
      </c>
      <c r="F41" s="23">
        <v>40</v>
      </c>
      <c r="G41" s="41">
        <v>41204</v>
      </c>
      <c r="H41" s="34">
        <v>41224</v>
      </c>
      <c r="I41" s="25">
        <f t="shared" si="0"/>
        <v>20</v>
      </c>
      <c r="J41" s="25">
        <f t="shared" si="1"/>
        <v>0.66666666666666663</v>
      </c>
      <c r="K41" s="26" t="s">
        <v>112</v>
      </c>
    </row>
    <row r="42" spans="1:11" ht="15" customHeight="1" x14ac:dyDescent="0.2">
      <c r="A42" s="1"/>
      <c r="B42" s="22" t="s">
        <v>42</v>
      </c>
      <c r="C42" s="32" t="s">
        <v>94</v>
      </c>
      <c r="D42" s="9">
        <v>65150482</v>
      </c>
      <c r="E42" s="23" t="s">
        <v>111</v>
      </c>
      <c r="F42" s="23">
        <v>25</v>
      </c>
      <c r="G42" s="41">
        <v>41204</v>
      </c>
      <c r="H42" s="35">
        <v>41276</v>
      </c>
      <c r="I42" s="25">
        <f t="shared" si="0"/>
        <v>72</v>
      </c>
      <c r="J42" s="25">
        <f t="shared" si="1"/>
        <v>2.4</v>
      </c>
      <c r="K42" s="26"/>
    </row>
    <row r="43" spans="1:11" ht="15" customHeight="1" x14ac:dyDescent="0.2">
      <c r="A43" s="1"/>
      <c r="B43" s="22" t="s">
        <v>43</v>
      </c>
      <c r="C43" s="32" t="s">
        <v>94</v>
      </c>
      <c r="D43" s="9">
        <v>65150482</v>
      </c>
      <c r="E43" s="23" t="s">
        <v>111</v>
      </c>
      <c r="F43" s="23">
        <v>37</v>
      </c>
      <c r="G43" s="41">
        <v>41204</v>
      </c>
      <c r="H43" s="24">
        <v>41277</v>
      </c>
      <c r="I43" s="25">
        <f t="shared" si="0"/>
        <v>73</v>
      </c>
      <c r="J43" s="25">
        <f t="shared" si="1"/>
        <v>2.4333333333333331</v>
      </c>
      <c r="K43" s="26"/>
    </row>
    <row r="44" spans="1:11" ht="15" customHeight="1" x14ac:dyDescent="0.2">
      <c r="A44" s="1"/>
      <c r="B44" s="22" t="s">
        <v>44</v>
      </c>
      <c r="C44" s="32"/>
      <c r="D44" s="9"/>
      <c r="E44" s="23"/>
      <c r="F44" s="23"/>
      <c r="G44" s="24"/>
      <c r="H44" s="24"/>
      <c r="I44" s="25">
        <f t="shared" si="0"/>
        <v>0</v>
      </c>
      <c r="J44" s="25">
        <f t="shared" si="1"/>
        <v>0</v>
      </c>
      <c r="K44" s="26"/>
    </row>
    <row r="45" spans="1:11" ht="15" customHeight="1" x14ac:dyDescent="0.2">
      <c r="A45" s="1"/>
      <c r="B45" s="22" t="s">
        <v>45</v>
      </c>
      <c r="C45" s="32"/>
      <c r="D45" s="9"/>
      <c r="E45" s="23"/>
      <c r="F45" s="23"/>
      <c r="G45" s="24"/>
      <c r="H45" s="24"/>
      <c r="I45" s="25">
        <f t="shared" si="0"/>
        <v>0</v>
      </c>
      <c r="J45" s="25">
        <f t="shared" si="1"/>
        <v>0</v>
      </c>
      <c r="K45" s="26"/>
    </row>
    <row r="46" spans="1:11" ht="15" customHeight="1" x14ac:dyDescent="0.2">
      <c r="A46" s="1"/>
      <c r="B46" s="22" t="s">
        <v>46</v>
      </c>
      <c r="C46" s="32"/>
      <c r="D46" s="9"/>
      <c r="E46" s="23"/>
      <c r="F46" s="23"/>
      <c r="G46" s="24"/>
      <c r="H46" s="24"/>
      <c r="I46" s="25">
        <f t="shared" si="0"/>
        <v>0</v>
      </c>
      <c r="J46" s="25">
        <f t="shared" si="1"/>
        <v>0</v>
      </c>
      <c r="K46" s="26"/>
    </row>
    <row r="47" spans="1:11" ht="15" customHeight="1" x14ac:dyDescent="0.2">
      <c r="A47" s="1"/>
      <c r="B47" s="22" t="s">
        <v>47</v>
      </c>
      <c r="C47" s="32"/>
      <c r="D47" s="9"/>
      <c r="E47" s="23"/>
      <c r="F47" s="23"/>
      <c r="G47" s="24"/>
      <c r="H47" s="24"/>
      <c r="I47" s="25">
        <f t="shared" si="0"/>
        <v>0</v>
      </c>
      <c r="J47" s="25">
        <f t="shared" si="1"/>
        <v>0</v>
      </c>
      <c r="K47" s="26"/>
    </row>
    <row r="48" spans="1:11" ht="15" customHeight="1" x14ac:dyDescent="0.2">
      <c r="A48" s="1"/>
      <c r="B48" s="22" t="s">
        <v>48</v>
      </c>
      <c r="C48" s="32"/>
      <c r="D48" s="9"/>
      <c r="E48" s="23"/>
      <c r="F48" s="23"/>
      <c r="G48" s="24"/>
      <c r="H48" s="24"/>
      <c r="I48" s="25">
        <f t="shared" si="0"/>
        <v>0</v>
      </c>
      <c r="J48" s="25">
        <f t="shared" si="1"/>
        <v>0</v>
      </c>
      <c r="K48" s="26"/>
    </row>
    <row r="49" spans="1:11" ht="15" customHeight="1" x14ac:dyDescent="0.2">
      <c r="A49" s="1"/>
      <c r="B49" s="22" t="s">
        <v>49</v>
      </c>
      <c r="C49" s="32"/>
      <c r="D49" s="9"/>
      <c r="E49" s="23"/>
      <c r="F49" s="23"/>
      <c r="G49" s="24"/>
      <c r="H49" s="35"/>
      <c r="I49" s="25">
        <f t="shared" si="0"/>
        <v>0</v>
      </c>
      <c r="J49" s="25">
        <f t="shared" si="1"/>
        <v>0</v>
      </c>
      <c r="K49" s="26"/>
    </row>
    <row r="50" spans="1:11" ht="15" customHeight="1" x14ac:dyDescent="0.2">
      <c r="A50" s="1"/>
      <c r="B50" s="22" t="s">
        <v>50</v>
      </c>
      <c r="C50" s="32"/>
      <c r="D50" s="9"/>
      <c r="E50" s="23"/>
      <c r="F50" s="23"/>
      <c r="G50" s="24"/>
      <c r="H50" s="24"/>
      <c r="I50" s="25">
        <f t="shared" si="0"/>
        <v>0</v>
      </c>
      <c r="J50" s="25">
        <f t="shared" si="1"/>
        <v>0</v>
      </c>
      <c r="K50" s="26"/>
    </row>
    <row r="51" spans="1:11" ht="15" customHeight="1" x14ac:dyDescent="0.2">
      <c r="A51" s="1"/>
      <c r="B51" s="22" t="s">
        <v>51</v>
      </c>
      <c r="C51" s="32"/>
      <c r="D51" s="9"/>
      <c r="E51" s="23"/>
      <c r="F51" s="23"/>
      <c r="G51" s="24"/>
      <c r="H51" s="24"/>
      <c r="I51" s="25">
        <f t="shared" si="0"/>
        <v>0</v>
      </c>
      <c r="J51" s="25">
        <f t="shared" si="1"/>
        <v>0</v>
      </c>
      <c r="K51" s="26"/>
    </row>
    <row r="52" spans="1:11" ht="15" customHeight="1" x14ac:dyDescent="0.2">
      <c r="A52" s="1"/>
      <c r="B52" s="22" t="s">
        <v>52</v>
      </c>
      <c r="C52" s="32"/>
      <c r="D52" s="9"/>
      <c r="E52" s="23"/>
      <c r="F52" s="23"/>
      <c r="G52" s="24"/>
      <c r="H52" s="24"/>
      <c r="I52" s="25">
        <f t="shared" si="0"/>
        <v>0</v>
      </c>
      <c r="J52" s="25">
        <f t="shared" si="1"/>
        <v>0</v>
      </c>
      <c r="K52" s="26"/>
    </row>
    <row r="53" spans="1:11" ht="15" customHeight="1" x14ac:dyDescent="0.2">
      <c r="A53" s="1"/>
      <c r="B53" s="22" t="s">
        <v>53</v>
      </c>
      <c r="C53" s="32"/>
      <c r="D53" s="9"/>
      <c r="E53" s="23"/>
      <c r="F53" s="23"/>
      <c r="G53" s="24"/>
      <c r="H53" s="24"/>
      <c r="I53" s="25">
        <f t="shared" si="0"/>
        <v>0</v>
      </c>
      <c r="J53" s="25">
        <f t="shared" si="1"/>
        <v>0</v>
      </c>
      <c r="K53" s="26"/>
    </row>
    <row r="54" spans="1:11" ht="15" customHeight="1" x14ac:dyDescent="0.2">
      <c r="A54" s="1"/>
      <c r="B54" s="22" t="s">
        <v>54</v>
      </c>
      <c r="C54" s="32"/>
      <c r="D54" s="9"/>
      <c r="E54" s="23"/>
      <c r="F54" s="23"/>
      <c r="G54" s="24"/>
      <c r="H54" s="24"/>
      <c r="I54" s="25">
        <f t="shared" si="0"/>
        <v>0</v>
      </c>
      <c r="J54" s="25">
        <f t="shared" si="1"/>
        <v>0</v>
      </c>
      <c r="K54" s="26"/>
    </row>
    <row r="55" spans="1:11" ht="15" customHeight="1" x14ac:dyDescent="0.2">
      <c r="A55" s="1"/>
      <c r="B55" s="22" t="s">
        <v>55</v>
      </c>
      <c r="C55" s="32"/>
      <c r="D55" s="9"/>
      <c r="E55" s="23"/>
      <c r="F55" s="23"/>
      <c r="G55" s="24"/>
      <c r="H55" s="35"/>
      <c r="I55" s="25">
        <f t="shared" si="0"/>
        <v>0</v>
      </c>
      <c r="J55" s="25">
        <f t="shared" si="1"/>
        <v>0</v>
      </c>
      <c r="K55" s="26"/>
    </row>
    <row r="56" spans="1:11" ht="15" customHeight="1" x14ac:dyDescent="0.2">
      <c r="A56" s="1"/>
      <c r="B56" s="22" t="s">
        <v>56</v>
      </c>
      <c r="C56" s="32"/>
      <c r="D56" s="9"/>
      <c r="E56" s="23"/>
      <c r="F56" s="23"/>
      <c r="G56" s="24"/>
      <c r="H56" s="35"/>
      <c r="I56" s="25">
        <f t="shared" si="0"/>
        <v>0</v>
      </c>
      <c r="J56" s="25">
        <f t="shared" si="1"/>
        <v>0</v>
      </c>
      <c r="K56" s="26"/>
    </row>
    <row r="57" spans="1:11" ht="15" customHeight="1" x14ac:dyDescent="0.2">
      <c r="A57" s="1"/>
      <c r="B57" s="22" t="s">
        <v>57</v>
      </c>
      <c r="C57" s="32"/>
      <c r="D57" s="9"/>
      <c r="E57" s="23"/>
      <c r="F57" s="23"/>
      <c r="G57" s="24"/>
      <c r="H57" s="35"/>
      <c r="I57" s="25">
        <f t="shared" si="0"/>
        <v>0</v>
      </c>
      <c r="J57" s="25">
        <f t="shared" si="1"/>
        <v>0</v>
      </c>
      <c r="K57" s="26"/>
    </row>
    <row r="58" spans="1:11" ht="15" customHeight="1" x14ac:dyDescent="0.2">
      <c r="A58" s="1"/>
      <c r="B58" s="22" t="s">
        <v>58</v>
      </c>
      <c r="C58" s="32"/>
      <c r="D58" s="9"/>
      <c r="E58" s="23"/>
      <c r="F58" s="23"/>
      <c r="G58" s="24"/>
      <c r="H58" s="35"/>
      <c r="I58" s="25">
        <f t="shared" si="0"/>
        <v>0</v>
      </c>
      <c r="J58" s="25">
        <f t="shared" si="1"/>
        <v>0</v>
      </c>
      <c r="K58" s="26"/>
    </row>
    <row r="59" spans="1:11" ht="15" customHeight="1" x14ac:dyDescent="0.2">
      <c r="A59" s="1"/>
      <c r="B59" s="22" t="s">
        <v>59</v>
      </c>
      <c r="C59" s="32"/>
      <c r="D59" s="9"/>
      <c r="E59" s="23"/>
      <c r="F59" s="23"/>
      <c r="G59" s="24"/>
      <c r="H59" s="35"/>
      <c r="I59" s="25">
        <f t="shared" si="0"/>
        <v>0</v>
      </c>
      <c r="J59" s="25">
        <f t="shared" si="1"/>
        <v>0</v>
      </c>
      <c r="K59" s="26"/>
    </row>
    <row r="60" spans="1:11" ht="15" customHeight="1" x14ac:dyDescent="0.2">
      <c r="A60" s="1"/>
      <c r="B60" s="22" t="s">
        <v>60</v>
      </c>
      <c r="C60" s="32"/>
      <c r="D60" s="9"/>
      <c r="E60" s="23"/>
      <c r="F60" s="23"/>
      <c r="G60" s="24"/>
      <c r="H60" s="35"/>
      <c r="I60" s="25">
        <f t="shared" si="0"/>
        <v>0</v>
      </c>
      <c r="J60" s="25">
        <f t="shared" si="1"/>
        <v>0</v>
      </c>
      <c r="K60" s="26"/>
    </row>
    <row r="61" spans="1:11" ht="15" customHeight="1" x14ac:dyDescent="0.2">
      <c r="A61" s="1"/>
      <c r="B61" s="22" t="s">
        <v>61</v>
      </c>
      <c r="C61" s="32"/>
      <c r="D61" s="9"/>
      <c r="E61" s="23"/>
      <c r="F61" s="23"/>
      <c r="G61" s="24"/>
      <c r="H61" s="35"/>
      <c r="I61" s="25">
        <f t="shared" si="0"/>
        <v>0</v>
      </c>
      <c r="J61" s="25">
        <f t="shared" si="1"/>
        <v>0</v>
      </c>
      <c r="K61" s="26"/>
    </row>
    <row r="62" spans="1:11" ht="15" customHeight="1" x14ac:dyDescent="0.2">
      <c r="A62" s="1"/>
      <c r="B62" s="22" t="s">
        <v>62</v>
      </c>
      <c r="C62" s="32"/>
      <c r="D62" s="9"/>
      <c r="E62" s="23"/>
      <c r="F62" s="23"/>
      <c r="G62" s="24"/>
      <c r="H62" s="35"/>
      <c r="I62" s="25">
        <f t="shared" si="0"/>
        <v>0</v>
      </c>
      <c r="J62" s="25">
        <f t="shared" si="1"/>
        <v>0</v>
      </c>
      <c r="K62" s="26"/>
    </row>
    <row r="63" spans="1:11" ht="15" customHeight="1" x14ac:dyDescent="0.2">
      <c r="A63" s="1"/>
      <c r="B63" s="22" t="s">
        <v>63</v>
      </c>
      <c r="C63" s="32"/>
      <c r="D63" s="9"/>
      <c r="E63" s="23"/>
      <c r="F63" s="23"/>
      <c r="G63" s="24"/>
      <c r="H63" s="35"/>
      <c r="I63" s="25">
        <f t="shared" si="0"/>
        <v>0</v>
      </c>
      <c r="J63" s="25">
        <f t="shared" si="1"/>
        <v>0</v>
      </c>
      <c r="K63" s="26"/>
    </row>
    <row r="64" spans="1:11" ht="15" customHeight="1" x14ac:dyDescent="0.2">
      <c r="A64" s="1"/>
      <c r="B64" s="22" t="s">
        <v>64</v>
      </c>
      <c r="C64" s="32"/>
      <c r="D64" s="9"/>
      <c r="E64" s="23"/>
      <c r="F64" s="23"/>
      <c r="G64" s="24"/>
      <c r="H64" s="35"/>
      <c r="I64" s="25">
        <f t="shared" si="0"/>
        <v>0</v>
      </c>
      <c r="J64" s="25">
        <f t="shared" si="1"/>
        <v>0</v>
      </c>
      <c r="K64" s="26"/>
    </row>
    <row r="65" spans="1:11" ht="15" customHeight="1" x14ac:dyDescent="0.2">
      <c r="A65" s="1"/>
      <c r="B65" s="22" t="s">
        <v>65</v>
      </c>
      <c r="C65" s="32"/>
      <c r="D65" s="9"/>
      <c r="E65" s="23"/>
      <c r="F65" s="23"/>
      <c r="G65" s="24"/>
      <c r="H65" s="35"/>
      <c r="I65" s="25">
        <f t="shared" si="0"/>
        <v>0</v>
      </c>
      <c r="J65" s="25">
        <f t="shared" si="1"/>
        <v>0</v>
      </c>
      <c r="K65" s="26"/>
    </row>
    <row r="66" spans="1:11" ht="15" customHeight="1" x14ac:dyDescent="0.2">
      <c r="A66" s="1"/>
      <c r="B66" s="22" t="s">
        <v>66</v>
      </c>
      <c r="C66" s="32"/>
      <c r="D66" s="9"/>
      <c r="E66" s="23"/>
      <c r="F66" s="23"/>
      <c r="G66" s="24"/>
      <c r="H66" s="35"/>
      <c r="I66" s="25">
        <f t="shared" si="0"/>
        <v>0</v>
      </c>
      <c r="J66" s="25">
        <f t="shared" si="1"/>
        <v>0</v>
      </c>
      <c r="K66" s="26"/>
    </row>
    <row r="67" spans="1:11" ht="15" customHeight="1" x14ac:dyDescent="0.2">
      <c r="A67" s="1"/>
      <c r="B67" s="22" t="s">
        <v>67</v>
      </c>
      <c r="C67" s="32"/>
      <c r="D67" s="9"/>
      <c r="E67" s="23"/>
      <c r="F67" s="23"/>
      <c r="G67" s="24"/>
      <c r="H67" s="35"/>
      <c r="I67" s="25">
        <f t="shared" si="0"/>
        <v>0</v>
      </c>
      <c r="J67" s="25">
        <f t="shared" si="1"/>
        <v>0</v>
      </c>
      <c r="K67" s="26"/>
    </row>
    <row r="68" spans="1:11" ht="15" customHeight="1" x14ac:dyDescent="0.2">
      <c r="A68" s="1"/>
      <c r="B68" s="22" t="s">
        <v>68</v>
      </c>
      <c r="C68" s="32"/>
      <c r="D68" s="9"/>
      <c r="E68" s="23"/>
      <c r="F68" s="23"/>
      <c r="G68" s="24"/>
      <c r="H68" s="35"/>
      <c r="I68" s="25">
        <f t="shared" si="0"/>
        <v>0</v>
      </c>
      <c r="J68" s="25">
        <f t="shared" si="1"/>
        <v>0</v>
      </c>
      <c r="K68" s="26"/>
    </row>
    <row r="69" spans="1:11" ht="15" customHeight="1" x14ac:dyDescent="0.2">
      <c r="A69" s="1"/>
      <c r="B69" s="22" t="s">
        <v>69</v>
      </c>
      <c r="C69" s="32"/>
      <c r="D69" s="9"/>
      <c r="E69" s="23"/>
      <c r="F69" s="23"/>
      <c r="G69" s="24"/>
      <c r="H69" s="35"/>
      <c r="I69" s="25">
        <f t="shared" si="0"/>
        <v>0</v>
      </c>
      <c r="J69" s="25">
        <f t="shared" si="1"/>
        <v>0</v>
      </c>
      <c r="K69" s="26"/>
    </row>
    <row r="70" spans="1:11" ht="15" customHeight="1" x14ac:dyDescent="0.2">
      <c r="A70" s="1"/>
      <c r="B70" s="22" t="s">
        <v>70</v>
      </c>
      <c r="C70" s="32"/>
      <c r="D70" s="9"/>
      <c r="E70" s="23"/>
      <c r="F70" s="23"/>
      <c r="G70" s="24"/>
      <c r="H70" s="35"/>
      <c r="I70" s="25">
        <f t="shared" si="0"/>
        <v>0</v>
      </c>
      <c r="J70" s="25">
        <f t="shared" si="1"/>
        <v>0</v>
      </c>
      <c r="K70" s="26"/>
    </row>
    <row r="71" spans="1:11" ht="15" customHeight="1" x14ac:dyDescent="0.2">
      <c r="A71" s="1"/>
      <c r="B71" s="22" t="s">
        <v>71</v>
      </c>
      <c r="C71" s="32"/>
      <c r="D71" s="9"/>
      <c r="E71" s="23"/>
      <c r="F71" s="23"/>
      <c r="G71" s="24"/>
      <c r="H71" s="35"/>
      <c r="I71" s="25">
        <f t="shared" si="0"/>
        <v>0</v>
      </c>
      <c r="J71" s="25">
        <f t="shared" si="1"/>
        <v>0</v>
      </c>
      <c r="K71" s="26"/>
    </row>
    <row r="72" spans="1:11" ht="15" customHeight="1" x14ac:dyDescent="0.2">
      <c r="A72" s="1"/>
      <c r="B72" s="22" t="s">
        <v>72</v>
      </c>
      <c r="C72" s="32"/>
      <c r="D72" s="9"/>
      <c r="E72" s="23"/>
      <c r="F72" s="23"/>
      <c r="G72" s="24"/>
      <c r="H72" s="35"/>
      <c r="I72" s="25">
        <f t="shared" si="0"/>
        <v>0</v>
      </c>
      <c r="J72" s="25">
        <f t="shared" si="1"/>
        <v>0</v>
      </c>
      <c r="K72" s="26"/>
    </row>
    <row r="73" spans="1:11" ht="15" customHeight="1" x14ac:dyDescent="0.2">
      <c r="A73" s="1"/>
      <c r="B73" s="22" t="s">
        <v>73</v>
      </c>
      <c r="C73" s="32"/>
      <c r="D73" s="9"/>
      <c r="E73" s="23"/>
      <c r="F73" s="23"/>
      <c r="G73" s="24"/>
      <c r="H73" s="35"/>
      <c r="I73" s="25">
        <f t="shared" si="0"/>
        <v>0</v>
      </c>
      <c r="J73" s="25">
        <f t="shared" si="1"/>
        <v>0</v>
      </c>
      <c r="K73" s="26"/>
    </row>
    <row r="74" spans="1:11" ht="15" customHeight="1" x14ac:dyDescent="0.2">
      <c r="A74" s="1"/>
      <c r="B74" s="22" t="s">
        <v>74</v>
      </c>
      <c r="C74" s="32"/>
      <c r="D74" s="9"/>
      <c r="E74" s="23"/>
      <c r="F74" s="23"/>
      <c r="G74" s="24"/>
      <c r="H74" s="35"/>
      <c r="I74" s="25">
        <f t="shared" si="0"/>
        <v>0</v>
      </c>
      <c r="J74" s="25">
        <f t="shared" si="1"/>
        <v>0</v>
      </c>
      <c r="K74" s="26"/>
    </row>
    <row r="75" spans="1:11" x14ac:dyDescent="0.2">
      <c r="A75" s="1"/>
      <c r="B75" s="22" t="s">
        <v>82</v>
      </c>
      <c r="C75" s="32"/>
      <c r="D75" s="9"/>
      <c r="E75" s="23"/>
      <c r="F75" s="23"/>
      <c r="G75" s="24"/>
      <c r="H75" s="35"/>
      <c r="I75" s="25">
        <f t="shared" ref="I75:I86" si="2">H75-G75</f>
        <v>0</v>
      </c>
      <c r="J75" s="25">
        <f t="shared" ref="J75:J86" si="3">I75/30</f>
        <v>0</v>
      </c>
      <c r="K75" s="26"/>
    </row>
    <row r="76" spans="1:11" x14ac:dyDescent="0.2">
      <c r="B76" s="22" t="s">
        <v>83</v>
      </c>
      <c r="C76" s="32"/>
      <c r="D76" s="9"/>
      <c r="E76" s="23"/>
      <c r="F76" s="23"/>
      <c r="G76" s="24"/>
      <c r="H76" s="35"/>
      <c r="I76" s="25">
        <f t="shared" si="2"/>
        <v>0</v>
      </c>
      <c r="J76" s="25">
        <f t="shared" si="3"/>
        <v>0</v>
      </c>
      <c r="K76" s="26"/>
    </row>
    <row r="77" spans="1:11" x14ac:dyDescent="0.2">
      <c r="B77" s="22" t="s">
        <v>84</v>
      </c>
      <c r="C77" s="32"/>
      <c r="D77" s="9"/>
      <c r="E77" s="23"/>
      <c r="F77" s="23"/>
      <c r="G77" s="24"/>
      <c r="H77" s="35"/>
      <c r="I77" s="25">
        <f t="shared" si="2"/>
        <v>0</v>
      </c>
      <c r="J77" s="25">
        <f t="shared" si="3"/>
        <v>0</v>
      </c>
      <c r="K77" s="26"/>
    </row>
    <row r="78" spans="1:11" x14ac:dyDescent="0.2">
      <c r="B78" s="22" t="s">
        <v>85</v>
      </c>
      <c r="C78" s="32"/>
      <c r="D78" s="9"/>
      <c r="E78" s="23"/>
      <c r="F78" s="23"/>
      <c r="G78" s="24"/>
      <c r="H78" s="35"/>
      <c r="I78" s="25">
        <f t="shared" si="2"/>
        <v>0</v>
      </c>
      <c r="J78" s="25">
        <f t="shared" si="3"/>
        <v>0</v>
      </c>
      <c r="K78" s="26"/>
    </row>
    <row r="79" spans="1:11" x14ac:dyDescent="0.2">
      <c r="B79" s="22" t="s">
        <v>86</v>
      </c>
      <c r="C79" s="32"/>
      <c r="D79" s="9"/>
      <c r="E79" s="23"/>
      <c r="F79" s="23"/>
      <c r="G79" s="24"/>
      <c r="H79" s="35"/>
      <c r="I79" s="25">
        <f t="shared" si="2"/>
        <v>0</v>
      </c>
      <c r="J79" s="25">
        <f t="shared" si="3"/>
        <v>0</v>
      </c>
      <c r="K79" s="26"/>
    </row>
    <row r="80" spans="1:11" x14ac:dyDescent="0.2">
      <c r="B80" s="22" t="s">
        <v>87</v>
      </c>
      <c r="C80" s="32"/>
      <c r="D80" s="9"/>
      <c r="E80" s="23"/>
      <c r="F80" s="23"/>
      <c r="G80" s="24"/>
      <c r="H80" s="35"/>
      <c r="I80" s="25">
        <f t="shared" si="2"/>
        <v>0</v>
      </c>
      <c r="J80" s="25">
        <f t="shared" si="3"/>
        <v>0</v>
      </c>
      <c r="K80" s="26"/>
    </row>
    <row r="81" spans="2:11" x14ac:dyDescent="0.2">
      <c r="B81" s="22" t="s">
        <v>88</v>
      </c>
      <c r="C81" s="32"/>
      <c r="D81" s="9"/>
      <c r="E81" s="23"/>
      <c r="F81" s="23"/>
      <c r="G81" s="24"/>
      <c r="H81" s="35"/>
      <c r="I81" s="25">
        <f t="shared" si="2"/>
        <v>0</v>
      </c>
      <c r="J81" s="25">
        <f t="shared" si="3"/>
        <v>0</v>
      </c>
      <c r="K81" s="26"/>
    </row>
    <row r="82" spans="2:11" x14ac:dyDescent="0.2">
      <c r="B82" s="22" t="s">
        <v>89</v>
      </c>
      <c r="C82" s="32"/>
      <c r="D82" s="9"/>
      <c r="E82" s="23"/>
      <c r="F82" s="23"/>
      <c r="G82" s="24"/>
      <c r="H82" s="35"/>
      <c r="I82" s="25">
        <f t="shared" si="2"/>
        <v>0</v>
      </c>
      <c r="J82" s="25">
        <f t="shared" si="3"/>
        <v>0</v>
      </c>
      <c r="K82" s="26"/>
    </row>
    <row r="83" spans="2:11" x14ac:dyDescent="0.2">
      <c r="B83" s="22" t="s">
        <v>90</v>
      </c>
      <c r="C83" s="32"/>
      <c r="D83" s="9"/>
      <c r="E83" s="23"/>
      <c r="F83" s="23"/>
      <c r="G83" s="24"/>
      <c r="H83" s="35"/>
      <c r="I83" s="25">
        <f t="shared" si="2"/>
        <v>0</v>
      </c>
      <c r="J83" s="25">
        <f t="shared" si="3"/>
        <v>0</v>
      </c>
      <c r="K83" s="26"/>
    </row>
    <row r="84" spans="2:11" x14ac:dyDescent="0.2">
      <c r="B84" s="22" t="s">
        <v>91</v>
      </c>
      <c r="C84" s="32"/>
      <c r="D84" s="9"/>
      <c r="E84" s="23"/>
      <c r="F84" s="23"/>
      <c r="G84" s="24"/>
      <c r="H84" s="35"/>
      <c r="I84" s="25">
        <f t="shared" si="2"/>
        <v>0</v>
      </c>
      <c r="J84" s="25">
        <f t="shared" si="3"/>
        <v>0</v>
      </c>
      <c r="K84" s="26"/>
    </row>
    <row r="85" spans="2:11" x14ac:dyDescent="0.2">
      <c r="B85" s="22" t="s">
        <v>92</v>
      </c>
      <c r="C85" s="32"/>
      <c r="D85" s="9"/>
      <c r="E85" s="23"/>
      <c r="F85" s="23"/>
      <c r="G85" s="24"/>
      <c r="H85" s="35"/>
      <c r="I85" s="25">
        <f t="shared" si="2"/>
        <v>0</v>
      </c>
      <c r="J85" s="25">
        <f t="shared" si="3"/>
        <v>0</v>
      </c>
      <c r="K85" s="26"/>
    </row>
    <row r="86" spans="2:11" ht="13.5" thickBot="1" x14ac:dyDescent="0.25">
      <c r="B86" s="36" t="s">
        <v>93</v>
      </c>
      <c r="C86" s="31"/>
      <c r="D86" s="38"/>
      <c r="E86" s="39"/>
      <c r="F86" s="39"/>
      <c r="G86" s="43"/>
      <c r="H86" s="37"/>
      <c r="I86" s="44">
        <f t="shared" si="2"/>
        <v>0</v>
      </c>
      <c r="J86" s="44">
        <f t="shared" si="3"/>
        <v>0</v>
      </c>
      <c r="K86" s="27"/>
    </row>
    <row r="87" spans="2:11" x14ac:dyDescent="0.2"/>
    <row r="88" spans="2:11" x14ac:dyDescent="0.2"/>
    <row r="89" spans="2:11" x14ac:dyDescent="0.2"/>
    <row r="90" spans="2:11" x14ac:dyDescent="0.2"/>
    <row r="91" spans="2:11" x14ac:dyDescent="0.2"/>
    <row r="92" spans="2:11" x14ac:dyDescent="0.2"/>
    <row r="93" spans="2:11" x14ac:dyDescent="0.2"/>
    <row r="94" spans="2:11" x14ac:dyDescent="0.2"/>
    <row r="95" spans="2:11" x14ac:dyDescent="0.2"/>
    <row r="96" spans="2:11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</sheetData>
  <mergeCells count="1">
    <mergeCell ref="B38:K38"/>
  </mergeCells>
  <conditionalFormatting sqref="K9:K37 K39:K86">
    <cfRule type="iconSet" priority="12">
      <iconSet iconSet="3Flags">
        <cfvo type="percent" val="0"/>
        <cfvo type="percent" val="33"/>
        <cfvo type="percent" val="67"/>
      </iconSet>
    </cfRule>
    <cfRule type="expression" dxfId="2" priority="13" stopIfTrue="1">
      <formula>J9&lt;=4</formula>
    </cfRule>
    <cfRule type="expression" dxfId="1" priority="14" stopIfTrue="1">
      <formula>J9&lt;=6</formula>
    </cfRule>
    <cfRule type="expression" dxfId="0" priority="15" stopIfTrue="1">
      <formula>J9&gt;6</formula>
    </cfRule>
  </conditionalFormatting>
  <pageMargins left="0.36" right="0.25" top="0.52" bottom="0.56999999999999995" header="0.32" footer="0.28999999999999998"/>
  <pageSetup orientation="landscape" horizontalDpi="180" verticalDpi="180" r:id="rId1"/>
  <headerFooter alignWithMargins="0"/>
</worksheet>
</file>

<file path=docMetadata/LabelInfo.xml><?xml version="1.0" encoding="utf-8"?>
<clbl:labelList xmlns:clbl="http://schemas.microsoft.com/office/2020/mipLabelMetadata">
  <clbl:label id="{06219a4a-a835-44d5-afaf-3926343bfb89}" enabled="0" method="" siteId="{06219a4a-a835-44d5-afaf-3926343bfb89}" removed="1"/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except PureIt &amp; Knorr</vt:lpstr>
      <vt:lpstr>Knorr(BF01)</vt:lpstr>
      <vt:lpstr>BI01</vt:lpstr>
      <vt:lpstr>BQ01</vt:lpstr>
      <vt:lpstr>BV01</vt:lpstr>
      <vt:lpstr>BZ01</vt:lpstr>
      <vt:lpstr>SOP</vt:lpstr>
      <vt:lpstr>AGE Analysis</vt:lpstr>
    </vt:vector>
  </TitlesOfParts>
  <Company>Lever Brothers Bangladesh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Arifur Rahman</dc:creator>
  <cp:lastModifiedBy>Humayun, Humayun</cp:lastModifiedBy>
  <cp:lastPrinted>2025-06-03T04:49:57Z</cp:lastPrinted>
  <dcterms:created xsi:type="dcterms:W3CDTF">2005-04-21T05:44:29Z</dcterms:created>
  <dcterms:modified xsi:type="dcterms:W3CDTF">2025-06-04T09:52:38Z</dcterms:modified>
</cp:coreProperties>
</file>