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yngenta-my.sharepoint.com/personal/rezwan_ullah_syngenta_com/Documents/Projects/12 Month Shelf Life/Data Files Shared with Me/"/>
    </mc:Choice>
  </mc:AlternateContent>
  <xr:revisionPtr revIDLastSave="14" documentId="8_{7E984520-1FDC-48E2-B3AD-D94FA03345CB}" xr6:coauthVersionLast="47" xr6:coauthVersionMax="47" xr10:uidLastSave="{EA87DCA5-9FA8-416F-9D06-CF962C60CE4A}"/>
  <bookViews>
    <workbookView xWindow="-110" yWindow="-110" windowWidth="19420" windowHeight="10300" activeTab="8" xr2:uid="{0FFA73CF-B42F-43EE-BD33-34DE917C1182}"/>
  </bookViews>
  <sheets>
    <sheet name="Sheet6" sheetId="79" r:id="rId1"/>
    <sheet name="Sheet3" sheetId="76" r:id="rId2"/>
    <sheet name="CP-June" sheetId="96" r:id="rId3"/>
    <sheet name="CP data" sheetId="23" r:id="rId4"/>
    <sheet name="Sheet10" sheetId="83" r:id="rId5"/>
    <sheet name="SEED- June" sheetId="94" r:id="rId6"/>
    <sheet name="SE DATA" sheetId="8" r:id="rId7"/>
    <sheet name="Bulk _ctg" sheetId="5" r:id="rId8"/>
    <sheet name="Cp Conv." sheetId="42" r:id="rId9"/>
    <sheet name="Seed conv." sheetId="68" r:id="rId10"/>
  </sheets>
  <externalReferences>
    <externalReference r:id="rId11"/>
    <externalReference r:id="rId12"/>
  </externalReferences>
  <definedNames>
    <definedName name="_xlnm._FilterDatabase" localSheetId="3" hidden="1">'CP data'!$A$2:$Q$74</definedName>
    <definedName name="_xlnm._FilterDatabase" localSheetId="6" hidden="1">'SE DATA'!$A$2:$Q$75</definedName>
    <definedName name="_xlnm._FilterDatabase" localSheetId="4" hidden="1">Sheet10!$C$2:$F$92</definedName>
    <definedName name="_xlnm._FilterDatabase" localSheetId="0" hidden="1">Sheet6!$B$3:$F$58</definedName>
    <definedName name="AGICODE">OFFSET([1]Sheet4!$B$4,1,0,COUNTA([1]Sheet4!$B:$B)-1,1)</definedName>
    <definedName name="MONTH">OFFSET([1]Sheet4!$J$4,1,0,COUNTA([1]Sheet4!$J:$J)-1,1)</definedName>
    <definedName name="NAMEOFPRODUCTS">OFFSET([1]Sheet4!$D$4,1,0,COUNTA([1]Sheet4!$D:$D)-1,1)</definedName>
    <definedName name="NameofWH">OFFSET([1]Sheet4!$H$4,1,0,COUNTA([1]Sheet4!$H:$H)-1,1)</definedName>
    <definedName name="PACKSIZE">OFFSET([1]Sheet4!$F$4,1,0,COUNTA([1]Sheet4!$F:$F)-1,1)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8" l="1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7" i="8"/>
  <c r="Q58" i="8"/>
  <c r="Q59" i="8"/>
  <c r="Q60" i="8"/>
  <c r="Q61" i="8"/>
  <c r="Q62" i="8"/>
  <c r="Q63" i="8"/>
  <c r="Q64" i="8"/>
  <c r="Q65" i="8"/>
  <c r="Q66" i="8"/>
  <c r="Q67" i="8"/>
  <c r="P68" i="8"/>
  <c r="Q69" i="8"/>
  <c r="Q70" i="8"/>
  <c r="Q71" i="8"/>
  <c r="Q72" i="8"/>
  <c r="Q73" i="8"/>
  <c r="Q74" i="8"/>
  <c r="Q75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K15" i="5" l="1"/>
  <c r="L15" i="5"/>
  <c r="G15" i="5"/>
  <c r="H15" i="5"/>
  <c r="Q71" i="23"/>
  <c r="P71" i="23" s="1"/>
  <c r="Q72" i="23"/>
  <c r="P72" i="23" s="1"/>
  <c r="Q73" i="23"/>
  <c r="P73" i="23" s="1"/>
  <c r="Q74" i="23"/>
  <c r="P74" i="23" s="1"/>
  <c r="Q39" i="23" l="1"/>
  <c r="P39" i="23" s="1"/>
  <c r="Q40" i="23"/>
  <c r="P40" i="23" s="1"/>
  <c r="Q41" i="23"/>
  <c r="P41" i="23" s="1"/>
  <c r="Q42" i="23"/>
  <c r="P42" i="23" s="1"/>
  <c r="Q43" i="23"/>
  <c r="P43" i="23" s="1"/>
  <c r="Q44" i="23"/>
  <c r="P44" i="23" s="1"/>
  <c r="Q45" i="23"/>
  <c r="P45" i="23" s="1"/>
  <c r="Q46" i="23"/>
  <c r="P46" i="23" s="1"/>
  <c r="Q47" i="23"/>
  <c r="P47" i="23" s="1"/>
  <c r="Q48" i="23"/>
  <c r="P48" i="23" s="1"/>
  <c r="Q49" i="23"/>
  <c r="P49" i="23" s="1"/>
  <c r="Q50" i="23"/>
  <c r="P50" i="23" s="1"/>
  <c r="Q51" i="23"/>
  <c r="P51" i="23" s="1"/>
  <c r="Q52" i="23"/>
  <c r="P52" i="23" s="1"/>
  <c r="Q53" i="23"/>
  <c r="P53" i="23" s="1"/>
  <c r="Q54" i="23"/>
  <c r="P54" i="23" s="1"/>
  <c r="Q55" i="23"/>
  <c r="P55" i="23" s="1"/>
  <c r="Q56" i="23"/>
  <c r="P56" i="23" s="1"/>
  <c r="L6" i="8"/>
  <c r="K6" i="8"/>
  <c r="L5" i="8"/>
  <c r="K5" i="8"/>
  <c r="L4" i="8"/>
  <c r="K4" i="8"/>
  <c r="L3" i="8"/>
  <c r="K3" i="8"/>
  <c r="Q59" i="23" l="1"/>
  <c r="P59" i="23" s="1"/>
  <c r="Q60" i="23"/>
  <c r="P60" i="23" s="1"/>
  <c r="Q61" i="23"/>
  <c r="P61" i="23" s="1"/>
  <c r="Q62" i="23"/>
  <c r="P62" i="23" s="1"/>
  <c r="Q63" i="23"/>
  <c r="P63" i="23" s="1"/>
  <c r="Q64" i="23"/>
  <c r="P64" i="23" s="1"/>
  <c r="Q65" i="23"/>
  <c r="P65" i="23" s="1"/>
  <c r="Q66" i="23"/>
  <c r="P66" i="23" s="1"/>
  <c r="Q67" i="23"/>
  <c r="P67" i="23" s="1"/>
  <c r="Q68" i="23"/>
  <c r="P68" i="23" s="1"/>
  <c r="Q69" i="23"/>
  <c r="P69" i="23" s="1"/>
  <c r="Q70" i="23"/>
  <c r="P70" i="23" s="1"/>
  <c r="O15" i="5" l="1"/>
  <c r="Q57" i="23" l="1"/>
  <c r="P57" i="23" s="1"/>
  <c r="Q58" i="23"/>
  <c r="P58" i="23" s="1"/>
  <c r="P28" i="8" l="1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9" i="8"/>
  <c r="P70" i="8"/>
  <c r="P71" i="8"/>
  <c r="P72" i="8"/>
  <c r="P73" i="8"/>
  <c r="P74" i="8"/>
  <c r="P75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Q36" i="23"/>
  <c r="P36" i="23" s="1"/>
  <c r="Q30" i="23" l="1"/>
  <c r="Q31" i="23"/>
  <c r="Q32" i="23"/>
  <c r="Q33" i="23"/>
  <c r="Q34" i="23"/>
  <c r="P34" i="23" s="1"/>
  <c r="Q35" i="23"/>
  <c r="P35" i="23" s="1"/>
  <c r="Q37" i="23"/>
  <c r="P37" i="23" s="1"/>
  <c r="Q38" i="23"/>
  <c r="P38" i="23" s="1"/>
  <c r="Q3" i="23" l="1"/>
  <c r="P3" i="23" s="1"/>
  <c r="P33" i="23" l="1"/>
  <c r="P4" i="8" l="1"/>
  <c r="P5" i="8"/>
  <c r="P6" i="8"/>
  <c r="P7" i="8"/>
  <c r="Q3" i="8"/>
  <c r="P3" i="8" s="1"/>
  <c r="Q4" i="23" l="1"/>
  <c r="P4" i="23" s="1"/>
  <c r="Q5" i="23"/>
  <c r="P5" i="23" s="1"/>
  <c r="Q6" i="23"/>
  <c r="P6" i="23" s="1"/>
  <c r="Q7" i="23"/>
  <c r="P7" i="23" s="1"/>
  <c r="Q8" i="23"/>
  <c r="P8" i="23" s="1"/>
  <c r="Q9" i="23"/>
  <c r="P9" i="23" s="1"/>
  <c r="Q10" i="23"/>
  <c r="P10" i="23" s="1"/>
  <c r="Q11" i="23"/>
  <c r="P11" i="23" s="1"/>
  <c r="Q12" i="23"/>
  <c r="P12" i="23" s="1"/>
  <c r="Q13" i="23"/>
  <c r="P13" i="23" s="1"/>
  <c r="Q14" i="23"/>
  <c r="P14" i="23" s="1"/>
  <c r="Q15" i="23"/>
  <c r="P15" i="23" s="1"/>
  <c r="Q16" i="23"/>
  <c r="P16" i="23" s="1"/>
  <c r="Q17" i="23"/>
  <c r="P17" i="23" s="1"/>
  <c r="Q18" i="23"/>
  <c r="P18" i="23" s="1"/>
  <c r="Q19" i="23"/>
  <c r="P19" i="23" s="1"/>
  <c r="Q20" i="23"/>
  <c r="P20" i="23" s="1"/>
  <c r="Q21" i="23"/>
  <c r="P21" i="23" s="1"/>
  <c r="Q22" i="23"/>
  <c r="P22" i="23" s="1"/>
  <c r="Q23" i="23"/>
  <c r="P23" i="23" s="1"/>
  <c r="Q24" i="23"/>
  <c r="P24" i="23" s="1"/>
  <c r="Q25" i="23"/>
  <c r="P25" i="23" s="1"/>
  <c r="Q26" i="23"/>
  <c r="P26" i="23" s="1"/>
  <c r="Q27" i="23"/>
  <c r="P27" i="23" s="1"/>
  <c r="Q28" i="23"/>
  <c r="P28" i="23" s="1"/>
  <c r="Q29" i="23"/>
  <c r="P29" i="23" s="1"/>
  <c r="P30" i="23"/>
  <c r="P31" i="23"/>
  <c r="P32" i="23"/>
</calcChain>
</file>

<file path=xl/sharedStrings.xml><?xml version="1.0" encoding="utf-8"?>
<sst xmlns="http://schemas.openxmlformats.org/spreadsheetml/2006/main" count="2123" uniqueCount="631">
  <si>
    <t>AGI Code</t>
  </si>
  <si>
    <t>Name of Products</t>
  </si>
  <si>
    <t>Pack Size</t>
  </si>
  <si>
    <t>EXPIRY ON (MONTH)</t>
  </si>
  <si>
    <t>30 X 100 GM</t>
  </si>
  <si>
    <t>CALARIS XTRA</t>
  </si>
  <si>
    <t>Total</t>
  </si>
  <si>
    <t>JASHORE</t>
  </si>
  <si>
    <t>CX 18</t>
  </si>
  <si>
    <t>NK 6848</t>
  </si>
  <si>
    <t>JHUMKA</t>
  </si>
  <si>
    <t>DHAKA</t>
  </si>
  <si>
    <t xml:space="preserve">FASAL UP </t>
  </si>
  <si>
    <t>CTG WH</t>
  </si>
  <si>
    <t>0</t>
  </si>
  <si>
    <t>40X50 GM</t>
  </si>
  <si>
    <t>PLANT</t>
  </si>
  <si>
    <t>CARIAL FLEX</t>
  </si>
  <si>
    <t>ITEM NO</t>
  </si>
  <si>
    <t>Name Of WH</t>
  </si>
  <si>
    <t>MONTH</t>
  </si>
  <si>
    <t>EXPIRY QTY LM</t>
  </si>
  <si>
    <t>EXPIRY QTY CM</t>
  </si>
  <si>
    <t xml:space="preserve"> EXPIRY BATCH CM</t>
  </si>
  <si>
    <t>SOLD QTY</t>
  </si>
  <si>
    <t>Total Qty</t>
  </si>
  <si>
    <t>OLD MRP</t>
  </si>
  <si>
    <t>NEW MRP</t>
  </si>
  <si>
    <t>REMARKS</t>
  </si>
  <si>
    <t>Kg-ltr</t>
  </si>
  <si>
    <t>Conv.R</t>
  </si>
  <si>
    <t>10x10gm</t>
  </si>
  <si>
    <t>Daisy</t>
  </si>
  <si>
    <t>10x100gm</t>
  </si>
  <si>
    <t>Nolock</t>
  </si>
  <si>
    <t>Shotez</t>
  </si>
  <si>
    <t>Marlin</t>
  </si>
  <si>
    <t>Summer Green</t>
  </si>
  <si>
    <t>Sujon</t>
  </si>
  <si>
    <t>10X5gm</t>
  </si>
  <si>
    <t>Cute (CU 1575)</t>
  </si>
  <si>
    <t xml:space="preserve">Little Star </t>
  </si>
  <si>
    <t xml:space="preserve">Alo (PK 375) </t>
  </si>
  <si>
    <t xml:space="preserve">Asha(PK 675) </t>
  </si>
  <si>
    <t>10 X1Kg</t>
  </si>
  <si>
    <t xml:space="preserve">Dragon </t>
  </si>
  <si>
    <t xml:space="preserve">Dragon Super </t>
  </si>
  <si>
    <t>30 x 1 kg</t>
  </si>
  <si>
    <t xml:space="preserve">Gourab </t>
  </si>
  <si>
    <t>Green ball</t>
  </si>
  <si>
    <t>Honey Queen</t>
  </si>
  <si>
    <t xml:space="preserve">Magnet </t>
  </si>
  <si>
    <t xml:space="preserve">NH 7720 </t>
  </si>
  <si>
    <t>NK 6514</t>
  </si>
  <si>
    <t>NK 7884</t>
  </si>
  <si>
    <t>20X1kg</t>
  </si>
  <si>
    <t xml:space="preserve">Parosh Plus </t>
  </si>
  <si>
    <t xml:space="preserve">Rigel </t>
  </si>
  <si>
    <t xml:space="preserve">Syngenta Hybrid Dhan-8 </t>
  </si>
  <si>
    <t xml:space="preserve">Syngenta S -1203 </t>
  </si>
  <si>
    <t xml:space="preserve">Syngenta S -1205 </t>
  </si>
  <si>
    <t xml:space="preserve">Tishan </t>
  </si>
  <si>
    <t xml:space="preserve">TO 3150 </t>
  </si>
  <si>
    <t xml:space="preserve">WIN 207 </t>
  </si>
  <si>
    <t>Win-601 Import</t>
  </si>
  <si>
    <t>Grand Total</t>
  </si>
  <si>
    <t>4 x 179 KG</t>
  </si>
  <si>
    <t>SOLVESSO 150 (APAC)</t>
  </si>
  <si>
    <t>4x184 KG</t>
  </si>
  <si>
    <t>EXPIRY QTY CM (KG)</t>
  </si>
  <si>
    <t>Consumption QTY</t>
  </si>
  <si>
    <t>Total Stock</t>
  </si>
  <si>
    <t>SOLVESSO 100 BULK KG    PKA</t>
  </si>
  <si>
    <t>SCH4I2526</t>
  </si>
  <si>
    <t>SCH4H2E015</t>
  </si>
  <si>
    <t>FASAL TAP</t>
  </si>
  <si>
    <t>4 X 30 X 25 ML</t>
  </si>
  <si>
    <t>Sugar Queen</t>
  </si>
  <si>
    <t xml:space="preserve">Jhumka </t>
  </si>
  <si>
    <t>NICE BALL</t>
  </si>
  <si>
    <t>Bounty</t>
  </si>
  <si>
    <t>Alika</t>
  </si>
  <si>
    <t>20 X 500 ML</t>
  </si>
  <si>
    <t xml:space="preserve">CARIAL FLEX 43WG     </t>
  </si>
  <si>
    <t>3x10x70 G</t>
  </si>
  <si>
    <t>30X100 GM</t>
  </si>
  <si>
    <t xml:space="preserve">FILIA 525 SE </t>
  </si>
  <si>
    <t xml:space="preserve">10X500 ML </t>
  </si>
  <si>
    <t>LASER 10 WP</t>
  </si>
  <si>
    <t>MINECTO EXTRA</t>
  </si>
  <si>
    <t>PROCLAIM 5SG</t>
  </si>
  <si>
    <t>2 x 10 x 30 gm</t>
  </si>
  <si>
    <t>REVUS 250 SC</t>
  </si>
  <si>
    <t xml:space="preserve">RIFIT PLUS </t>
  </si>
  <si>
    <t xml:space="preserve"> 20X250 ML</t>
  </si>
  <si>
    <t>SCORE 250EC</t>
  </si>
  <si>
    <t>20 X 50 ML</t>
  </si>
  <si>
    <t>20 X 100 ML</t>
  </si>
  <si>
    <t>VESTORIA 20WG   </t>
  </si>
  <si>
    <t>25X15 G</t>
  </si>
  <si>
    <t>20X50ml</t>
  </si>
  <si>
    <t xml:space="preserve">20X100 ML </t>
  </si>
  <si>
    <t xml:space="preserve">VOLIAM FLEXI 300 SC </t>
  </si>
  <si>
    <t>10X1 L</t>
  </si>
  <si>
    <t>20X50 ML</t>
  </si>
  <si>
    <t>Due products and today's stock</t>
  </si>
  <si>
    <t>CODE</t>
  </si>
  <si>
    <t>PRODUCT</t>
  </si>
  <si>
    <t>PACK</t>
  </si>
  <si>
    <t>SHOBICRON 425EC</t>
  </si>
  <si>
    <t>20 X  50 ML</t>
  </si>
  <si>
    <t>10  X 500 ML</t>
  </si>
  <si>
    <t>TILT 250EC</t>
  </si>
  <si>
    <t>10 X 500 ML</t>
  </si>
  <si>
    <t>RIFIT 500 EC</t>
  </si>
  <si>
    <t>PROTOZIM</t>
  </si>
  <si>
    <t>40 X 50 ML</t>
  </si>
  <si>
    <t>KARATE</t>
  </si>
  <si>
    <t>50 X 50 ML</t>
  </si>
  <si>
    <t xml:space="preserve">50 X 100 ML </t>
  </si>
  <si>
    <t>VERTIMEC 018 EC</t>
  </si>
  <si>
    <t>VOLIAM FLEXI 300 SC</t>
  </si>
  <si>
    <t>AMISTAR TOP 325 SC</t>
  </si>
  <si>
    <t xml:space="preserve">INCIPIO </t>
  </si>
  <si>
    <t>20 x 40 ml</t>
  </si>
  <si>
    <t>25 x 40 ml</t>
  </si>
  <si>
    <t xml:space="preserve">MIRAVIS DUO </t>
  </si>
  <si>
    <t>20 X 50 ml</t>
  </si>
  <si>
    <t>PEGASUS</t>
  </si>
  <si>
    <t>PRIME PLUS</t>
  </si>
  <si>
    <t>12 X 1 LT</t>
  </si>
  <si>
    <t>CLAVENGO</t>
  </si>
  <si>
    <t>50 x 200 ml</t>
  </si>
  <si>
    <t xml:space="preserve">FASAL UP 48SL       </t>
  </si>
  <si>
    <t>10 X 1 LT</t>
  </si>
  <si>
    <t xml:space="preserve">ATRESIA </t>
  </si>
  <si>
    <t xml:space="preserve"> 100X50 ML</t>
  </si>
  <si>
    <t>ARMURE 30EC</t>
  </si>
  <si>
    <t>FUSILADE MAX</t>
  </si>
  <si>
    <t>VIRTAKO 40 WG</t>
  </si>
  <si>
    <t>4 X 10 X 10 GM</t>
  </si>
  <si>
    <t>2 X 10 X 30 GM</t>
  </si>
  <si>
    <t>VIRTAKO COMBO</t>
  </si>
  <si>
    <t>50X10 Gm</t>
  </si>
  <si>
    <t>10X50 G       </t>
  </si>
  <si>
    <t xml:space="preserve">DENIM FIT 50 WG         </t>
  </si>
  <si>
    <t xml:space="preserve">4X12X10 G </t>
  </si>
  <si>
    <t>RIDOMIL GOLD MZ68 WG</t>
  </si>
  <si>
    <t>10 X 500 GM</t>
  </si>
  <si>
    <t>THIOVIT 80WG</t>
  </si>
  <si>
    <t>10 X 0.5 KG</t>
  </si>
  <si>
    <t>10 X 1 KG</t>
  </si>
  <si>
    <t>12 X 1 KG</t>
  </si>
  <si>
    <t>5 X 2 KG</t>
  </si>
  <si>
    <t>6 X 2 KG</t>
  </si>
  <si>
    <t>SPRAYER</t>
  </si>
  <si>
    <t>PJ -16</t>
  </si>
  <si>
    <t>XP-16</t>
  </si>
  <si>
    <t>ACTARA 25 WG</t>
  </si>
  <si>
    <t>25 X 8 X 5 GM</t>
  </si>
  <si>
    <t>20x12x5 G GM</t>
  </si>
  <si>
    <t>4X 12 X 10 GM</t>
  </si>
  <si>
    <t>GROZIN</t>
  </si>
  <si>
    <t>10 X 1 KG (SAC)</t>
  </si>
  <si>
    <t>5 X 2 KG (SAC)</t>
  </si>
  <si>
    <t>BINGO</t>
  </si>
  <si>
    <t>30 X 100 GM (SAC)</t>
  </si>
  <si>
    <t>20 X 500 GM (SAC)</t>
  </si>
  <si>
    <t>MAGMA</t>
  </si>
  <si>
    <t>LANIRAT</t>
  </si>
  <si>
    <t>40 X 100 GM</t>
  </si>
  <si>
    <t>JAZZ 80 WP</t>
  </si>
  <si>
    <t>PLENUM 50 WG</t>
  </si>
  <si>
    <t>40 X 50 GM</t>
  </si>
  <si>
    <t>2x10 X 100 GM</t>
  </si>
  <si>
    <t>SILIKA 80 WG</t>
  </si>
  <si>
    <t>CRUISER 70 WS</t>
  </si>
  <si>
    <t>2 X 25 X 20 GM</t>
  </si>
  <si>
    <t xml:space="preserve">CALIBER </t>
  </si>
  <si>
    <t>30X100GM</t>
  </si>
  <si>
    <t>Gayle 18WP</t>
  </si>
  <si>
    <t xml:space="preserve"> 30x100 gm</t>
  </si>
  <si>
    <t>CULTAR 259 SC</t>
  </si>
  <si>
    <t>20X100ml</t>
  </si>
  <si>
    <t>Cozy</t>
  </si>
  <si>
    <t xml:space="preserve">RIFIT PLUS 37 EW     </t>
  </si>
  <si>
    <t xml:space="preserve">20x165 ML </t>
  </si>
  <si>
    <t>FORTENZA 60 FS</t>
  </si>
  <si>
    <t>10 X 10 ML</t>
  </si>
  <si>
    <t>BOUNTY 36WP</t>
  </si>
  <si>
    <t>WALLACE 55EC</t>
  </si>
  <si>
    <t xml:space="preserve"> 20X100 ML</t>
  </si>
  <si>
    <t xml:space="preserve"> 10X500 ML</t>
  </si>
  <si>
    <t xml:space="preserve"> 4X10X10 ML</t>
  </si>
  <si>
    <t>kg / Ltr</t>
  </si>
  <si>
    <t>Kg /Ltr</t>
  </si>
  <si>
    <t>Sum of Kg /Ltr</t>
  </si>
  <si>
    <t xml:space="preserve">Bipul Plus </t>
  </si>
  <si>
    <t>10X10 gm</t>
  </si>
  <si>
    <t xml:space="preserve"> 10X10 gm</t>
  </si>
  <si>
    <t>Rigel 10 x 5 gm</t>
  </si>
  <si>
    <t>10 x 5 gm</t>
  </si>
  <si>
    <t>Shafal 10 x 10 gm</t>
  </si>
  <si>
    <t>10 x 10 gm</t>
  </si>
  <si>
    <t>10x10 gm</t>
  </si>
  <si>
    <t>10X10gm</t>
  </si>
  <si>
    <t>Elite</t>
  </si>
  <si>
    <t>10X5 gm</t>
  </si>
  <si>
    <t xml:space="preserve">Nolock </t>
  </si>
  <si>
    <t>10 x 100 gm</t>
  </si>
  <si>
    <t xml:space="preserve"> 10X10gm</t>
  </si>
  <si>
    <t xml:space="preserve">Sujon </t>
  </si>
  <si>
    <t xml:space="preserve">Summer Green </t>
  </si>
  <si>
    <t>Rocket</t>
  </si>
  <si>
    <t>10x100 gm</t>
  </si>
  <si>
    <t xml:space="preserve">Bengal King </t>
  </si>
  <si>
    <t>10X100gm</t>
  </si>
  <si>
    <t xml:space="preserve">Bengal Super </t>
  </si>
  <si>
    <t xml:space="preserve">Cute (CU 1575) </t>
  </si>
  <si>
    <t>25 X1Kg</t>
  </si>
  <si>
    <t>10 X 10 gm</t>
  </si>
  <si>
    <t xml:space="preserve">Green King (BG1137) </t>
  </si>
  <si>
    <t xml:space="preserve">Hira-12 </t>
  </si>
  <si>
    <t xml:space="preserve">Ice Ball (C-6105) </t>
  </si>
  <si>
    <t>30X1 kg</t>
  </si>
  <si>
    <t>Nice Ball (C-6286)</t>
  </si>
  <si>
    <t xml:space="preserve">NK 6848 </t>
  </si>
  <si>
    <t xml:space="preserve"> 30 x 1 kg</t>
  </si>
  <si>
    <t xml:space="preserve">NK 7804 </t>
  </si>
  <si>
    <t>30X1kg</t>
  </si>
  <si>
    <t xml:space="preserve">Nobin </t>
  </si>
  <si>
    <t xml:space="preserve">Sugar Queen </t>
  </si>
  <si>
    <t xml:space="preserve">SunRise </t>
  </si>
  <si>
    <t xml:space="preserve">30 x 1 kg </t>
  </si>
  <si>
    <t>10X10 GM</t>
  </si>
  <si>
    <t>30X1 KG</t>
  </si>
  <si>
    <t>10x5 gm</t>
  </si>
  <si>
    <t xml:space="preserve">Barsha Plus </t>
  </si>
  <si>
    <t>Agi Code</t>
  </si>
  <si>
    <t>ALO (PK 365)</t>
  </si>
  <si>
    <t>Altapati (Lal shak)</t>
  </si>
  <si>
    <t>10 x 0.5 kg</t>
  </si>
  <si>
    <t>Arshi (Cabbage)</t>
  </si>
  <si>
    <t>10 x 10gm</t>
  </si>
  <si>
    <t>Aruna</t>
  </si>
  <si>
    <t>Asha</t>
  </si>
  <si>
    <t>Ava(EPTH 16)</t>
  </si>
  <si>
    <t>10x5gm</t>
  </si>
  <si>
    <t>Badsha (Water melon)</t>
  </si>
  <si>
    <t xml:space="preserve">BINA Dhan 17  (FS) </t>
  </si>
  <si>
    <t xml:space="preserve"> 1 x 10 kg</t>
  </si>
  <si>
    <t>BR 10 (FS)</t>
  </si>
  <si>
    <t>Bari Dhan 48</t>
  </si>
  <si>
    <t>10x3kg</t>
  </si>
  <si>
    <t>BRRI Dhan 48 (FS) 1 x 10 kg</t>
  </si>
  <si>
    <t xml:space="preserve"> Bari Dhan-58</t>
  </si>
  <si>
    <t xml:space="preserve"> Bari Dhan-89</t>
  </si>
  <si>
    <t xml:space="preserve">BRRI Dhan 34 (FS) </t>
  </si>
  <si>
    <t>1 x 10 kg</t>
  </si>
  <si>
    <t>BRRI Dhan 75 (FS)</t>
  </si>
  <si>
    <t>BRRI Dhan 93 (FS) 1X 10 kg</t>
  </si>
  <si>
    <t>BRRI Dhan 98  (FS) 1 x 10 kg</t>
  </si>
  <si>
    <t>BRRI Dhan 103  (FS) 1 x 10 kg</t>
  </si>
  <si>
    <t>Barsha  (Chilli)</t>
  </si>
  <si>
    <t>Barsha (Chilli)</t>
  </si>
  <si>
    <t>10 x 5gm</t>
  </si>
  <si>
    <t>Barsha Plus</t>
  </si>
  <si>
    <t>Bigol(Tomato)</t>
  </si>
  <si>
    <t>BINA - 7(Rice)</t>
  </si>
  <si>
    <t>1x10 kg</t>
  </si>
  <si>
    <t xml:space="preserve">BINA Dhan 17 </t>
  </si>
  <si>
    <t>10x3 kg</t>
  </si>
  <si>
    <t>BINA-7</t>
  </si>
  <si>
    <t>10 x 3 KG</t>
  </si>
  <si>
    <t>Bipul Plus(Tomato)</t>
  </si>
  <si>
    <t>Bipul plus(Tomato)</t>
  </si>
  <si>
    <t>Bipul(Tomato)</t>
  </si>
  <si>
    <t>10 X 5 gm</t>
  </si>
  <si>
    <t>BR 10</t>
  </si>
  <si>
    <t>15X2 kg</t>
  </si>
  <si>
    <t>BR 32(Rice)</t>
  </si>
  <si>
    <t>BR 33(Rice)</t>
  </si>
  <si>
    <t>BR-11(Rice)</t>
  </si>
  <si>
    <t>1X10Kg</t>
  </si>
  <si>
    <t>BRRI 34</t>
  </si>
  <si>
    <t>15X2kg</t>
  </si>
  <si>
    <t xml:space="preserve">BRRI Dhan 75 (TLS) </t>
  </si>
  <si>
    <t>10 x 3 kg</t>
  </si>
  <si>
    <t>BRRI Dhan 88 (TLS)</t>
  </si>
  <si>
    <t xml:space="preserve"> 15 x 2 kg</t>
  </si>
  <si>
    <t xml:space="preserve">BRRI Dhan 90 (TLS) </t>
  </si>
  <si>
    <t>15x2 kg</t>
  </si>
  <si>
    <t>BRRI Dhan-28(Rice)</t>
  </si>
  <si>
    <t>1x10kg</t>
  </si>
  <si>
    <t>BRRI Dhan-29 (Rice)</t>
  </si>
  <si>
    <t>BRRI Dhan-49(Rice)</t>
  </si>
  <si>
    <t>Cardinal(Potato)</t>
  </si>
  <si>
    <t>1x 20 kg</t>
  </si>
  <si>
    <t>Chamok (Cauliflower)</t>
  </si>
  <si>
    <t>Cute(CU 1575)</t>
  </si>
  <si>
    <t xml:space="preserve">CX 18 </t>
  </si>
  <si>
    <t>25 x 1Kg</t>
  </si>
  <si>
    <t>CX-18</t>
  </si>
  <si>
    <t>10 x 1 kg</t>
  </si>
  <si>
    <t>Daisy (Cucumber)</t>
  </si>
  <si>
    <t>DHAN-8</t>
  </si>
  <si>
    <t>Diamont(Potato)</t>
  </si>
  <si>
    <t>Dragon (W melon)</t>
  </si>
  <si>
    <t>20X50gm</t>
  </si>
  <si>
    <t>Dragon (Water melon)</t>
  </si>
  <si>
    <t>Dragon Super</t>
  </si>
  <si>
    <t xml:space="preserve">Early King </t>
  </si>
  <si>
    <t>Foundation  BINA-7  (Rice)</t>
  </si>
  <si>
    <t>Foundation  BR-11 (Rice)</t>
  </si>
  <si>
    <t>Foundation  BRRI Dhan - 32 (Rice)</t>
  </si>
  <si>
    <t>Foundation  BRRI Dhan - 33(Rice)</t>
  </si>
  <si>
    <t>Foundation  BRRI Dhan - 49 (Rice)</t>
  </si>
  <si>
    <t>Foundation  BRRI Dhan -28 (Rice)</t>
  </si>
  <si>
    <t>Foundation  BRRI Dhan -29 (Rice)</t>
  </si>
  <si>
    <t>10 x 1Kg</t>
  </si>
  <si>
    <t>Fresh ball</t>
  </si>
  <si>
    <t>Gourab (Bitter Gourd)</t>
  </si>
  <si>
    <t>Granula(Potato)</t>
  </si>
  <si>
    <t xml:space="preserve">Green Ball </t>
  </si>
  <si>
    <t>Green King (BG 1137)</t>
  </si>
  <si>
    <t>Green-60 (Cabbage)</t>
  </si>
  <si>
    <t>Green-Gold  (Chilli)</t>
  </si>
  <si>
    <t>Hytom-2(Tomato)</t>
  </si>
  <si>
    <t xml:space="preserve">ICE BALL </t>
  </si>
  <si>
    <t>Impala (Carrot)</t>
  </si>
  <si>
    <t xml:space="preserve">ImportS 1205 (NK 5231) </t>
  </si>
  <si>
    <t>30x1 kg</t>
  </si>
  <si>
    <t>Indra gold</t>
  </si>
  <si>
    <t>10X 2 gm</t>
  </si>
  <si>
    <t>Ivory White (Radish)</t>
  </si>
  <si>
    <t>10 x  100gm</t>
  </si>
  <si>
    <t>Jhumka 10X5gm</t>
  </si>
  <si>
    <t>Kekornatki</t>
  </si>
  <si>
    <t>10 x 500gm</t>
  </si>
  <si>
    <t xml:space="preserve">Komol(OH 940) </t>
  </si>
  <si>
    <t>20x50gm</t>
  </si>
  <si>
    <t>Laboni</t>
  </si>
  <si>
    <t>Liana (Coriender)</t>
  </si>
  <si>
    <t>LITTLE STAR</t>
  </si>
  <si>
    <t>Little star</t>
  </si>
  <si>
    <t>Magnet (Bitter Gourd)</t>
  </si>
  <si>
    <t>Marble(Bitter Gourd)</t>
  </si>
  <si>
    <t>Melody (Bitter Gourd)</t>
  </si>
  <si>
    <t>Nectar(Pumpkim)</t>
  </si>
  <si>
    <t>NH 7720</t>
  </si>
  <si>
    <t>NH 7720 (Corn)</t>
  </si>
  <si>
    <t>20X1 Kg</t>
  </si>
  <si>
    <t xml:space="preserve">Nice Ball (C-6286) </t>
  </si>
  <si>
    <t>Nickle  (Cucumber)</t>
  </si>
  <si>
    <t>NK 40</t>
  </si>
  <si>
    <t>15X2 Kg</t>
  </si>
  <si>
    <t>20X1KG</t>
  </si>
  <si>
    <t>NK 6702</t>
  </si>
  <si>
    <t xml:space="preserve">NK 7321 </t>
  </si>
  <si>
    <t>30X1kg </t>
  </si>
  <si>
    <t>NK-40  (Corn)</t>
  </si>
  <si>
    <t>10X2 Kg</t>
  </si>
  <si>
    <t>NK-40 (Corn)</t>
  </si>
  <si>
    <t>NK-6848</t>
  </si>
  <si>
    <t>NOBIN</t>
  </si>
  <si>
    <t>Nolock(OKRA)</t>
  </si>
  <si>
    <t>Novella  (Cucumber)</t>
  </si>
  <si>
    <t>NT-6621/Astha (Corn)</t>
  </si>
  <si>
    <t>OKRA OH2324 TRD 284 AL 1x10 KG SY PK</t>
  </si>
  <si>
    <t>1x10 KG</t>
  </si>
  <si>
    <t>OKRA OH-597 TRD 284 AL 100x10 GR SY PK</t>
  </si>
  <si>
    <t xml:space="preserve">100x10 GR </t>
  </si>
  <si>
    <t>Ononnya(Tomato)</t>
  </si>
  <si>
    <t xml:space="preserve">Orbit </t>
  </si>
  <si>
    <t>10 x 2 gm</t>
  </si>
  <si>
    <t>Parosh Plus(OKRA)</t>
  </si>
  <si>
    <t>Polock(OKRA)</t>
  </si>
  <si>
    <t>Quick Set Plus (Cauliflower)</t>
  </si>
  <si>
    <t>10 x10 gm</t>
  </si>
  <si>
    <t>Red Gold(GF 1041)</t>
  </si>
  <si>
    <t>Rigel 10 x 10 gm</t>
  </si>
  <si>
    <t>Roket</t>
  </si>
  <si>
    <t xml:space="preserve">Rongila </t>
  </si>
  <si>
    <t>Roshni (Chilli)</t>
  </si>
  <si>
    <t>Rupsha Plus (Radish)</t>
  </si>
  <si>
    <t>S 1202 (RH 9000) 20 x 1 Kg</t>
  </si>
  <si>
    <t>20x1 kg</t>
  </si>
  <si>
    <t>S 1202(HYV Rice)</t>
  </si>
  <si>
    <t>10x1 kg</t>
  </si>
  <si>
    <t>S -1203  Import</t>
  </si>
  <si>
    <t>S 1203 (RH 664 plus) 10 x 1 Kg</t>
  </si>
  <si>
    <t xml:space="preserve">S 1203 (RH 664 plus) BD </t>
  </si>
  <si>
    <t>S 1203 (RH 664 plus) BD 10 x 1 Kg</t>
  </si>
  <si>
    <t>S 1203 BD</t>
  </si>
  <si>
    <t>30 X 1 kg</t>
  </si>
  <si>
    <t>S 1203(HYV Rice)</t>
  </si>
  <si>
    <t>S 1204 (RH 09159) 20 x 1 Kg</t>
  </si>
  <si>
    <t>S 1204 (RH 09159) BD 20 x 1 Kg</t>
  </si>
  <si>
    <t>S 1205 (HYV Rice)</t>
  </si>
  <si>
    <t xml:space="preserve">S 1205 (NK 5231) BD </t>
  </si>
  <si>
    <t>S 1205 (RK 5231) 20 x 1 Kg</t>
  </si>
  <si>
    <t xml:space="preserve">S 1206 (Nk 17230) </t>
  </si>
  <si>
    <t>20 X 1 kg</t>
  </si>
  <si>
    <t>Shafal (Tomato)</t>
  </si>
  <si>
    <t>Sharosh Plus(OKRA)</t>
  </si>
  <si>
    <t>Shathi (Tomato)</t>
  </si>
  <si>
    <t>SUGONDHI</t>
  </si>
  <si>
    <t>10X0.5KG</t>
  </si>
  <si>
    <t>Sun Rise</t>
  </si>
  <si>
    <t>30X1 Kg</t>
  </si>
  <si>
    <t>Sunshine</t>
  </si>
  <si>
    <t>Sunshine (Corn)</t>
  </si>
  <si>
    <t>SX-17</t>
  </si>
  <si>
    <t>10x 1 kg</t>
  </si>
  <si>
    <t>Syngenta Hybrid Dhan-8</t>
  </si>
  <si>
    <t>Syngenta S 1201( HYV Rice)</t>
  </si>
  <si>
    <t>Syngenta S 1204</t>
  </si>
  <si>
    <t>30x1kg</t>
  </si>
  <si>
    <t>Syngenta S 1204 (RH 09159) 10 x 1 Kg</t>
  </si>
  <si>
    <t>Syngenta S 1205  BD</t>
  </si>
  <si>
    <t xml:space="preserve">Testy </t>
  </si>
  <si>
    <t>Tisan(OKRA)</t>
  </si>
  <si>
    <t>10 X 100 GM</t>
  </si>
  <si>
    <t>TO 3038(Tomato)</t>
  </si>
  <si>
    <t>10 x 10 g</t>
  </si>
  <si>
    <t>Upala(Tomato)</t>
  </si>
  <si>
    <t xml:space="preserve">White Gold (C-1522) </t>
  </si>
  <si>
    <t>White Kimaya (Cauliflower)</t>
  </si>
  <si>
    <t>WIN 601</t>
  </si>
  <si>
    <t xml:space="preserve">WIN-902 </t>
  </si>
  <si>
    <t xml:space="preserve">Zirashail (TLS) </t>
  </si>
  <si>
    <t>15 x 2 kg</t>
  </si>
  <si>
    <t xml:space="preserve">Total </t>
  </si>
  <si>
    <t>Conversion rate</t>
  </si>
  <si>
    <t xml:space="preserve">ALIKA 247ZC </t>
  </si>
  <si>
    <t xml:space="preserve">CALARIS XTRA </t>
  </si>
  <si>
    <t xml:space="preserve">20X500 ML </t>
  </si>
  <si>
    <t xml:space="preserve">30X100 G </t>
  </si>
  <si>
    <t>FILIA</t>
  </si>
  <si>
    <t xml:space="preserve">FILIA            </t>
  </si>
  <si>
    <t xml:space="preserve">20X50 ML  </t>
  </si>
  <si>
    <t xml:space="preserve">20X100 ML    </t>
  </si>
  <si>
    <t xml:space="preserve">GAYLE 18WP </t>
  </si>
  <si>
    <t xml:space="preserve">30X100 G                 </t>
  </si>
  <si>
    <t>MINECTO XTRA 40SC</t>
  </si>
  <si>
    <t>4X10X10 ML</t>
  </si>
  <si>
    <t xml:space="preserve">PROCLAIM 5 SG </t>
  </si>
  <si>
    <t xml:space="preserve">2X10X30 G   </t>
  </si>
  <si>
    <t>4X12X10 GM</t>
  </si>
  <si>
    <t xml:space="preserve">REVUS 250 SC </t>
  </si>
  <si>
    <t xml:space="preserve">20X100 ML  </t>
  </si>
  <si>
    <t>RIFIT PLUS 37</t>
  </si>
  <si>
    <t>20x165 ML</t>
  </si>
  <si>
    <t xml:space="preserve">RIFIT PLUS 37       </t>
  </si>
  <si>
    <t>20X250 ML</t>
  </si>
  <si>
    <t xml:space="preserve">SCORE 250 EC </t>
  </si>
  <si>
    <t xml:space="preserve">20X50 ML   </t>
  </si>
  <si>
    <t>SILIKA</t>
  </si>
  <si>
    <t xml:space="preserve">10X1 KG </t>
  </si>
  <si>
    <t>VESTORIA 20WG</t>
  </si>
  <si>
    <t xml:space="preserve">20X50 ML </t>
  </si>
  <si>
    <t>40X50 ML</t>
  </si>
  <si>
    <t>FASAL UP</t>
  </si>
  <si>
    <t>4X10X10 GM</t>
  </si>
  <si>
    <t>30x100G</t>
  </si>
  <si>
    <t>10x500 ML</t>
  </si>
  <si>
    <t>Expiry</t>
  </si>
  <si>
    <t>SCH5B2E004</t>
  </si>
  <si>
    <t>SOLVESSO 100 BULK KG                 PKA</t>
  </si>
  <si>
    <t>CARIAL FLEX 43 WG 600KG</t>
  </si>
  <si>
    <t xml:space="preserve">1X600 KG </t>
  </si>
  <si>
    <t>SCH5B2E003</t>
  </si>
  <si>
    <t>Remarks</t>
  </si>
  <si>
    <t>SV38022519</t>
  </si>
  <si>
    <t>SSP5A2500-001</t>
  </si>
  <si>
    <t>GROZIN (Zinc Sulphate Mono) 25 KG BDA</t>
  </si>
  <si>
    <t>40x25 kg</t>
  </si>
  <si>
    <t>ISKY20250227, 20250227</t>
  </si>
  <si>
    <t xml:space="preserve">BOGRA </t>
  </si>
  <si>
    <t>Production</t>
  </si>
  <si>
    <t>6E12217051</t>
  </si>
  <si>
    <t>Bulk</t>
  </si>
  <si>
    <t>Expired (Write Off Proposed)</t>
  </si>
  <si>
    <t>SBV22I385</t>
  </si>
  <si>
    <t>REWORKED</t>
  </si>
  <si>
    <t>SBV24I379</t>
  </si>
  <si>
    <t>SBU25I599</t>
  </si>
  <si>
    <t>Sales Return</t>
  </si>
  <si>
    <t>SBV24G293</t>
  </si>
  <si>
    <t>SBV25I598</t>
  </si>
  <si>
    <t xml:space="preserve">Green-60 </t>
  </si>
  <si>
    <t>SBV25G497</t>
  </si>
  <si>
    <t>Reworked</t>
  </si>
  <si>
    <t>SBV22J092</t>
  </si>
  <si>
    <t>Expired</t>
  </si>
  <si>
    <t>SBV25I611</t>
  </si>
  <si>
    <t>SBV24I371</t>
  </si>
  <si>
    <t>SBV25K638</t>
  </si>
  <si>
    <t xml:space="preserve">Nickel </t>
  </si>
  <si>
    <t>SBV25J624</t>
  </si>
  <si>
    <t>Reworked 85  SAC</t>
  </si>
  <si>
    <t xml:space="preserve">Ononnya </t>
  </si>
  <si>
    <t>SBV25G554</t>
  </si>
  <si>
    <t>SBV25G558</t>
  </si>
  <si>
    <t>SBV24E257</t>
  </si>
  <si>
    <t>SBV24D166</t>
  </si>
  <si>
    <t>SBV25D471</t>
  </si>
  <si>
    <t>SBV25E485</t>
  </si>
  <si>
    <t xml:space="preserve">Sunshine </t>
  </si>
  <si>
    <t>Imported 1511 Sac</t>
  </si>
  <si>
    <t>SBV25I594</t>
  </si>
  <si>
    <t xml:space="preserve">TO 3038 </t>
  </si>
  <si>
    <t>SBV25H566</t>
  </si>
  <si>
    <t>SBV25F518</t>
  </si>
  <si>
    <t>SBV25G526</t>
  </si>
  <si>
    <t>Sum of EXPIRY QTY CM</t>
  </si>
  <si>
    <t>Values</t>
  </si>
  <si>
    <t>Sum of Kg-ltr</t>
  </si>
  <si>
    <t>SCH5D2003</t>
  </si>
  <si>
    <t>SCH5DS2002</t>
  </si>
  <si>
    <t>SCH5DW3005</t>
  </si>
  <si>
    <t>SCH5D2E007</t>
  </si>
  <si>
    <t>SCH5D003004</t>
  </si>
  <si>
    <t>2X10X30 GM</t>
  </si>
  <si>
    <t>SHC5D2E007</t>
  </si>
  <si>
    <t>SCH5D2E008</t>
  </si>
  <si>
    <t xml:space="preserve">NK 40 </t>
  </si>
  <si>
    <t>5 x 2 kg</t>
  </si>
  <si>
    <t>TRI-188</t>
  </si>
  <si>
    <t>WIN-902</t>
  </si>
  <si>
    <t>SBV25J626</t>
  </si>
  <si>
    <t>6E14232712</t>
  </si>
  <si>
    <t>SCH5E093</t>
  </si>
  <si>
    <t>SCH5ES01012</t>
  </si>
  <si>
    <t>SCH5E22110</t>
  </si>
  <si>
    <t>SCH5ES1008</t>
  </si>
  <si>
    <t>10X500 GM</t>
  </si>
  <si>
    <t>SCH5E20110</t>
  </si>
  <si>
    <t>10X500 ML</t>
  </si>
  <si>
    <t>SBV26A677</t>
  </si>
  <si>
    <t>SBV26A674</t>
  </si>
  <si>
    <t>ALO</t>
  </si>
  <si>
    <t>SBV26A685</t>
  </si>
  <si>
    <t>SCH5E2093</t>
  </si>
  <si>
    <t>SCH6BS2013</t>
  </si>
  <si>
    <t>BOGURA</t>
  </si>
  <si>
    <t>Parosh Plus</t>
  </si>
  <si>
    <t>Syn Hyb Dhan-8 BD</t>
  </si>
  <si>
    <t>Syn Hyb Dhan-8 IND</t>
  </si>
  <si>
    <t>Syngenta S -1203 BD</t>
  </si>
  <si>
    <t>Syngenta S -1203 IND</t>
  </si>
  <si>
    <t>Syngenta S -1204 IND</t>
  </si>
  <si>
    <t>SBV24A229</t>
  </si>
  <si>
    <t>722 BAG SALES RETURN</t>
  </si>
  <si>
    <t>Pack size</t>
  </si>
  <si>
    <t>SV36502603</t>
  </si>
  <si>
    <t>2,6-DI-TBUTYL-4-MRTHYL-PHENOL  1 KG  BDA</t>
  </si>
  <si>
    <t>30x25 KG</t>
  </si>
  <si>
    <t>REVUS 250 SC 200 L                   BDA</t>
  </si>
  <si>
    <t>4X200 L</t>
  </si>
  <si>
    <t>SPL502E009</t>
  </si>
  <si>
    <t>SCH5FW2011</t>
  </si>
  <si>
    <t xml:space="preserve">LASER 10 WP </t>
  </si>
  <si>
    <t>RB20250603</t>
  </si>
  <si>
    <t>SCH5F00084</t>
  </si>
  <si>
    <t>SCH5F135RM</t>
  </si>
  <si>
    <t>SCH5F134RM</t>
  </si>
  <si>
    <t xml:space="preserve">20 X 50 ML </t>
  </si>
  <si>
    <t>RB20250601</t>
  </si>
  <si>
    <t xml:space="preserve">MIRAVIS DUO 20SC          </t>
  </si>
  <si>
    <t xml:space="preserve">20 x 50 ML </t>
  </si>
  <si>
    <t>SCH5F00076</t>
  </si>
  <si>
    <t xml:space="preserve">4X 12 X 10 GM </t>
  </si>
  <si>
    <t xml:space="preserve">RIDOMIL GOLD MZ 68 WG </t>
  </si>
  <si>
    <t>SBV26A647</t>
  </si>
  <si>
    <t>PEGASUS 50 SC 180L                   22D</t>
  </si>
  <si>
    <t>4X180 L</t>
  </si>
  <si>
    <t>SIK5ES1012</t>
  </si>
  <si>
    <t>SPL502E008,SPL502E009</t>
  </si>
  <si>
    <t>SCH5DS2003</t>
  </si>
  <si>
    <t xml:space="preserve">30 X 100 GM </t>
  </si>
  <si>
    <t>DAISY</t>
  </si>
  <si>
    <t>10X100 GM</t>
  </si>
  <si>
    <t>SBV26A670</t>
  </si>
  <si>
    <t>48 CTN JULY 27</t>
  </si>
  <si>
    <t>Sales Return,50 CTN from DHK WH</t>
  </si>
  <si>
    <t>SCH5F136RM</t>
  </si>
  <si>
    <t>SCH5F00021</t>
  </si>
  <si>
    <t>250 ctn Sales Return</t>
  </si>
  <si>
    <t>RB20250604</t>
  </si>
  <si>
    <t>SBV26A708</t>
  </si>
  <si>
    <t>SBV25L658</t>
  </si>
  <si>
    <t>SCH5G00116</t>
  </si>
  <si>
    <t>SCH5GS2056</t>
  </si>
  <si>
    <t>PROCLAIM 05 SG</t>
  </si>
  <si>
    <t>SCH5G22918</t>
  </si>
  <si>
    <t>DKC-1287</t>
  </si>
  <si>
    <t>Dec-27(1738) carton</t>
  </si>
  <si>
    <t>March-28(667)carton.</t>
  </si>
  <si>
    <t>Oct-27(1150).</t>
  </si>
  <si>
    <t xml:space="preserve">ACTARA 25WG     </t>
  </si>
  <si>
    <t>June</t>
  </si>
  <si>
    <t>SCH5D003005</t>
  </si>
  <si>
    <t>SCH5G22916</t>
  </si>
  <si>
    <t>SCH5G22064</t>
  </si>
  <si>
    <t>10 X 10gm</t>
  </si>
  <si>
    <t>10 X 5gm</t>
  </si>
  <si>
    <t>4x12x10 G</t>
  </si>
  <si>
    <t xml:space="preserve">ARMURE 30EC </t>
  </si>
  <si>
    <t xml:space="preserve">20X12 X 5 GM </t>
  </si>
  <si>
    <t>10X 500 GM</t>
  </si>
  <si>
    <t>RB20260701</t>
  </si>
  <si>
    <t>SCH5G00115</t>
  </si>
  <si>
    <t>RIDOMIL GOLD MZ 68 WG 600 KG         124</t>
  </si>
  <si>
    <t>IPT5F162-166</t>
  </si>
  <si>
    <t>ACTARA 25 WG 40 KG                   22D</t>
  </si>
  <si>
    <t>8X40 KG</t>
  </si>
  <si>
    <t>SIK5FW2012</t>
  </si>
  <si>
    <t>IPT5F162RM, IPT5F165RM</t>
  </si>
  <si>
    <t>Syngenta S -1204</t>
  </si>
  <si>
    <t>SBV25L575</t>
  </si>
  <si>
    <t>4 X 30 X 25 GM</t>
  </si>
  <si>
    <t>RB20250703</t>
  </si>
  <si>
    <t>SCH5DW3004</t>
  </si>
  <si>
    <t>SCH5F140RM</t>
  </si>
  <si>
    <t>JAZZ</t>
  </si>
  <si>
    <t>300 ctn JULY -27</t>
  </si>
  <si>
    <t>Jashore</t>
  </si>
  <si>
    <t xml:space="preserve">JUNE </t>
  </si>
  <si>
    <t>BENGAL KING</t>
  </si>
  <si>
    <t>SBV26A709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</si>
</sst>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mmm\-yy;@"/>
    <numFmt numFmtId="165" formatCode="m/d/yy;@"/>
    <numFmt numFmtId="166" formatCode="General_)"/>
    <numFmt numFmtId="167" formatCode="_(* #,##0_);_(* \(#,##0\);_(* &quot;-&quot;??_);_(@_)"/>
    <numFmt numFmtId="168" formatCode="0_);[Red]\(0\)"/>
    <numFmt numFmtId="169" formatCode="#,##0.0"/>
  </numFmts>
  <fonts count="1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0"/>
      <name val="Arial Narrow"/>
      <family val="2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name val="Arial"/>
      <family val="2"/>
    </font>
    <font>
      <sz val="10"/>
      <color indexed="8"/>
      <name val="Calibri"/>
      <family val="2"/>
    </font>
    <font>
      <sz val="8"/>
      <name val="Aptos Narrow"/>
      <family val="2"/>
      <scheme val="minor"/>
    </font>
    <font>
      <b/>
      <sz val="12"/>
      <color rgb="FF002060"/>
      <name val="Tahoma"/>
      <family val="2"/>
    </font>
    <font>
      <b/>
      <sz val="10"/>
      <color theme="1"/>
      <name val="Tahoma"/>
      <family val="2"/>
    </font>
    <font>
      <sz val="11"/>
      <color rgb="FF002060"/>
      <name val="Tahoma"/>
      <family val="2"/>
    </font>
    <font>
      <sz val="12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B8200"/>
        <bgColor indexed="64"/>
      </patternFill>
    </fill>
    <fill>
      <patternFill patternType="solid">
        <fgColor rgb="FFF7D8CB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C9E7A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E49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4" fillId="0" borderId="0"/>
    <xf numFmtId="0" fontId="3" fillId="0" borderId="0"/>
    <xf numFmtId="43" fontId="4" fillId="0" borderId="0" applyFont="0" applyFill="0" applyBorder="0" applyAlignment="0" applyProtection="0"/>
    <xf numFmtId="0" fontId="5" fillId="0" borderId="0" applyFill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43" fontId="9" fillId="0" borderId="0" applyFont="0" applyFill="0" applyBorder="0" applyAlignment="0" applyProtection="0"/>
    <xf numFmtId="0" fontId="3" fillId="0" borderId="0"/>
    <xf numFmtId="0" fontId="3" fillId="0" borderId="0"/>
  </cellStyleXfs>
  <cellXfs count="106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0" xfId="0" pivotButton="1"/>
    <xf numFmtId="165" fontId="0" fillId="0" borderId="1" xfId="0" applyNumberFormat="1" applyBorder="1"/>
    <xf numFmtId="0" fontId="0" fillId="5" borderId="1" xfId="0" applyFill="1" applyBorder="1" applyAlignment="1" applyProtection="1">
      <alignment horizontal="center" vertical="center" wrapText="1"/>
      <protection hidden="1"/>
    </xf>
    <xf numFmtId="0" fontId="0" fillId="5" borderId="1" xfId="0" applyFill="1" applyBorder="1" applyAlignment="1" applyProtection="1">
      <alignment vertical="center" wrapText="1"/>
      <protection locked="0"/>
    </xf>
    <xf numFmtId="0" fontId="0" fillId="0" borderId="1" xfId="0" applyBorder="1" applyProtection="1">
      <protection hidden="1"/>
    </xf>
    <xf numFmtId="0" fontId="0" fillId="0" borderId="1" xfId="0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hidden="1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2" fillId="5" borderId="1" xfId="0" applyFont="1" applyFill="1" applyBorder="1" applyAlignment="1" applyProtection="1">
      <alignment vertical="center"/>
      <protection hidden="1"/>
    </xf>
    <xf numFmtId="0" fontId="2" fillId="5" borderId="1" xfId="0" applyFont="1" applyFill="1" applyBorder="1" applyAlignment="1" applyProtection="1">
      <alignment vertical="center"/>
      <protection locked="0"/>
    </xf>
    <xf numFmtId="164" fontId="0" fillId="0" borderId="2" xfId="0" quotePrefix="1" applyNumberFormat="1" applyBorder="1" applyAlignment="1" applyProtection="1">
      <alignment horizontal="center" vertical="center"/>
      <protection locked="0"/>
    </xf>
    <xf numFmtId="3" fontId="0" fillId="0" borderId="3" xfId="0" applyNumberFormat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vertical="center"/>
      <protection hidden="1"/>
    </xf>
    <xf numFmtId="0" fontId="0" fillId="3" borderId="2" xfId="0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vertical="center"/>
      <protection hidden="1"/>
    </xf>
    <xf numFmtId="0" fontId="13" fillId="11" borderId="1" xfId="6" applyNumberFormat="1" applyFont="1" applyFill="1" applyBorder="1" applyAlignment="1" applyProtection="1">
      <alignment vertical="center"/>
    </xf>
    <xf numFmtId="0" fontId="13" fillId="11" borderId="8" xfId="0" applyFont="1" applyFill="1" applyBorder="1" applyAlignment="1">
      <alignment horizontal="center" vertical="center"/>
    </xf>
    <xf numFmtId="168" fontId="13" fillId="11" borderId="7" xfId="0" applyNumberFormat="1" applyFont="1" applyFill="1" applyBorder="1" applyAlignment="1">
      <alignment horizontal="center"/>
    </xf>
    <xf numFmtId="168" fontId="13" fillId="11" borderId="9" xfId="0" applyNumberFormat="1" applyFont="1" applyFill="1" applyBorder="1" applyAlignment="1">
      <alignment horizontal="center"/>
    </xf>
    <xf numFmtId="166" fontId="12" fillId="10" borderId="10" xfId="0" applyNumberFormat="1" applyFont="1" applyFill="1" applyBorder="1" applyAlignment="1">
      <alignment horizontal="center" vertical="center"/>
    </xf>
    <xf numFmtId="0" fontId="13" fillId="11" borderId="1" xfId="6" applyNumberFormat="1" applyFont="1" applyFill="1" applyBorder="1" applyAlignment="1" applyProtection="1">
      <alignment horizontal="center" vertical="center"/>
    </xf>
    <xf numFmtId="167" fontId="13" fillId="11" borderId="1" xfId="6" applyNumberFormat="1" applyFont="1" applyFill="1" applyBorder="1" applyAlignment="1" applyProtection="1">
      <alignment vertical="center"/>
    </xf>
    <xf numFmtId="0" fontId="13" fillId="11" borderId="1" xfId="0" applyFont="1" applyFill="1" applyBorder="1" applyAlignment="1">
      <alignment horizontal="center" vertical="center"/>
    </xf>
    <xf numFmtId="0" fontId="13" fillId="11" borderId="1" xfId="0" quotePrefix="1" applyFont="1" applyFill="1" applyBorder="1" applyAlignment="1">
      <alignment horizontal="center" vertical="center"/>
    </xf>
    <xf numFmtId="0" fontId="13" fillId="11" borderId="1" xfId="6" quotePrefix="1" applyNumberFormat="1" applyFont="1" applyFill="1" applyBorder="1" applyAlignment="1" applyProtection="1">
      <alignment horizontal="center" vertical="center"/>
    </xf>
    <xf numFmtId="0" fontId="13" fillId="11" borderId="1" xfId="0" applyFont="1" applyFill="1" applyBorder="1" applyAlignment="1">
      <alignment horizontal="center"/>
    </xf>
    <xf numFmtId="0" fontId="13" fillId="11" borderId="1" xfId="6" applyNumberFormat="1" applyFont="1" applyFill="1" applyBorder="1" applyAlignment="1">
      <alignment vertical="center"/>
    </xf>
    <xf numFmtId="167" fontId="13" fillId="11" borderId="1" xfId="6" applyNumberFormat="1" applyFont="1" applyFill="1" applyBorder="1" applyAlignment="1">
      <alignment vertical="center"/>
    </xf>
    <xf numFmtId="0" fontId="13" fillId="11" borderId="1" xfId="0" applyFont="1" applyFill="1" applyBorder="1" applyAlignment="1">
      <alignment horizontal="left"/>
    </xf>
    <xf numFmtId="166" fontId="12" fillId="10" borderId="11" xfId="0" applyNumberFormat="1" applyFont="1" applyFill="1" applyBorder="1" applyAlignment="1">
      <alignment horizontal="center" vertical="center"/>
    </xf>
    <xf numFmtId="166" fontId="12" fillId="10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4" borderId="1" xfId="0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vertical="center"/>
      <protection locked="0"/>
    </xf>
    <xf numFmtId="0" fontId="2" fillId="12" borderId="4" xfId="0" applyFont="1" applyFill="1" applyBorder="1" applyProtection="1">
      <protection hidden="1"/>
    </xf>
    <xf numFmtId="0" fontId="2" fillId="12" borderId="5" xfId="0" applyFont="1" applyFill="1" applyBorder="1" applyProtection="1">
      <protection hidden="1"/>
    </xf>
    <xf numFmtId="0" fontId="0" fillId="0" borderId="12" xfId="0" applyBorder="1" applyProtection="1">
      <protection hidden="1"/>
    </xf>
    <xf numFmtId="0" fontId="14" fillId="2" borderId="0" xfId="0" applyFont="1" applyFill="1" applyAlignment="1" applyProtection="1">
      <alignment vertical="center"/>
      <protection hidden="1"/>
    </xf>
    <xf numFmtId="0" fontId="14" fillId="2" borderId="1" xfId="0" applyFont="1" applyFill="1" applyBorder="1" applyAlignment="1" applyProtection="1">
      <alignment vertical="center"/>
      <protection hidden="1"/>
    </xf>
    <xf numFmtId="0" fontId="0" fillId="0" borderId="1" xfId="0" applyBorder="1" applyAlignment="1">
      <alignment vertical="top"/>
    </xf>
    <xf numFmtId="0" fontId="0" fillId="0" borderId="13" xfId="0" applyBorder="1" applyProtection="1">
      <protection locked="0"/>
    </xf>
    <xf numFmtId="0" fontId="0" fillId="0" borderId="1" xfId="0" applyBorder="1" applyAlignment="1" applyProtection="1">
      <alignment horizontal="right"/>
      <protection locked="0"/>
    </xf>
    <xf numFmtId="0" fontId="0" fillId="0" borderId="12" xfId="0" applyBorder="1" applyAlignment="1" applyProtection="1">
      <alignment horizontal="right"/>
      <protection locked="0"/>
    </xf>
    <xf numFmtId="3" fontId="2" fillId="5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1" fontId="7" fillId="3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 applyProtection="1">
      <alignment vertical="center"/>
      <protection hidden="1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1" xfId="0" quotePrefix="1" applyNumberFormat="1" applyBorder="1" applyProtection="1">
      <protection locked="0"/>
    </xf>
    <xf numFmtId="0" fontId="0" fillId="3" borderId="2" xfId="0" applyFill="1" applyBorder="1" applyAlignment="1" applyProtection="1">
      <alignment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3" fontId="0" fillId="2" borderId="1" xfId="0" quotePrefix="1" applyNumberForma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hidden="1"/>
    </xf>
    <xf numFmtId="0" fontId="8" fillId="6" borderId="14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 readingOrder="1"/>
    </xf>
    <xf numFmtId="164" fontId="0" fillId="0" borderId="1" xfId="0" quotePrefix="1" applyNumberFormat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 applyProtection="1">
      <alignment vertical="center"/>
      <protection hidden="1"/>
    </xf>
    <xf numFmtId="0" fontId="15" fillId="0" borderId="1" xfId="0" applyFont="1" applyBorder="1" applyAlignment="1">
      <alignment horizontal="center" vertical="center"/>
    </xf>
    <xf numFmtId="3" fontId="0" fillId="0" borderId="0" xfId="0" applyNumberFormat="1"/>
    <xf numFmtId="3" fontId="0" fillId="0" borderId="16" xfId="0" applyNumberFormat="1" applyBorder="1" applyAlignment="1" applyProtection="1">
      <alignment horizontal="center" vertical="center"/>
      <protection locked="0"/>
    </xf>
    <xf numFmtId="0" fontId="0" fillId="2" borderId="1" xfId="0" quotePrefix="1" applyFill="1" applyBorder="1" applyAlignment="1" applyProtection="1">
      <alignment horizontal="center" vertical="center"/>
      <protection locked="0"/>
    </xf>
    <xf numFmtId="0" fontId="0" fillId="0" borderId="3" xfId="0" quotePrefix="1" applyBorder="1" applyAlignment="1" applyProtection="1">
      <alignment horizontal="center" vertical="center"/>
      <protection locked="0"/>
    </xf>
    <xf numFmtId="164" fontId="0" fillId="0" borderId="1" xfId="0" quotePrefix="1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0" fillId="13" borderId="1" xfId="0" applyFill="1" applyBorder="1"/>
    <xf numFmtId="0" fontId="0" fillId="13" borderId="1" xfId="0" applyFill="1" applyBorder="1" applyAlignment="1">
      <alignment horizontal="right"/>
    </xf>
    <xf numFmtId="164" fontId="0" fillId="0" borderId="1" xfId="0" applyNumberFormat="1" applyBorder="1"/>
    <xf numFmtId="0" fontId="7" fillId="2" borderId="1" xfId="0" applyFont="1" applyFill="1" applyBorder="1" applyAlignment="1" applyProtection="1">
      <alignment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1" fontId="7" fillId="0" borderId="1" xfId="0" quotePrefix="1" applyNumberFormat="1" applyFont="1" applyBorder="1" applyAlignment="1" applyProtection="1">
      <alignment horizontal="left" vertical="center"/>
      <protection locked="0"/>
    </xf>
    <xf numFmtId="17" fontId="0" fillId="0" borderId="1" xfId="0" quotePrefix="1" applyNumberForma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/>
    </xf>
    <xf numFmtId="0" fontId="0" fillId="2" borderId="2" xfId="0" applyFill="1" applyBorder="1" applyAlignment="1" applyProtection="1">
      <alignment horizontal="center" vertical="center"/>
      <protection hidden="1"/>
    </xf>
    <xf numFmtId="169" fontId="0" fillId="2" borderId="1" xfId="0" quotePrefix="1" applyNumberForma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right" vertical="center"/>
      <protection hidden="1"/>
    </xf>
    <xf numFmtId="0" fontId="0" fillId="5" borderId="1" xfId="0" applyFill="1" applyBorder="1" applyAlignment="1" applyProtection="1">
      <alignment horizontal="center" vertical="center" wrapText="1"/>
      <protection locked="0"/>
    </xf>
    <xf numFmtId="0" fontId="13" fillId="11" borderId="1" xfId="0" applyFont="1" applyFill="1" applyBorder="1" applyAlignment="1">
      <alignment horizontal="left" vertical="center"/>
    </xf>
    <xf numFmtId="0" fontId="13" fillId="11" borderId="1" xfId="6" applyNumberFormat="1" applyFont="1" applyFill="1" applyBorder="1" applyAlignment="1" applyProtection="1">
      <alignment horizontal="left" vertical="center"/>
    </xf>
    <xf numFmtId="0" fontId="13" fillId="11" borderId="1" xfId="6" applyNumberFormat="1" applyFont="1" applyFill="1" applyBorder="1" applyAlignment="1" applyProtection="1">
      <alignment vertical="center"/>
    </xf>
    <xf numFmtId="0" fontId="13" fillId="11" borderId="1" xfId="6" applyNumberFormat="1" applyFont="1" applyFill="1" applyBorder="1" applyAlignment="1">
      <alignment horizontal="left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3" fillId="11" borderId="1" xfId="0" quotePrefix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</cellXfs>
  <cellStyles count="12">
    <cellStyle name="Comma 2" xfId="4" xr:uid="{87E5EBB4-E823-4A4D-8802-5446CBB4242F}"/>
    <cellStyle name="Comma 2 2 2" xfId="9" xr:uid="{6F5DD62C-6C3F-49F8-923D-9FF2160BCFF8}"/>
    <cellStyle name="Comma 6" xfId="6" xr:uid="{7256A135-0590-4352-8035-8A98F80AA95B}"/>
    <cellStyle name="Normal" xfId="0" builtinId="0"/>
    <cellStyle name="Normal 10 3" xfId="11" xr:uid="{DDD0DC55-4BD7-4B3E-911F-03A20097F36E}"/>
    <cellStyle name="Normal 13" xfId="8" xr:uid="{6A8945C1-712A-46C9-91B5-D0A7438EA3C3}"/>
    <cellStyle name="Normal 2" xfId="2" xr:uid="{1D6A9850-B777-4CF8-9527-B42D29850D33}"/>
    <cellStyle name="Normal 2 10" xfId="1" xr:uid="{B5CB54E6-8498-4CBE-829B-66420143A840}"/>
    <cellStyle name="Normal 2 2" xfId="7" xr:uid="{989ADF88-F2CD-427A-9A4A-964EC7F5AE94}"/>
    <cellStyle name="Normal 4" xfId="3" xr:uid="{D3D3F04C-2BE8-4AF1-9500-4ECC867396A8}"/>
    <cellStyle name="Normal 466" xfId="10" xr:uid="{03E540C6-9979-4294-AEB7-568C591CA692}"/>
    <cellStyle name="Normal 63" xfId="5" xr:uid="{F1BC7EA9-59C2-4C6C-BD83-B2D5B8F485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ngenta.sharepoint.com/sites/InventoryTeamBD/Shared%20Documents/General/Report/12M/Country%2012M%20file%2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ngenta-my.sharepoint.com/personal/das_twinkel_syngenta_com/Documents/Desktop/Inventory/Month%20End%20Report%202026/June-26/12M%20Products%20Update%20Ctg%20WH%20May-26.xlsm" TargetMode="External"/><Relationship Id="rId1" Type="http://schemas.openxmlformats.org/officeDocument/2006/relationships/externalLinkPath" Target="12M%20Products%20Update%20Ctg%20WH%20May-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"/>
      <sheetName val="Sheet2"/>
      <sheetName val="Sheet3"/>
      <sheetName val="Seed"/>
      <sheetName val="Sheet1"/>
      <sheetName val="Bulk"/>
      <sheetName val="Sheet4"/>
      <sheetName val="Old M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P-12M"/>
      <sheetName val="Seed-12M"/>
      <sheetName val="Bulk-12M"/>
      <sheetName val="CP Stock"/>
      <sheetName val="Seeds Stock"/>
      <sheetName val="Bulk Stock"/>
      <sheetName val="Sales(CP &amp; Seeds)"/>
      <sheetName val="CODE"/>
    </sheetNames>
    <sheetDataSet>
      <sheetData sheetId="0"/>
      <sheetData sheetId="1"/>
      <sheetData sheetId="2"/>
      <sheetData sheetId="3"/>
      <sheetData sheetId="4">
        <row r="2">
          <cell r="A2">
            <v>254864</v>
          </cell>
          <cell r="B2" t="str">
            <v>Shafal 10 x 5 gm</v>
          </cell>
          <cell r="F2">
            <v>185</v>
          </cell>
          <cell r="G2">
            <v>185</v>
          </cell>
        </row>
        <row r="3">
          <cell r="A3">
            <v>254867</v>
          </cell>
          <cell r="B3" t="str">
            <v>Hytom-2 10 x 5 gm</v>
          </cell>
          <cell r="F3">
            <v>10</v>
          </cell>
          <cell r="G3">
            <v>10</v>
          </cell>
        </row>
        <row r="4">
          <cell r="A4">
            <v>311461</v>
          </cell>
          <cell r="B4" t="str">
            <v>Magnet 10 x 10 gm</v>
          </cell>
          <cell r="E4">
            <v>20</v>
          </cell>
          <cell r="F4">
            <v>51</v>
          </cell>
          <cell r="G4">
            <v>71</v>
          </cell>
        </row>
        <row r="5">
          <cell r="A5">
            <v>351343</v>
          </cell>
          <cell r="B5" t="str">
            <v>Dragon 10 x 100 gm</v>
          </cell>
          <cell r="F5">
            <v>977.9</v>
          </cell>
          <cell r="G5">
            <v>977.9</v>
          </cell>
        </row>
        <row r="6">
          <cell r="A6">
            <v>4011501</v>
          </cell>
          <cell r="B6" t="str">
            <v>BR 11 (FS) 1 x 10 kg</v>
          </cell>
          <cell r="F6">
            <v>155</v>
          </cell>
          <cell r="G6">
            <v>155</v>
          </cell>
        </row>
        <row r="7">
          <cell r="A7">
            <v>4011502</v>
          </cell>
          <cell r="B7" t="str">
            <v>BINA Dhan 7 (FS)  1 x 10 kg</v>
          </cell>
          <cell r="F7">
            <v>66</v>
          </cell>
          <cell r="G7">
            <v>66</v>
          </cell>
        </row>
        <row r="8">
          <cell r="A8">
            <v>4011999</v>
          </cell>
          <cell r="B8" t="str">
            <v>Daisy 10 x 10 gm</v>
          </cell>
          <cell r="C8">
            <v>53</v>
          </cell>
          <cell r="D8">
            <v>50</v>
          </cell>
          <cell r="E8">
            <v>18</v>
          </cell>
          <cell r="F8">
            <v>56</v>
          </cell>
          <cell r="G8">
            <v>177</v>
          </cell>
        </row>
        <row r="9">
          <cell r="A9">
            <v>4012035</v>
          </cell>
          <cell r="B9" t="str">
            <v>BRRI Dhan 28 (FS) 1 x 10 kg</v>
          </cell>
          <cell r="F9">
            <v>40</v>
          </cell>
          <cell r="G9">
            <v>40</v>
          </cell>
        </row>
        <row r="10">
          <cell r="A10">
            <v>4012036</v>
          </cell>
          <cell r="B10" t="str">
            <v>BRRI Dhan 49 (FS) 1 x 10 kg</v>
          </cell>
          <cell r="F10">
            <v>190</v>
          </cell>
          <cell r="G10">
            <v>190</v>
          </cell>
        </row>
        <row r="11">
          <cell r="A11">
            <v>4012839</v>
          </cell>
          <cell r="B11" t="str">
            <v>Hytom 2 10 x 10 gm</v>
          </cell>
          <cell r="F11">
            <v>37</v>
          </cell>
          <cell r="G11">
            <v>37</v>
          </cell>
        </row>
        <row r="12">
          <cell r="A12">
            <v>4012840</v>
          </cell>
          <cell r="B12" t="str">
            <v>Shafal 10 x 10 gm</v>
          </cell>
          <cell r="F12">
            <v>148</v>
          </cell>
          <cell r="G12">
            <v>148</v>
          </cell>
        </row>
        <row r="13">
          <cell r="A13">
            <v>4012859</v>
          </cell>
          <cell r="B13" t="str">
            <v>Ivory White 10 x 100 gm</v>
          </cell>
          <cell r="F13">
            <v>55</v>
          </cell>
          <cell r="G13">
            <v>55</v>
          </cell>
        </row>
        <row r="14">
          <cell r="A14">
            <v>4038537</v>
          </cell>
          <cell r="B14" t="str">
            <v>Nolock 10 x 100 gm</v>
          </cell>
          <cell r="C14">
            <v>112</v>
          </cell>
          <cell r="E14">
            <v>85</v>
          </cell>
          <cell r="F14">
            <v>73</v>
          </cell>
          <cell r="G14">
            <v>270</v>
          </cell>
        </row>
        <row r="15">
          <cell r="A15">
            <v>4040417</v>
          </cell>
          <cell r="B15" t="str">
            <v>Ononnya 10X5 gm</v>
          </cell>
          <cell r="F15">
            <v>233</v>
          </cell>
          <cell r="G15">
            <v>233</v>
          </cell>
        </row>
        <row r="16">
          <cell r="A16">
            <v>4040520</v>
          </cell>
          <cell r="B16" t="str">
            <v>Ononnya 10X10 gm</v>
          </cell>
          <cell r="F16">
            <v>134</v>
          </cell>
          <cell r="G16">
            <v>134</v>
          </cell>
        </row>
        <row r="17">
          <cell r="A17">
            <v>4068066</v>
          </cell>
          <cell r="B17" t="str">
            <v>Bipul Plus 10X5 gm</v>
          </cell>
          <cell r="F17">
            <v>1861</v>
          </cell>
          <cell r="G17">
            <v>1861</v>
          </cell>
        </row>
        <row r="18">
          <cell r="A18">
            <v>4068137</v>
          </cell>
          <cell r="B18" t="str">
            <v>Bipul Plus 10X10 gm</v>
          </cell>
          <cell r="F18">
            <v>949</v>
          </cell>
          <cell r="G18">
            <v>949</v>
          </cell>
        </row>
        <row r="19">
          <cell r="A19">
            <v>4073384</v>
          </cell>
          <cell r="B19" t="str">
            <v>Asha(PK 675) 10X10 gm</v>
          </cell>
          <cell r="D19">
            <v>30</v>
          </cell>
          <cell r="E19">
            <v>40</v>
          </cell>
          <cell r="F19">
            <v>9</v>
          </cell>
          <cell r="G19">
            <v>79</v>
          </cell>
        </row>
        <row r="20">
          <cell r="A20">
            <v>4073385</v>
          </cell>
          <cell r="B20" t="str">
            <v>Cute (CU 1575) 10X10 gm</v>
          </cell>
          <cell r="C20">
            <v>10</v>
          </cell>
          <cell r="D20">
            <v>29</v>
          </cell>
          <cell r="E20">
            <v>32</v>
          </cell>
          <cell r="G20">
            <v>71</v>
          </cell>
        </row>
        <row r="21">
          <cell r="A21">
            <v>4075099</v>
          </cell>
          <cell r="B21" t="str">
            <v>RED GOLD (GF 1041) 10X5 gm</v>
          </cell>
          <cell r="F21">
            <v>110</v>
          </cell>
          <cell r="G21">
            <v>110</v>
          </cell>
        </row>
        <row r="22">
          <cell r="A22">
            <v>4075102</v>
          </cell>
          <cell r="B22" t="str">
            <v>RED GOLD (GF 1041) 10X10 gm</v>
          </cell>
          <cell r="F22">
            <v>31</v>
          </cell>
          <cell r="G22">
            <v>31</v>
          </cell>
        </row>
        <row r="23">
          <cell r="A23">
            <v>4075565</v>
          </cell>
          <cell r="B23" t="str">
            <v>TO 3038 10X10 gm</v>
          </cell>
          <cell r="F23">
            <v>110</v>
          </cell>
          <cell r="G23">
            <v>110</v>
          </cell>
        </row>
        <row r="24">
          <cell r="A24">
            <v>4076668</v>
          </cell>
          <cell r="B24" t="str">
            <v>BRRI Dhan 49 (TLS) 10 x 3 kg</v>
          </cell>
          <cell r="D24">
            <v>1</v>
          </cell>
          <cell r="F24">
            <v>7</v>
          </cell>
          <cell r="G24">
            <v>8</v>
          </cell>
        </row>
        <row r="25">
          <cell r="A25">
            <v>4076669</v>
          </cell>
          <cell r="B25" t="str">
            <v>BRRI Dhan 29 (TLS) 10 x 3 kg</v>
          </cell>
          <cell r="F25">
            <v>45</v>
          </cell>
          <cell r="G25">
            <v>45</v>
          </cell>
        </row>
        <row r="26">
          <cell r="A26">
            <v>4076670</v>
          </cell>
          <cell r="B26" t="str">
            <v>BRRI Dhan 28 (TLS) 10 x 3 kg</v>
          </cell>
          <cell r="F26">
            <v>19</v>
          </cell>
          <cell r="G26">
            <v>19</v>
          </cell>
        </row>
        <row r="27">
          <cell r="A27">
            <v>4076671</v>
          </cell>
          <cell r="B27" t="str">
            <v>BR 11 (TLS) 10 x 3 kg</v>
          </cell>
          <cell r="D27">
            <v>179</v>
          </cell>
          <cell r="E27">
            <v>806</v>
          </cell>
          <cell r="F27">
            <v>1207</v>
          </cell>
          <cell r="G27">
            <v>2192</v>
          </cell>
        </row>
        <row r="28">
          <cell r="A28">
            <v>4096679</v>
          </cell>
          <cell r="B28" t="str">
            <v>Ice Ball (C-6105) 10X10gm</v>
          </cell>
          <cell r="D28">
            <v>27</v>
          </cell>
          <cell r="E28">
            <v>153</v>
          </cell>
          <cell r="F28">
            <v>1164.0999999999999</v>
          </cell>
          <cell r="G28">
            <v>1344.1</v>
          </cell>
        </row>
        <row r="29">
          <cell r="A29">
            <v>4101765</v>
          </cell>
          <cell r="B29" t="str">
            <v>Honey Queen 10 x 100 gm</v>
          </cell>
          <cell r="F29">
            <v>145.5</v>
          </cell>
          <cell r="G29">
            <v>145.5</v>
          </cell>
        </row>
        <row r="30">
          <cell r="A30">
            <v>4102903</v>
          </cell>
          <cell r="B30" t="str">
            <v>TO 3038 10X5 gm</v>
          </cell>
          <cell r="F30">
            <v>200</v>
          </cell>
          <cell r="G30">
            <v>200</v>
          </cell>
        </row>
        <row r="31">
          <cell r="A31">
            <v>4114195</v>
          </cell>
          <cell r="B31" t="str">
            <v>Alo (PK 375) 10X10gm</v>
          </cell>
          <cell r="C31">
            <v>20</v>
          </cell>
          <cell r="D31">
            <v>28</v>
          </cell>
          <cell r="E31">
            <v>19</v>
          </cell>
          <cell r="F31">
            <v>790</v>
          </cell>
          <cell r="G31">
            <v>857</v>
          </cell>
        </row>
        <row r="32">
          <cell r="A32">
            <v>4118665</v>
          </cell>
          <cell r="B32" t="str">
            <v>Sugar Queen 10 x 10 gm</v>
          </cell>
          <cell r="D32">
            <v>20</v>
          </cell>
          <cell r="E32">
            <v>20</v>
          </cell>
          <cell r="F32">
            <v>209</v>
          </cell>
          <cell r="G32">
            <v>249</v>
          </cell>
        </row>
        <row r="33">
          <cell r="A33">
            <v>4132140</v>
          </cell>
          <cell r="B33" t="str">
            <v>Nobin 10X100gm</v>
          </cell>
          <cell r="E33">
            <v>78</v>
          </cell>
          <cell r="F33">
            <v>631</v>
          </cell>
          <cell r="G33">
            <v>709</v>
          </cell>
        </row>
        <row r="34">
          <cell r="A34">
            <v>4132141</v>
          </cell>
          <cell r="B34" t="str">
            <v>Dragon Super 10X100gm</v>
          </cell>
          <cell r="F34">
            <v>473.6</v>
          </cell>
          <cell r="G34">
            <v>473.6</v>
          </cell>
        </row>
        <row r="35">
          <cell r="A35">
            <v>4135822</v>
          </cell>
          <cell r="B35" t="str">
            <v>Green Ball 10 x 10 gm</v>
          </cell>
          <cell r="F35">
            <v>229</v>
          </cell>
          <cell r="G35">
            <v>229</v>
          </cell>
        </row>
        <row r="36">
          <cell r="A36">
            <v>4135823</v>
          </cell>
          <cell r="B36" t="str">
            <v>TO 3150 10 x 5 gm</v>
          </cell>
          <cell r="F36">
            <v>288</v>
          </cell>
          <cell r="G36">
            <v>288</v>
          </cell>
        </row>
        <row r="37">
          <cell r="A37">
            <v>4135831</v>
          </cell>
          <cell r="B37" t="str">
            <v>TO 3150 10 x 10 gm</v>
          </cell>
          <cell r="F37">
            <v>187</v>
          </cell>
          <cell r="G37">
            <v>187</v>
          </cell>
        </row>
        <row r="38">
          <cell r="A38">
            <v>4135874</v>
          </cell>
          <cell r="B38" t="str">
            <v>Testy 10 x 10 gm</v>
          </cell>
          <cell r="F38">
            <v>59</v>
          </cell>
          <cell r="G38">
            <v>59</v>
          </cell>
        </row>
        <row r="39">
          <cell r="A39">
            <v>4144722</v>
          </cell>
          <cell r="B39" t="str">
            <v>Rigel 10 x 10 gm</v>
          </cell>
          <cell r="F39">
            <v>101</v>
          </cell>
          <cell r="G39">
            <v>101</v>
          </cell>
        </row>
        <row r="40">
          <cell r="A40">
            <v>4144723</v>
          </cell>
          <cell r="B40" t="str">
            <v>Rigel 10 x 5 gm</v>
          </cell>
          <cell r="F40">
            <v>433</v>
          </cell>
          <cell r="G40">
            <v>433</v>
          </cell>
        </row>
        <row r="41">
          <cell r="A41">
            <v>4160722</v>
          </cell>
          <cell r="B41" t="str">
            <v>WIN 207 30 x 1 kg</v>
          </cell>
          <cell r="D41">
            <v>61</v>
          </cell>
          <cell r="E41">
            <v>77</v>
          </cell>
          <cell r="F41">
            <v>377</v>
          </cell>
          <cell r="G41">
            <v>515</v>
          </cell>
        </row>
        <row r="42">
          <cell r="A42">
            <v>4160929</v>
          </cell>
          <cell r="B42" t="str">
            <v>Rocket (RD-157)10X100 gm</v>
          </cell>
          <cell r="C42">
            <v>30</v>
          </cell>
          <cell r="D42">
            <v>10</v>
          </cell>
          <cell r="E42">
            <v>79</v>
          </cell>
          <cell r="F42">
            <v>62</v>
          </cell>
          <cell r="G42">
            <v>181</v>
          </cell>
        </row>
        <row r="43">
          <cell r="A43">
            <v>4162037</v>
          </cell>
          <cell r="B43" t="str">
            <v>BRRI Dhan 34 (FS) 1 x 10 kg</v>
          </cell>
          <cell r="F43">
            <v>28</v>
          </cell>
          <cell r="G43">
            <v>28</v>
          </cell>
        </row>
        <row r="44">
          <cell r="A44">
            <v>4162038</v>
          </cell>
          <cell r="B44" t="str">
            <v>BRRI Dhan 75 (FS) 1 x 10 kg</v>
          </cell>
          <cell r="F44">
            <v>120</v>
          </cell>
          <cell r="G44">
            <v>120</v>
          </cell>
        </row>
        <row r="45">
          <cell r="A45">
            <v>4165668</v>
          </cell>
          <cell r="B45" t="str">
            <v>Syngenta S -1205 30X1kg</v>
          </cell>
          <cell r="F45">
            <v>6390</v>
          </cell>
          <cell r="G45">
            <v>6390</v>
          </cell>
        </row>
        <row r="46">
          <cell r="A46">
            <v>4165670</v>
          </cell>
          <cell r="B46" t="str">
            <v>Syngenta Hybrid Dhan-8 (30X1kg)</v>
          </cell>
          <cell r="E46">
            <v>192</v>
          </cell>
          <cell r="F46">
            <v>1261.3330000000001</v>
          </cell>
          <cell r="G46">
            <v>1453.3330000000001</v>
          </cell>
        </row>
        <row r="47">
          <cell r="A47">
            <v>4165679</v>
          </cell>
          <cell r="B47" t="str">
            <v>Syngenta S -1203 (30X1kg)</v>
          </cell>
          <cell r="E47">
            <v>33</v>
          </cell>
          <cell r="F47">
            <v>756</v>
          </cell>
          <cell r="G47">
            <v>789</v>
          </cell>
        </row>
        <row r="48">
          <cell r="A48">
            <v>4165680</v>
          </cell>
          <cell r="B48" t="str">
            <v>Syngenta S -1203 30X1kg</v>
          </cell>
          <cell r="F48">
            <v>4466</v>
          </cell>
          <cell r="G48">
            <v>4466</v>
          </cell>
        </row>
        <row r="49">
          <cell r="A49">
            <v>4165682</v>
          </cell>
          <cell r="B49" t="str">
            <v>Syngenta Hybrid Dhan-8 30X1kg</v>
          </cell>
          <cell r="E49">
            <v>40</v>
          </cell>
          <cell r="F49">
            <v>263</v>
          </cell>
          <cell r="G49">
            <v>303</v>
          </cell>
        </row>
        <row r="50">
          <cell r="A50">
            <v>4165684</v>
          </cell>
          <cell r="B50" t="str">
            <v>Syngenta S -1204 (30X1kg )</v>
          </cell>
          <cell r="F50">
            <v>79</v>
          </cell>
          <cell r="G50">
            <v>79</v>
          </cell>
        </row>
        <row r="51">
          <cell r="A51">
            <v>4165685</v>
          </cell>
          <cell r="B51" t="str">
            <v>Syngenta S -1204 30X1kg</v>
          </cell>
          <cell r="F51">
            <v>629</v>
          </cell>
          <cell r="G51">
            <v>629</v>
          </cell>
        </row>
        <row r="52">
          <cell r="A52">
            <v>4170959</v>
          </cell>
          <cell r="B52" t="str">
            <v>BRRI Dhan 89 (TLS) 10 x 3 kg</v>
          </cell>
          <cell r="F52">
            <v>670</v>
          </cell>
          <cell r="G52">
            <v>670</v>
          </cell>
        </row>
        <row r="53">
          <cell r="A53">
            <v>4170963</v>
          </cell>
          <cell r="B53" t="str">
            <v>BRRI Dhan 58 (TLS) 10 x 3 kg</v>
          </cell>
          <cell r="F53">
            <v>364</v>
          </cell>
          <cell r="G53">
            <v>364</v>
          </cell>
        </row>
        <row r="54">
          <cell r="A54">
            <v>4170972</v>
          </cell>
          <cell r="B54" t="str">
            <v>Win-601 30 x 1 kg Import</v>
          </cell>
          <cell r="E54">
            <v>107</v>
          </cell>
          <cell r="F54">
            <v>2181</v>
          </cell>
          <cell r="G54">
            <v>2288</v>
          </cell>
        </row>
        <row r="55">
          <cell r="A55">
            <v>4170977</v>
          </cell>
          <cell r="B55" t="str">
            <v>Little Star 10X10 gm</v>
          </cell>
          <cell r="C55">
            <v>30</v>
          </cell>
          <cell r="D55">
            <v>17</v>
          </cell>
          <cell r="E55">
            <v>129</v>
          </cell>
          <cell r="F55">
            <v>424</v>
          </cell>
          <cell r="G55">
            <v>600</v>
          </cell>
        </row>
        <row r="56">
          <cell r="A56">
            <v>4170979</v>
          </cell>
          <cell r="B56" t="str">
            <v>Fresh Ball 10X10 gm</v>
          </cell>
          <cell r="F56">
            <v>323</v>
          </cell>
          <cell r="G56">
            <v>323</v>
          </cell>
        </row>
        <row r="57">
          <cell r="A57">
            <v>4171593</v>
          </cell>
          <cell r="B57" t="str">
            <v>Hira-12 30 x 1 kg</v>
          </cell>
          <cell r="F57">
            <v>1737.3340000000001</v>
          </cell>
          <cell r="G57">
            <v>1737.3340000000001</v>
          </cell>
        </row>
        <row r="58">
          <cell r="A58">
            <v>4172709</v>
          </cell>
          <cell r="B58" t="str">
            <v>Marlin 10X10 gm</v>
          </cell>
          <cell r="C58">
            <v>48</v>
          </cell>
          <cell r="D58">
            <v>35</v>
          </cell>
          <cell r="E58">
            <v>40</v>
          </cell>
          <cell r="F58">
            <v>349</v>
          </cell>
          <cell r="G58">
            <v>472</v>
          </cell>
        </row>
        <row r="59">
          <cell r="A59">
            <v>4178643</v>
          </cell>
          <cell r="B59" t="str">
            <v>NK 7804 30 x 1 kg</v>
          </cell>
          <cell r="F59">
            <v>1273</v>
          </cell>
          <cell r="G59">
            <v>1273</v>
          </cell>
        </row>
        <row r="60">
          <cell r="A60">
            <v>4181083</v>
          </cell>
          <cell r="B60" t="str">
            <v>NH 7720 30 x 1 kg</v>
          </cell>
          <cell r="F60">
            <v>4558.66</v>
          </cell>
          <cell r="G60">
            <v>4558.66</v>
          </cell>
        </row>
        <row r="61">
          <cell r="A61">
            <v>4181092</v>
          </cell>
          <cell r="B61" t="str">
            <v>NK 7884 30 x 1 kg</v>
          </cell>
          <cell r="F61">
            <v>1576.66</v>
          </cell>
          <cell r="G61">
            <v>1576.66</v>
          </cell>
        </row>
        <row r="62">
          <cell r="A62">
            <v>4181094</v>
          </cell>
          <cell r="B62" t="str">
            <v>NK 6514 30 x 1 kg</v>
          </cell>
          <cell r="E62">
            <v>41</v>
          </cell>
          <cell r="F62">
            <v>739</v>
          </cell>
          <cell r="G62">
            <v>780</v>
          </cell>
        </row>
        <row r="63">
          <cell r="A63">
            <v>4181097</v>
          </cell>
          <cell r="B63" t="str">
            <v>NK 40 15 x 2 kg</v>
          </cell>
          <cell r="F63">
            <v>269.33</v>
          </cell>
          <cell r="G63">
            <v>269.33</v>
          </cell>
        </row>
        <row r="64">
          <cell r="A64">
            <v>4181098</v>
          </cell>
          <cell r="B64" t="str">
            <v>Sunshine 15 x 2 kg</v>
          </cell>
          <cell r="F64">
            <v>389</v>
          </cell>
          <cell r="G64">
            <v>389</v>
          </cell>
        </row>
        <row r="65">
          <cell r="A65">
            <v>4181200</v>
          </cell>
          <cell r="B65" t="str">
            <v>Shotez 10X100 gm</v>
          </cell>
          <cell r="C65">
            <v>41</v>
          </cell>
          <cell r="D65">
            <v>89</v>
          </cell>
          <cell r="E65">
            <v>32</v>
          </cell>
          <cell r="F65">
            <v>16</v>
          </cell>
          <cell r="G65">
            <v>178</v>
          </cell>
        </row>
        <row r="66">
          <cell r="A66">
            <v>4183277</v>
          </cell>
          <cell r="B66" t="str">
            <v>Nice Ball (C-6286) 10X10 gm</v>
          </cell>
          <cell r="E66">
            <v>50</v>
          </cell>
          <cell r="F66">
            <v>227</v>
          </cell>
          <cell r="G66">
            <v>277</v>
          </cell>
        </row>
        <row r="67">
          <cell r="A67">
            <v>4183280</v>
          </cell>
          <cell r="B67" t="str">
            <v>White Gold (C-1522) 10X10 gm</v>
          </cell>
          <cell r="F67">
            <v>114</v>
          </cell>
          <cell r="G67">
            <v>114</v>
          </cell>
        </row>
        <row r="68">
          <cell r="A68">
            <v>4183281</v>
          </cell>
          <cell r="B68" t="str">
            <v>Indra Gold 10X2 gm</v>
          </cell>
          <cell r="F68">
            <v>293</v>
          </cell>
          <cell r="G68">
            <v>293</v>
          </cell>
        </row>
        <row r="69">
          <cell r="A69">
            <v>4183285</v>
          </cell>
          <cell r="B69" t="str">
            <v>Elite (C-7132) 10X10 gm</v>
          </cell>
          <cell r="F69">
            <v>418</v>
          </cell>
          <cell r="G69">
            <v>418</v>
          </cell>
        </row>
        <row r="70">
          <cell r="A70">
            <v>4183809</v>
          </cell>
          <cell r="B70" t="str">
            <v>BR 10 (FS) 1 x 10 kg</v>
          </cell>
          <cell r="F70">
            <v>52</v>
          </cell>
          <cell r="G70">
            <v>52</v>
          </cell>
        </row>
        <row r="71">
          <cell r="A71">
            <v>4185732</v>
          </cell>
          <cell r="B71" t="str">
            <v>Jhumka 10X10gm</v>
          </cell>
          <cell r="F71">
            <v>131</v>
          </cell>
          <cell r="G71">
            <v>131</v>
          </cell>
        </row>
        <row r="72">
          <cell r="A72">
            <v>4185744</v>
          </cell>
          <cell r="B72" t="str">
            <v>Jhumka 10X5gm</v>
          </cell>
          <cell r="C72">
            <v>30</v>
          </cell>
          <cell r="D72">
            <v>2</v>
          </cell>
          <cell r="F72">
            <v>552</v>
          </cell>
          <cell r="G72">
            <v>584</v>
          </cell>
        </row>
        <row r="73">
          <cell r="A73">
            <v>4185745</v>
          </cell>
          <cell r="B73" t="str">
            <v>Barsha Plus 10X5gm</v>
          </cell>
          <cell r="F73">
            <v>122</v>
          </cell>
          <cell r="G73">
            <v>122</v>
          </cell>
        </row>
        <row r="74">
          <cell r="A74">
            <v>4185965</v>
          </cell>
          <cell r="B74" t="str">
            <v>BARI Sarisha 14 (TLS) 30 x 1 kg</v>
          </cell>
          <cell r="F74">
            <v>79</v>
          </cell>
          <cell r="G74">
            <v>79</v>
          </cell>
        </row>
        <row r="75">
          <cell r="A75">
            <v>4187261</v>
          </cell>
          <cell r="B75" t="str">
            <v>SunRise (NK 7806) 30 x 1 kg</v>
          </cell>
          <cell r="F75">
            <v>1287</v>
          </cell>
          <cell r="G75">
            <v>1287</v>
          </cell>
        </row>
        <row r="76">
          <cell r="A76">
            <v>4188392</v>
          </cell>
          <cell r="B76" t="str">
            <v>Bengal King 10X100gm</v>
          </cell>
          <cell r="E76">
            <v>5</v>
          </cell>
          <cell r="F76">
            <v>3.6</v>
          </cell>
          <cell r="G76">
            <v>8.6</v>
          </cell>
        </row>
        <row r="77">
          <cell r="A77">
            <v>4188393</v>
          </cell>
          <cell r="B77" t="str">
            <v>Bengal Super 10X100gm</v>
          </cell>
          <cell r="F77">
            <v>78.5</v>
          </cell>
          <cell r="G77">
            <v>78.5</v>
          </cell>
        </row>
        <row r="78">
          <cell r="A78">
            <v>4190681</v>
          </cell>
          <cell r="B78" t="str">
            <v>BR 10 (TLS) 15 x 2 kg</v>
          </cell>
          <cell r="E78">
            <v>529</v>
          </cell>
          <cell r="G78">
            <v>529</v>
          </cell>
        </row>
        <row r="79">
          <cell r="A79">
            <v>4190685</v>
          </cell>
          <cell r="B79" t="str">
            <v>BINA Dhan 17 (TLS) 10 x 3 kg</v>
          </cell>
          <cell r="D79">
            <v>153</v>
          </cell>
          <cell r="E79">
            <v>95</v>
          </cell>
          <cell r="F79">
            <v>106</v>
          </cell>
          <cell r="G79">
            <v>354</v>
          </cell>
        </row>
        <row r="80">
          <cell r="A80">
            <v>4190687</v>
          </cell>
          <cell r="B80" t="str">
            <v>BRRI Dhan 48 (TLS) 10 x 3 kg</v>
          </cell>
          <cell r="D80">
            <v>15</v>
          </cell>
          <cell r="E80">
            <v>25</v>
          </cell>
          <cell r="F80">
            <v>156</v>
          </cell>
          <cell r="G80">
            <v>196</v>
          </cell>
        </row>
        <row r="81">
          <cell r="A81">
            <v>4190691</v>
          </cell>
          <cell r="B81" t="str">
            <v>BARI Sharisha 17 (TLS) 30 x 1 kg</v>
          </cell>
          <cell r="F81">
            <v>39</v>
          </cell>
          <cell r="G81">
            <v>39</v>
          </cell>
        </row>
        <row r="82">
          <cell r="A82">
            <v>4197740</v>
          </cell>
          <cell r="B82" t="str">
            <v>BRRI Dhan 88 (FS) 1 x 10 kg</v>
          </cell>
          <cell r="F82">
            <v>11</v>
          </cell>
          <cell r="G82">
            <v>11</v>
          </cell>
        </row>
        <row r="83">
          <cell r="A83">
            <v>4197742</v>
          </cell>
          <cell r="B83" t="str">
            <v>BRRI Dhan 88 (TLS) 15 x 2 kg</v>
          </cell>
          <cell r="F83">
            <v>103</v>
          </cell>
          <cell r="G83">
            <v>103</v>
          </cell>
        </row>
        <row r="84">
          <cell r="A84">
            <v>4197750</v>
          </cell>
          <cell r="B84" t="str">
            <v>Zirashail (TLS) 15 x 2 kg</v>
          </cell>
          <cell r="F84">
            <v>17</v>
          </cell>
          <cell r="G84">
            <v>17</v>
          </cell>
        </row>
        <row r="85">
          <cell r="A85">
            <v>4199029</v>
          </cell>
          <cell r="B85" t="str">
            <v>NK 6848 30 x 1 kg</v>
          </cell>
          <cell r="E85">
            <v>292</v>
          </cell>
          <cell r="F85">
            <v>606</v>
          </cell>
          <cell r="G85">
            <v>898</v>
          </cell>
        </row>
        <row r="86">
          <cell r="A86">
            <v>4203837</v>
          </cell>
          <cell r="B86" t="str">
            <v>BRRI Dhan 34 (TLS) 15 x 2 kg</v>
          </cell>
          <cell r="D86">
            <v>162</v>
          </cell>
          <cell r="F86">
            <v>1285</v>
          </cell>
          <cell r="G86">
            <v>1447</v>
          </cell>
        </row>
        <row r="87">
          <cell r="A87">
            <v>4210831</v>
          </cell>
          <cell r="B87" t="str">
            <v>BRRI Dhan 93 (FS) 1X 10 kg</v>
          </cell>
          <cell r="F87">
            <v>142</v>
          </cell>
          <cell r="G87">
            <v>142</v>
          </cell>
        </row>
        <row r="88">
          <cell r="A88">
            <v>4210833</v>
          </cell>
          <cell r="B88" t="str">
            <v>BRRI Dhan 93  (TLS) 15 X 2 kg</v>
          </cell>
          <cell r="E88">
            <v>22</v>
          </cell>
          <cell r="F88">
            <v>762</v>
          </cell>
          <cell r="G88">
            <v>784</v>
          </cell>
        </row>
        <row r="89">
          <cell r="A89">
            <v>4210843</v>
          </cell>
          <cell r="B89" t="str">
            <v>BRRI Dhan 103  (FS) 1 x 10 kg</v>
          </cell>
          <cell r="F89">
            <v>90</v>
          </cell>
          <cell r="G89">
            <v>90</v>
          </cell>
        </row>
        <row r="90">
          <cell r="A90">
            <v>4210845</v>
          </cell>
          <cell r="B90" t="str">
            <v>BRRI Dhan 103  (TLS) 15 X 2 kg</v>
          </cell>
          <cell r="F90">
            <v>4</v>
          </cell>
          <cell r="G90">
            <v>4</v>
          </cell>
        </row>
        <row r="91">
          <cell r="A91">
            <v>4211861</v>
          </cell>
          <cell r="B91" t="str">
            <v>Early King 30 x 1 kg</v>
          </cell>
          <cell r="F91">
            <v>1286</v>
          </cell>
          <cell r="G91">
            <v>1286</v>
          </cell>
        </row>
        <row r="92">
          <cell r="A92">
            <v>4216815</v>
          </cell>
          <cell r="B92" t="str">
            <v>WIN-902 30 x 1 kg</v>
          </cell>
          <cell r="F92">
            <v>716</v>
          </cell>
          <cell r="G92">
            <v>716</v>
          </cell>
        </row>
        <row r="93">
          <cell r="A93">
            <v>4217472</v>
          </cell>
          <cell r="B93" t="str">
            <v>Sujon 10X10gm</v>
          </cell>
          <cell r="C93">
            <v>45</v>
          </cell>
          <cell r="D93">
            <v>97</v>
          </cell>
          <cell r="E93">
            <v>13</v>
          </cell>
          <cell r="F93">
            <v>61</v>
          </cell>
          <cell r="G93">
            <v>216</v>
          </cell>
        </row>
        <row r="94">
          <cell r="A94">
            <v>4220685</v>
          </cell>
          <cell r="B94" t="str">
            <v>CX 18 25 x 1Kg</v>
          </cell>
          <cell r="E94">
            <v>96</v>
          </cell>
          <cell r="F94">
            <v>369</v>
          </cell>
          <cell r="G94">
            <v>465</v>
          </cell>
        </row>
        <row r="95">
          <cell r="A95">
            <v>4227101</v>
          </cell>
          <cell r="B95" t="str">
            <v>Sujon 10X5gm</v>
          </cell>
          <cell r="C95">
            <v>63</v>
          </cell>
          <cell r="D95">
            <v>18</v>
          </cell>
          <cell r="E95">
            <v>76</v>
          </cell>
          <cell r="F95">
            <v>425</v>
          </cell>
          <cell r="G95">
            <v>582</v>
          </cell>
        </row>
        <row r="96">
          <cell r="A96">
            <v>4250615</v>
          </cell>
          <cell r="B96" t="str">
            <v>BRRI Dhan 75 (TLS) 15 x 2 kg </v>
          </cell>
          <cell r="C96">
            <v>54</v>
          </cell>
          <cell r="D96">
            <v>73</v>
          </cell>
          <cell r="E96">
            <v>346</v>
          </cell>
          <cell r="F96">
            <v>320</v>
          </cell>
          <cell r="G96">
            <v>793</v>
          </cell>
        </row>
        <row r="97">
          <cell r="A97">
            <v>4253785</v>
          </cell>
          <cell r="B97" t="str">
            <v>Shotez 20X50 gm</v>
          </cell>
          <cell r="C97">
            <v>20</v>
          </cell>
          <cell r="D97">
            <v>20</v>
          </cell>
          <cell r="E97">
            <v>18</v>
          </cell>
          <cell r="F97">
            <v>86</v>
          </cell>
          <cell r="G97">
            <v>144</v>
          </cell>
        </row>
        <row r="98">
          <cell r="A98" t="str">
            <v>Grand Total</v>
          </cell>
          <cell r="C98">
            <v>556</v>
          </cell>
          <cell r="D98">
            <v>1116</v>
          </cell>
          <cell r="E98">
            <v>3608</v>
          </cell>
          <cell r="F98">
            <v>50911.517</v>
          </cell>
          <cell r="G98">
            <v>56191.517</v>
          </cell>
        </row>
      </sheetData>
      <sheetData sheetId="5"/>
      <sheetData sheetId="6">
        <row r="2">
          <cell r="A2">
            <v>29568</v>
          </cell>
          <cell r="B2" t="str">
            <v>SHOBICRON 425 EC 20X50 ML BDA</v>
          </cell>
          <cell r="C2">
            <v>267</v>
          </cell>
        </row>
        <row r="3">
          <cell r="A3">
            <v>29570</v>
          </cell>
          <cell r="B3" t="str">
            <v>SHOBICRON 425 EC 10X500 ML BDA</v>
          </cell>
          <cell r="C3">
            <v>12</v>
          </cell>
        </row>
        <row r="4">
          <cell r="A4">
            <v>30593</v>
          </cell>
          <cell r="B4" t="str">
            <v>SCORE 20X100 ML BDA</v>
          </cell>
          <cell r="C4">
            <v>50</v>
          </cell>
        </row>
        <row r="5">
          <cell r="A5">
            <v>30688</v>
          </cell>
          <cell r="B5" t="str">
            <v>RIFIT 500 EC 10X500 ML BDA</v>
          </cell>
          <cell r="C5">
            <v>7</v>
          </cell>
        </row>
        <row r="6">
          <cell r="A6">
            <v>34002</v>
          </cell>
          <cell r="B6" t="str">
            <v>SCORE 250 EC 20X50 ML                BDA</v>
          </cell>
          <cell r="C6">
            <v>79</v>
          </cell>
        </row>
        <row r="7">
          <cell r="A7">
            <v>35348</v>
          </cell>
          <cell r="B7" t="str">
            <v>RIFIT 500 EC 20X100 ML BDA</v>
          </cell>
          <cell r="C7">
            <v>115</v>
          </cell>
        </row>
        <row r="8">
          <cell r="A8">
            <v>35723</v>
          </cell>
          <cell r="B8" t="str">
            <v>LANIRAT CONC. 0.25% CB 40X100 G      BDA</v>
          </cell>
          <cell r="C8">
            <v>62</v>
          </cell>
        </row>
        <row r="9">
          <cell r="A9">
            <v>38775</v>
          </cell>
          <cell r="B9" t="str">
            <v>RIDOMIL GOLD MZ 68 WG 30X100 G       BDA</v>
          </cell>
          <cell r="C9">
            <v>188</v>
          </cell>
        </row>
        <row r="10">
          <cell r="A10">
            <v>38776</v>
          </cell>
          <cell r="B10" t="str">
            <v>RIDOMIL GOLD MZ 68 WG 10X500 G       BDA</v>
          </cell>
          <cell r="C10">
            <v>2</v>
          </cell>
        </row>
        <row r="11">
          <cell r="A11">
            <v>42123</v>
          </cell>
          <cell r="B11" t="str">
            <v>SHOBICRON 425 EC 20X100 ML BDA</v>
          </cell>
          <cell r="C11">
            <v>231</v>
          </cell>
        </row>
        <row r="12">
          <cell r="A12">
            <v>43868</v>
          </cell>
          <cell r="B12" t="str">
            <v>LASER 10 WP 4x30X25 G                BDA</v>
          </cell>
          <cell r="C12">
            <v>34</v>
          </cell>
        </row>
        <row r="13">
          <cell r="A13">
            <v>43978</v>
          </cell>
          <cell r="B13" t="str">
            <v>VOLIAM FLEXI 300 SC 20X50 ML         BDA</v>
          </cell>
          <cell r="C13">
            <v>156</v>
          </cell>
        </row>
        <row r="14">
          <cell r="A14">
            <v>45144</v>
          </cell>
          <cell r="B14" t="str">
            <v>JAZZ 80 WP 10X1 KG BDA</v>
          </cell>
          <cell r="C14">
            <v>1</v>
          </cell>
        </row>
        <row r="15">
          <cell r="A15">
            <v>51574</v>
          </cell>
          <cell r="B15" t="str">
            <v>AMISTAR TOP 325 SC 10X500 ML         BDA</v>
          </cell>
          <cell r="C15">
            <v>1</v>
          </cell>
        </row>
        <row r="16">
          <cell r="A16">
            <v>52539</v>
          </cell>
          <cell r="B16" t="str">
            <v>JAZZ 80 WP 30X100 G BDA</v>
          </cell>
          <cell r="C16">
            <v>15</v>
          </cell>
        </row>
        <row r="17">
          <cell r="A17">
            <v>53508</v>
          </cell>
          <cell r="B17" t="str">
            <v>REVUS 250 SC 20X100 ML               BDA</v>
          </cell>
          <cell r="C17">
            <v>16</v>
          </cell>
        </row>
        <row r="18">
          <cell r="A18">
            <v>58337</v>
          </cell>
          <cell r="B18" t="str">
            <v>SILIKA 10X1 KG BDA</v>
          </cell>
          <cell r="C18">
            <v>270</v>
          </cell>
        </row>
        <row r="19">
          <cell r="A19">
            <v>58513</v>
          </cell>
          <cell r="B19" t="str">
            <v>REVUS 250 SC 20X50 ML                BDA</v>
          </cell>
          <cell r="C19">
            <v>72</v>
          </cell>
        </row>
        <row r="20">
          <cell r="A20">
            <v>58886</v>
          </cell>
          <cell r="B20" t="str">
            <v>KARATE 2.5 EC 10X500 ML              BDA</v>
          </cell>
          <cell r="C20">
            <v>7</v>
          </cell>
        </row>
        <row r="21">
          <cell r="A21">
            <v>58887</v>
          </cell>
          <cell r="B21" t="str">
            <v>TILT 250 EC 10X500 ML BDA</v>
          </cell>
          <cell r="C21">
            <v>7</v>
          </cell>
        </row>
        <row r="22">
          <cell r="A22">
            <v>58888</v>
          </cell>
          <cell r="B22" t="str">
            <v>TILT 250 EC 20X50 ML BDA</v>
          </cell>
          <cell r="C22">
            <v>33</v>
          </cell>
        </row>
        <row r="23">
          <cell r="A23">
            <v>58889</v>
          </cell>
          <cell r="B23" t="str">
            <v>TILT 250 EC 20X100 ML BDA</v>
          </cell>
          <cell r="C23">
            <v>17</v>
          </cell>
        </row>
        <row r="24">
          <cell r="A24">
            <v>58890</v>
          </cell>
          <cell r="B24" t="str">
            <v>KARATE 2.5 EC 50X100 ML              BDA</v>
          </cell>
          <cell r="C24">
            <v>19</v>
          </cell>
        </row>
        <row r="25">
          <cell r="A25">
            <v>58896</v>
          </cell>
          <cell r="B25" t="str">
            <v>KARATE 2.5 EC 50X50 ML               BDA</v>
          </cell>
          <cell r="C25">
            <v>32</v>
          </cell>
        </row>
        <row r="26">
          <cell r="A26">
            <v>59214</v>
          </cell>
          <cell r="B26" t="str">
            <v>PEGASUS 20X50 ML                     BDA</v>
          </cell>
          <cell r="C26">
            <v>148</v>
          </cell>
        </row>
        <row r="27">
          <cell r="A27">
            <v>59703</v>
          </cell>
          <cell r="B27" t="str">
            <v>PROTOZIM 40X50 ML BDA</v>
          </cell>
          <cell r="C27">
            <v>31</v>
          </cell>
        </row>
        <row r="28">
          <cell r="A28">
            <v>59704</v>
          </cell>
          <cell r="B28" t="str">
            <v>PROTOZIM 20X100 ML BDA</v>
          </cell>
          <cell r="C28">
            <v>38</v>
          </cell>
        </row>
        <row r="29">
          <cell r="A29">
            <v>61124</v>
          </cell>
          <cell r="B29" t="str">
            <v>PEGASUS 20X100 ML                    BDA</v>
          </cell>
          <cell r="C29">
            <v>100</v>
          </cell>
        </row>
        <row r="30">
          <cell r="A30">
            <v>63105</v>
          </cell>
          <cell r="B30" t="str">
            <v>VERTIMEC 1.8 EC 20x50 ML BDA</v>
          </cell>
          <cell r="C30">
            <v>79</v>
          </cell>
        </row>
        <row r="31">
          <cell r="A31">
            <v>63106</v>
          </cell>
          <cell r="B31" t="str">
            <v>VERTIMEC 1.8 EC 20x100 ML BDA</v>
          </cell>
          <cell r="C31">
            <v>121</v>
          </cell>
        </row>
        <row r="32">
          <cell r="A32">
            <v>63107</v>
          </cell>
          <cell r="B32" t="str">
            <v>VERTIMEC 1.8 EC 10x500 ML BDA</v>
          </cell>
          <cell r="C32">
            <v>11</v>
          </cell>
        </row>
        <row r="33">
          <cell r="A33">
            <v>63913</v>
          </cell>
          <cell r="B33" t="str">
            <v>CRUISER 70 WS 2x25X20 G              BDA</v>
          </cell>
          <cell r="C33">
            <v>16</v>
          </cell>
        </row>
        <row r="34">
          <cell r="A34">
            <v>69037</v>
          </cell>
          <cell r="B34" t="str">
            <v>GAYLE 18WP 30X100 G                  BDA</v>
          </cell>
          <cell r="C34">
            <v>25</v>
          </cell>
        </row>
        <row r="35">
          <cell r="A35">
            <v>69667</v>
          </cell>
          <cell r="B35" t="str">
            <v>ALIKA 24.7 ZC 20X50 ML               BDA</v>
          </cell>
          <cell r="C35">
            <v>14</v>
          </cell>
        </row>
        <row r="36">
          <cell r="A36">
            <v>70897</v>
          </cell>
          <cell r="B36" t="str">
            <v>PROCLAIM 5 SG 2X10X30 G BDA</v>
          </cell>
          <cell r="C36">
            <v>3</v>
          </cell>
        </row>
        <row r="37">
          <cell r="A37">
            <v>72597</v>
          </cell>
          <cell r="B37" t="str">
            <v>VIRTAKO 40 WG 2X10X30 G              BDA</v>
          </cell>
          <cell r="C37">
            <v>21</v>
          </cell>
        </row>
        <row r="38">
          <cell r="A38">
            <v>72598</v>
          </cell>
          <cell r="B38" t="str">
            <v>VIRTAKO 40 WG 4X10X10 G              BDA</v>
          </cell>
          <cell r="C38">
            <v>76</v>
          </cell>
        </row>
        <row r="39">
          <cell r="A39">
            <v>78917</v>
          </cell>
          <cell r="B39" t="str">
            <v>RIFIT PLUS 37 EW 20x165 ML           BDA</v>
          </cell>
          <cell r="C39">
            <v>16</v>
          </cell>
        </row>
        <row r="40">
          <cell r="A40">
            <v>80927</v>
          </cell>
          <cell r="B40" t="str">
            <v>MIRAVIS DUO 20SC 20x50 ML            BDA</v>
          </cell>
          <cell r="C40">
            <v>1</v>
          </cell>
        </row>
        <row r="41">
          <cell r="A41">
            <v>81636</v>
          </cell>
          <cell r="B41" t="str">
            <v>GROZIN 5x2 KG BDA</v>
          </cell>
          <cell r="C41">
            <v>10</v>
          </cell>
        </row>
        <row r="42">
          <cell r="A42">
            <v>87199</v>
          </cell>
          <cell r="B42" t="str">
            <v>PROCLAIM 05 SG 4x12x10 G             BDA</v>
          </cell>
          <cell r="C42">
            <v>9</v>
          </cell>
        </row>
        <row r="43">
          <cell r="A43">
            <v>87221</v>
          </cell>
          <cell r="B43" t="str">
            <v>ACTARA 25WG 20x12x5 G                BDA</v>
          </cell>
          <cell r="C43">
            <v>29</v>
          </cell>
        </row>
        <row r="44">
          <cell r="A44">
            <v>87224</v>
          </cell>
          <cell r="B44" t="str">
            <v>DENIM FIT 50WG 4x12x10 G             BDA</v>
          </cell>
          <cell r="C44">
            <v>4</v>
          </cell>
        </row>
        <row r="45">
          <cell r="A45">
            <v>87269</v>
          </cell>
          <cell r="B45" t="str">
            <v>BINGO 30x100 G                       BDA</v>
          </cell>
          <cell r="C45">
            <v>11</v>
          </cell>
        </row>
        <row r="46">
          <cell r="A46">
            <v>87848</v>
          </cell>
          <cell r="B46" t="str">
            <v>BINGO 20x500 G                       BDA</v>
          </cell>
          <cell r="C46">
            <v>38</v>
          </cell>
        </row>
        <row r="47">
          <cell r="A47">
            <v>87913</v>
          </cell>
          <cell r="B47" t="str">
            <v>INCIPIO 20SC 25x40 ML                BDA</v>
          </cell>
          <cell r="C47">
            <v>35</v>
          </cell>
        </row>
        <row r="48">
          <cell r="A48">
            <v>88294</v>
          </cell>
          <cell r="B48" t="str">
            <v>ATRESIA 10DC 100x50 ML BDA</v>
          </cell>
          <cell r="C48">
            <v>6</v>
          </cell>
        </row>
        <row r="49">
          <cell r="A49">
            <v>88626</v>
          </cell>
          <cell r="B49" t="str">
            <v>AMISTAR TOP 325SC 10x500 ML BDA</v>
          </cell>
          <cell r="C49">
            <v>30</v>
          </cell>
        </row>
        <row r="50">
          <cell r="A50">
            <v>88630</v>
          </cell>
          <cell r="B50" t="str">
            <v>AMISTAR TOP 325SC 20x100 ML BDA</v>
          </cell>
          <cell r="C50">
            <v>239</v>
          </cell>
        </row>
        <row r="51">
          <cell r="A51">
            <v>88631</v>
          </cell>
          <cell r="B51" t="str">
            <v>AMISTAR TOP 325SC 20x50 ML BDA</v>
          </cell>
          <cell r="C51">
            <v>286</v>
          </cell>
        </row>
        <row r="52">
          <cell r="A52">
            <v>90521</v>
          </cell>
          <cell r="B52" t="str">
            <v>MAGMA 10x1 KG BDA</v>
          </cell>
          <cell r="C52">
            <v>120</v>
          </cell>
        </row>
        <row r="53">
          <cell r="A53">
            <v>90556</v>
          </cell>
          <cell r="B53" t="str">
            <v>MAGMA 5x2 KG BDA</v>
          </cell>
          <cell r="C53">
            <v>15</v>
          </cell>
        </row>
        <row r="54">
          <cell r="A54">
            <v>92493</v>
          </cell>
          <cell r="B54" t="str">
            <v>GROZIN 10x1 KG BDA</v>
          </cell>
          <cell r="C54">
            <v>10</v>
          </cell>
        </row>
        <row r="55">
          <cell r="A55">
            <v>92795</v>
          </cell>
          <cell r="B55" t="str">
            <v>THIOVIT 80 WG 6x2 KG BDA</v>
          </cell>
          <cell r="C55">
            <v>10</v>
          </cell>
        </row>
        <row r="56">
          <cell r="A56">
            <v>92798</v>
          </cell>
          <cell r="B56" t="str">
            <v>THIOVIT 80 WG 12x1 KG BDA</v>
          </cell>
          <cell r="C56">
            <v>10</v>
          </cell>
        </row>
        <row r="57">
          <cell r="A57">
            <v>93171</v>
          </cell>
          <cell r="B57" t="str">
            <v>GROZIN 5x2 KG BDA</v>
          </cell>
          <cell r="C57">
            <v>30</v>
          </cell>
        </row>
        <row r="58">
          <cell r="A58">
            <v>93175</v>
          </cell>
          <cell r="B58" t="str">
            <v>GROZIN 10x1 KG BDA</v>
          </cell>
          <cell r="C58">
            <v>158</v>
          </cell>
        </row>
        <row r="59">
          <cell r="A59">
            <v>202255</v>
          </cell>
          <cell r="B59" t="str">
            <v>SPRAYER PJ-16 Bangladesh</v>
          </cell>
          <cell r="C59">
            <v>6</v>
          </cell>
        </row>
        <row r="60">
          <cell r="A60">
            <v>4011999</v>
          </cell>
          <cell r="B60" t="str">
            <v>Daisy 10 x 10 gm</v>
          </cell>
          <cell r="C60">
            <v>20</v>
          </cell>
        </row>
        <row r="61">
          <cell r="A61">
            <v>4035253</v>
          </cell>
          <cell r="B61" t="str">
            <v>Sprayer XP-16</v>
          </cell>
          <cell r="C61">
            <v>3</v>
          </cell>
        </row>
        <row r="62">
          <cell r="A62">
            <v>4038537</v>
          </cell>
          <cell r="B62" t="str">
            <v>Nolock 10 x 100 gm</v>
          </cell>
          <cell r="C62">
            <v>189</v>
          </cell>
        </row>
        <row r="63">
          <cell r="A63">
            <v>4068066</v>
          </cell>
          <cell r="B63" t="str">
            <v>Bipul Plus 10X5 gm</v>
          </cell>
          <cell r="C63">
            <v>11</v>
          </cell>
        </row>
        <row r="64">
          <cell r="A64">
            <v>4076671</v>
          </cell>
          <cell r="B64" t="str">
            <v>BR 11 (TLS) 10 x 3 kg</v>
          </cell>
          <cell r="C64">
            <v>91</v>
          </cell>
        </row>
        <row r="65">
          <cell r="A65">
            <v>4160722</v>
          </cell>
          <cell r="B65" t="str">
            <v>WIN 207 30 x 1 kg</v>
          </cell>
          <cell r="C65">
            <v>1</v>
          </cell>
        </row>
        <row r="66">
          <cell r="A66">
            <v>4181200</v>
          </cell>
          <cell r="B66" t="str">
            <v>Shotez 10X100 gm</v>
          </cell>
          <cell r="C66">
            <v>63</v>
          </cell>
        </row>
        <row r="67">
          <cell r="A67">
            <v>4185732</v>
          </cell>
          <cell r="B67" t="str">
            <v>Jhumka 10X10gm</v>
          </cell>
          <cell r="C67">
            <v>21</v>
          </cell>
        </row>
        <row r="68">
          <cell r="A68">
            <v>4203837</v>
          </cell>
          <cell r="B68" t="str">
            <v>BRRI Dhan 34 (TLS) 15 x 2 kg</v>
          </cell>
          <cell r="C68">
            <v>1</v>
          </cell>
        </row>
        <row r="69">
          <cell r="A69">
            <v>4210833</v>
          </cell>
          <cell r="B69" t="str">
            <v>BRRI Dhan 93  (TLS) 15 X 2 kg</v>
          </cell>
          <cell r="C69">
            <v>29</v>
          </cell>
        </row>
        <row r="70">
          <cell r="A70">
            <v>4250615</v>
          </cell>
          <cell r="B70" t="str">
            <v>BRRI Dhan 75 (TLS) 15 x 2 kg </v>
          </cell>
          <cell r="C70">
            <v>10</v>
          </cell>
        </row>
        <row r="71">
          <cell r="A71" t="str">
            <v>Grand Total</v>
          </cell>
          <cell r="C71">
            <v>3888</v>
          </cell>
        </row>
      </sheetData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winkel Das (ext) BDCH" refreshedDate="46208.587168055557" createdVersion="8" refreshedVersion="8" minRefreshableVersion="3" recordCount="72" xr:uid="{FDD3A2F8-D4A3-46F9-8C00-5482419F070B}">
  <cacheSource type="worksheet">
    <worksheetSource ref="A2:Q74" sheet="CP data"/>
  </cacheSource>
  <cacheFields count="17">
    <cacheField name="ITEM NO" numFmtId="0">
      <sharedItems containsSemiMixedTypes="0" containsString="0" containsNumber="1" containsInteger="1" minValue="1" maxValue="72"/>
    </cacheField>
    <cacheField name="Name Of WH" numFmtId="0">
      <sharedItems/>
    </cacheField>
    <cacheField name="MONTH" numFmtId="0">
      <sharedItems/>
    </cacheField>
    <cacheField name="AGI Code" numFmtId="0">
      <sharedItems containsSemiMixedTypes="0" containsString="0" containsNumber="1" containsInteger="1" minValue="16238" maxValue="92798" count="20">
        <n v="85803"/>
        <n v="87224"/>
        <n v="87221"/>
        <n v="85250"/>
        <n v="43868"/>
        <n v="80927"/>
        <n v="81359"/>
        <n v="61124"/>
        <n v="43978"/>
        <n v="87199"/>
        <n v="70897"/>
        <n v="53924"/>
        <n v="53508"/>
        <n v="58513"/>
        <n v="38776"/>
        <n v="38775"/>
        <n v="92798"/>
        <n v="16238"/>
        <n v="52537"/>
        <n v="55458"/>
      </sharedItems>
    </cacheField>
    <cacheField name="Name of Products" numFmtId="0">
      <sharedItems count="14">
        <s v="CARIAL FLEX"/>
        <s v="DENIM FIT 50 WG         "/>
        <s v="ACTARA 25WG     "/>
        <s v="ARMURE 30EC "/>
        <s v="LASER 10 WP "/>
        <s v="MIRAVIS DUO 20SC          "/>
        <s v="PEGASUS"/>
        <s v="VOLIAM FLEXI 300 SC"/>
        <s v="PROCLAIM 05 SG"/>
        <s v="REVUS 250 SC"/>
        <s v="RIDOMIL GOLD MZ 68 WG "/>
        <s v="THIOVIT 80WG"/>
        <s v="JAZZ"/>
        <s v="FILIA 525 SE "/>
      </sharedItems>
    </cacheField>
    <cacheField name="Pack Size" numFmtId="0">
      <sharedItems count="16">
        <s v="3x10x70 G"/>
        <s v="4x12x10 G"/>
        <s v="20X12 X 5 GM "/>
        <s v="20 X 100 ML"/>
        <s v="4 X 30 X 25 GM"/>
        <s v="20 x 50 ML "/>
        <s v="20 X 50 ML"/>
        <s v="4X 12 X 10 GM "/>
        <s v="2X10X30 GM"/>
        <s v="10X500 ML"/>
        <s v="20X100 ML  "/>
        <s v="10X 500 GM"/>
        <s v="30 X 100 GM "/>
        <s v="12 X 1 KG"/>
        <s v="10 X 500 GM"/>
        <s v="10X500 GM"/>
      </sharedItems>
    </cacheField>
    <cacheField name="EXPIRY QTY LM" numFmtId="0">
      <sharedItems containsString="0" containsBlank="1" containsNumber="1" containsInteger="1" minValue="0" maxValue="10687"/>
    </cacheField>
    <cacheField name="EXPIRY QTY CM" numFmtId="3">
      <sharedItems containsSemiMixedTypes="0" containsString="0" containsNumber="1" containsInteger="1" minValue="6" maxValue="10789"/>
    </cacheField>
    <cacheField name=" EXPIRY BATCH CM" numFmtId="0">
      <sharedItems/>
    </cacheField>
    <cacheField name="EXPIRY ON (MONTH)" numFmtId="164">
      <sharedItems containsSemiMixedTypes="0" containsNonDate="0" containsDate="1" containsString="0" minDate="2026-07-26T00:00:00" maxDate="2027-06-28T00:00:00" count="9">
        <d v="2026-08-26T00:00:00"/>
        <d v="2027-03-27T00:00:00"/>
        <d v="2027-05-27T00:00:00"/>
        <d v="2027-04-27T00:00:00"/>
        <d v="2027-06-27T00:00:00"/>
        <d v="2026-07-26T00:00:00"/>
        <d v="2027-01-27T00:00:00"/>
        <d v="2027-03-25T00:00:00"/>
        <d v="2027-06-06T00:00:00"/>
      </sharedItems>
    </cacheField>
    <cacheField name="SOLD QTY" numFmtId="0">
      <sharedItems containsString="0" containsBlank="1" containsNumber="1" containsInteger="1" minValue="-112" maxValue="1652"/>
    </cacheField>
    <cacheField name="Total Qty" numFmtId="0">
      <sharedItems containsString="0" containsBlank="1" containsNumber="1" containsInteger="1" minValue="0" maxValue="13160"/>
    </cacheField>
    <cacheField name="OLD MRP" numFmtId="0">
      <sharedItems containsString="0" containsBlank="1" containsNumber="1" containsInteger="1" minValue="65" maxValue="65"/>
    </cacheField>
    <cacheField name="NEW MRP" numFmtId="0">
      <sharedItems containsNonDate="0" containsString="0" containsBlank="1"/>
    </cacheField>
    <cacheField name="REMARKS" numFmtId="0">
      <sharedItems containsBlank="1"/>
    </cacheField>
    <cacheField name="Kg /Ltr" numFmtId="0">
      <sharedItems containsSemiMixedTypes="0" containsString="0" containsNumber="1" minValue="12" maxValue="10789"/>
    </cacheField>
    <cacheField name="Conv.R" numFmtId="0">
      <sharedItems containsSemiMixedTypes="0" containsString="0" containsNumber="1" minValue="0.48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winkel Das (ext) BDCH" refreshedDate="46208.612101041668" createdVersion="8" refreshedVersion="8" minRefreshableVersion="3" recordCount="73" xr:uid="{8F37B49C-BAFE-4E67-9468-24679DA13075}">
  <cacheSource type="worksheet">
    <worksheetSource ref="A2:Q75" sheet="SE DATA"/>
  </cacheSource>
  <cacheFields count="17">
    <cacheField name="ITEM NO" numFmtId="0">
      <sharedItems containsSemiMixedTypes="0" containsString="0" containsNumber="1" containsInteger="1" minValue="1" maxValue="73"/>
    </cacheField>
    <cacheField name="Name Of WH" numFmtId="0">
      <sharedItems/>
    </cacheField>
    <cacheField name="MONTH" numFmtId="0">
      <sharedItems/>
    </cacheField>
    <cacheField name="AGI Code" numFmtId="0">
      <sharedItems containsSemiMixedTypes="0" containsString="0" containsNumber="1" containsInteger="1" minValue="254853" maxValue="4227101" count="63">
        <n v="4011999"/>
        <n v="4217472"/>
        <n v="4227101"/>
        <n v="4137319"/>
        <n v="4101765"/>
        <n v="4144176"/>
        <n v="4170977"/>
        <n v="4181094"/>
        <n v="4165682"/>
        <n v="4160722"/>
        <n v="4118665"/>
        <n v="254871"/>
        <n v="4165670"/>
        <n v="351343"/>
        <n v="4132141"/>
        <n v="4165680"/>
        <n v="4165668"/>
        <n v="4170972"/>
        <n v="4226245"/>
        <n v="4158231"/>
        <n v="4187261"/>
        <n v="4178643"/>
        <n v="4181098"/>
        <n v="4135831"/>
        <n v="4135823"/>
        <n v="4114197"/>
        <n v="4181083"/>
        <n v="4144723"/>
        <n v="254853"/>
        <n v="4135874"/>
        <n v="4075565"/>
        <n v="4102903"/>
        <n v="4181097"/>
        <n v="4211861"/>
        <n v="4171593"/>
        <n v="4181092"/>
        <n v="4165679"/>
        <n v="311461"/>
        <n v="4012925"/>
        <n v="4040520"/>
        <n v="4216815"/>
        <n v="4165685"/>
        <n v="4165684"/>
        <n v="4012001"/>
        <n v="4220685"/>
        <n v="4188393"/>
        <n v="4188392"/>
        <n v="4114194"/>
        <n v="4132140"/>
        <n v="4199029" u="1"/>
        <n v="4135822" u="1"/>
        <n v="254867" u="1"/>
        <n v="4012839" u="1"/>
        <n v="4040417" u="1"/>
        <n v="4144722" u="1"/>
        <n v="4012840" u="1"/>
        <n v="254864" u="1"/>
        <n v="4132139" u="1"/>
        <n v="4114195" u="1"/>
        <n v="4068066" u="1"/>
        <n v="4068137" u="1"/>
        <n v="4096679" u="1"/>
        <n v="4172709" u="1"/>
      </sharedItems>
    </cacheField>
    <cacheField name="Name of Products" numFmtId="0">
      <sharedItems containsBlank="1" count="56">
        <s v="DAISY"/>
        <s v="Sujon "/>
        <s v="NK 7884"/>
        <s v="Honey Queen"/>
        <s v="CX 18"/>
        <s v="Little Star "/>
        <s v="NK 6514"/>
        <s v="Syn Hyb Dhan-8 BD"/>
        <s v="WIN 207 "/>
        <s v="Sugar Queen "/>
        <s v="Gourab "/>
        <s v="Syn Hyb Dhan-8 IND"/>
        <s v="Dragon "/>
        <s v="Dragon Super "/>
        <s v="Syngenta S -1203 BD"/>
        <s v="Syngenta S -1205 "/>
        <s v="Win-601 Import"/>
        <s v="NK 7321 "/>
        <s v="Summer Green "/>
        <s v="SunRise "/>
        <s v="NK 7804 "/>
        <s v="Sunshine "/>
        <s v="TO 3150 "/>
        <s v="Green King (BG1137) "/>
        <s v="NH 7720 "/>
        <s v="Rigel "/>
        <s v="Green-60 "/>
        <s v="Testy "/>
        <s v="TO 3038 "/>
        <s v="NK 40 "/>
        <s v="Early King "/>
        <s v="Hira-12 "/>
        <s v="Syngenta S -1203 IND"/>
        <s v="Magnet "/>
        <s v="Nickel "/>
        <s v="Ononnya "/>
        <s v="WIN-902"/>
        <s v="Syngenta S -1204"/>
        <s v="Syngenta S -1204 IND"/>
        <s v="Parosh Plus"/>
        <s v="Bengal Super "/>
        <s v="BENGAL KING"/>
        <s v="ALO"/>
        <s v="NOBIN"/>
        <s v="Syngenta Hybrid Dhan-8"/>
        <m u="1"/>
        <s v="NK 6848" u="1"/>
        <s v="Bengal King " u="1"/>
        <s v="Green ball" u="1"/>
        <s v="Hytom 2 " u="1"/>
        <s v="Shafal " u="1"/>
        <s v="Syngenta S -1204 BD" u="1"/>
        <s v="Bipul Plus " u="1"/>
        <s v="Ice Ball (C-6105) " u="1"/>
        <s v="Marlin " u="1"/>
        <s v="NK 6848 " u="1"/>
      </sharedItems>
    </cacheField>
    <cacheField name="Pack size" numFmtId="0">
      <sharedItems containsBlank="1" count="26">
        <s v="10X10 GM"/>
        <s v="10 X 10gm"/>
        <s v="10 X 5gm"/>
        <s v="20X1kg"/>
        <s v="10x100 gm"/>
        <s v="10 X1Kg"/>
        <s v="30X1 kg"/>
        <s v="30X1kg"/>
        <s v="30 x 1 kg"/>
        <s v="10 x 10 gm"/>
        <s v="10X100gm"/>
        <s v="30 x 1 kg "/>
        <s v="10X5gm"/>
        <s v="15 x 2 kg"/>
        <s v="10X5 gm"/>
        <s v="10X10gm"/>
        <s v="5 x 2 kg"/>
        <s v="10 x 100 gm"/>
        <s v="25 X1Kg"/>
        <m u="1"/>
        <s v="10 X 5 gm" u="1"/>
        <s v="25X1 KG" u="1"/>
        <s v="10 X1 KG" u="1"/>
        <s v="10X 5 gm" u="1"/>
        <s v="20X1 kg" u="1"/>
        <s v="10 x10 gm" u="1"/>
      </sharedItems>
    </cacheField>
    <cacheField name="EXPIRY QTY LM" numFmtId="0">
      <sharedItems containsSemiMixedTypes="0" containsString="0" containsNumber="1" containsInteger="1" minValue="0" maxValue="6252"/>
    </cacheField>
    <cacheField name="EXPIRY QTY CM" numFmtId="0">
      <sharedItems containsSemiMixedTypes="0" containsString="0" containsNumber="1" minValue="1" maxValue="6252"/>
    </cacheField>
    <cacheField name=" EXPIRY BATCH CM" numFmtId="0">
      <sharedItems containsMixedTypes="1" containsNumber="1" containsInteger="1" minValue="17727595" maxValue="151410042"/>
    </cacheField>
    <cacheField name="EXPIRY ON (MONTH)" numFmtId="0">
      <sharedItems containsSemiMixedTypes="0" containsNonDate="0" containsDate="1" containsString="0" minDate="2023-12-11T00:00:00" maxDate="2027-07-17T00:00:00" count="57">
        <d v="2027-04-25T00:00:00"/>
        <d v="2027-05-25T00:00:00"/>
        <d v="2023-12-11T00:00:00"/>
        <d v="2024-03-04T00:00:00"/>
        <d v="2024-09-11T00:00:00"/>
        <d v="2025-02-12T00:00:00"/>
        <d v="2025-02-28T00:00:00"/>
        <d v="2025-04-03T00:00:00"/>
        <d v="2025-07-01T00:00:00"/>
        <d v="2025-11-03T00:00:00"/>
        <d v="2025-11-05T00:00:00"/>
        <d v="2025-11-21T00:00:00"/>
        <d v="2026-03-08T00:00:00"/>
        <d v="2026-05-03T00:00:00"/>
        <d v="2026-05-25T00:00:00"/>
        <d v="2026-06-06T00:00:00"/>
        <d v="2026-07-05T00:00:00"/>
        <d v="2026-09-24T00:00:00"/>
        <d v="2026-10-14T00:00:00"/>
        <d v="2026-11-11T00:00:00"/>
        <d v="2026-11-21T00:00:00"/>
        <d v="2026-11-22T00:00:00"/>
        <d v="2026-12-10T00:00:00"/>
        <d v="2026-12-12T00:00:00"/>
        <d v="2027-01-01T00:00:00"/>
        <d v="2027-01-06T00:00:00"/>
        <d v="2027-01-08T00:00:00"/>
        <d v="2027-01-21T00:00:00"/>
        <d v="2027-01-23T00:00:00"/>
        <d v="2027-01-28T00:00:00"/>
        <d v="2027-01-30T00:00:00"/>
        <d v="2027-02-01T00:00:00"/>
        <d v="2027-02-02T00:00:00"/>
        <d v="2027-02-14T00:00:00"/>
        <d v="2027-03-02T00:00:00"/>
        <d v="2027-03-03T00:00:00"/>
        <d v="2027-03-19T00:00:00"/>
        <d v="2027-04-20T00:00:00"/>
        <d v="2027-04-22T00:00:00"/>
        <d v="2027-04-27T00:00:00"/>
        <d v="2027-05-06T00:00:00"/>
        <d v="2027-05-21T00:00:00"/>
        <d v="2027-05-31T00:00:00"/>
        <d v="2027-06-12T00:00:00"/>
        <d v="2027-05-27T00:00:00"/>
        <d v="2026-11-26T00:00:00"/>
        <d v="2027-01-27T00:00:00"/>
        <d v="2027-03-27T00:00:00" u="1"/>
        <d v="2024-06-06T00:00:00" u="1"/>
        <d v="2026-12-29T00:00:00" u="1"/>
        <d v="2025-12-12T00:00:00" u="1"/>
        <d v="2027-07-01T00:00:00" u="1"/>
        <d v="2027-05-20T00:00:00" u="1"/>
        <d v="2024-11-11T00:00:00" u="1"/>
        <d v="2027-07-16T00:00:00" u="1"/>
        <d v="2027-07-10T00:00:00" u="1"/>
        <d v="2024-12-12T00:00:00" u="1"/>
      </sharedItems>
    </cacheField>
    <cacheField name="SOLD QTY" numFmtId="0">
      <sharedItems containsMixedTypes="1" containsNumber="1" containsInteger="1" minValue="0" maxValue="282"/>
    </cacheField>
    <cacheField name="Total Qty" numFmtId="0">
      <sharedItems containsString="0" containsBlank="1" containsNumber="1" minValue="1" maxValue="6374"/>
    </cacheField>
    <cacheField name="OLD MRP" numFmtId="0">
      <sharedItems containsNonDate="0" containsString="0" containsBlank="1"/>
    </cacheField>
    <cacheField name="NEW MRP" numFmtId="0">
      <sharedItems containsNonDate="0" containsString="0" containsBlank="1"/>
    </cacheField>
    <cacheField name="REMARKS" numFmtId="0">
      <sharedItems containsBlank="1"/>
    </cacheField>
    <cacheField name="Kg-ltr" numFmtId="0">
      <sharedItems containsSemiMixedTypes="0" containsString="0" containsNumber="1" minValue="0.70000000000000007" maxValue="187560"/>
    </cacheField>
    <cacheField name="Conv.R" numFmtId="0">
      <sharedItems containsSemiMixedTypes="0" containsString="0" containsNumber="1" minValue="0.0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"/>
    <s v="DHAKA"/>
    <s v="June"/>
    <x v="0"/>
    <x v="0"/>
    <x v="0"/>
    <n v="174"/>
    <n v="174"/>
    <s v="SCH4I2526"/>
    <x v="0"/>
    <n v="0"/>
    <n v="174"/>
    <m/>
    <m/>
    <m/>
    <n v="365.40000000000003"/>
    <n v="2.1"/>
  </r>
  <r>
    <n v="2"/>
    <s v="DHAKA"/>
    <s v="June"/>
    <x v="1"/>
    <x v="1"/>
    <x v="1"/>
    <n v="181"/>
    <n v="55"/>
    <s v="SCH5D2003"/>
    <x v="1"/>
    <n v="81"/>
    <n v="55"/>
    <m/>
    <m/>
    <m/>
    <n v="26.4"/>
    <n v="0.48"/>
  </r>
  <r>
    <n v="3"/>
    <s v="DHAKA"/>
    <s v="June"/>
    <x v="2"/>
    <x v="2"/>
    <x v="2"/>
    <n v="224"/>
    <n v="407"/>
    <s v="SCH5FW2011"/>
    <x v="2"/>
    <n v="111"/>
    <n v="407"/>
    <m/>
    <m/>
    <m/>
    <n v="488.4"/>
    <n v="1.2"/>
  </r>
  <r>
    <n v="4"/>
    <s v="DHAKA"/>
    <s v="June"/>
    <x v="3"/>
    <x v="3"/>
    <x v="3"/>
    <n v="153"/>
    <n v="147"/>
    <s v="SCH5E093"/>
    <x v="3"/>
    <n v="1"/>
    <n v="147"/>
    <m/>
    <m/>
    <m/>
    <n v="294"/>
    <n v="2"/>
  </r>
  <r>
    <n v="5"/>
    <s v="DHAKA"/>
    <s v="June"/>
    <x v="4"/>
    <x v="4"/>
    <x v="4"/>
    <n v="645"/>
    <n v="715"/>
    <s v="RB20250603"/>
    <x v="2"/>
    <n v="385"/>
    <n v="672"/>
    <m/>
    <m/>
    <m/>
    <n v="2145"/>
    <n v="3"/>
  </r>
  <r>
    <n v="6"/>
    <s v="DHAKA"/>
    <s v="June"/>
    <x v="5"/>
    <x v="5"/>
    <x v="5"/>
    <n v="3862"/>
    <n v="3769"/>
    <s v="SCH5F00084"/>
    <x v="2"/>
    <n v="4"/>
    <n v="4269"/>
    <m/>
    <m/>
    <m/>
    <n v="3769"/>
    <n v="1"/>
  </r>
  <r>
    <n v="7"/>
    <s v="DHAKA"/>
    <s v="June"/>
    <x v="5"/>
    <x v="5"/>
    <x v="5"/>
    <n v="0"/>
    <n v="500"/>
    <s v="SCH5G00116"/>
    <x v="4"/>
    <m/>
    <m/>
    <m/>
    <m/>
    <m/>
    <n v="500"/>
    <n v="1"/>
  </r>
  <r>
    <n v="8"/>
    <s v="DHAKA"/>
    <s v="June"/>
    <x v="6"/>
    <x v="5"/>
    <x v="3"/>
    <n v="0"/>
    <n v="178"/>
    <s v="SCH5G00116"/>
    <x v="4"/>
    <n v="0"/>
    <n v="178"/>
    <m/>
    <m/>
    <m/>
    <n v="356"/>
    <n v="2"/>
  </r>
  <r>
    <n v="9"/>
    <s v="DHAKA"/>
    <s v="June"/>
    <x v="7"/>
    <x v="6"/>
    <x v="3"/>
    <n v="346"/>
    <n v="215"/>
    <s v="SCH5ES01012"/>
    <x v="3"/>
    <n v="39"/>
    <n v="214"/>
    <m/>
    <m/>
    <m/>
    <n v="430"/>
    <n v="2"/>
  </r>
  <r>
    <n v="10"/>
    <s v="DHAKA"/>
    <s v="June"/>
    <x v="8"/>
    <x v="7"/>
    <x v="6"/>
    <n v="0"/>
    <n v="526"/>
    <s v="SCH5GS2056"/>
    <x v="4"/>
    <n v="241"/>
    <n v="2209"/>
    <m/>
    <m/>
    <s v="Dec-27(1738) carton"/>
    <n v="526"/>
    <n v="1"/>
  </r>
  <r>
    <n v="11"/>
    <s v="DHAKA"/>
    <s v="June"/>
    <x v="9"/>
    <x v="8"/>
    <x v="7"/>
    <n v="233"/>
    <n v="547"/>
    <s v="SCH5DW3005"/>
    <x v="1"/>
    <n v="101"/>
    <n v="544"/>
    <m/>
    <m/>
    <m/>
    <n v="262.56"/>
    <n v="0.48"/>
  </r>
  <r>
    <n v="12"/>
    <s v="DHAKA"/>
    <s v="June"/>
    <x v="10"/>
    <x v="8"/>
    <x v="8"/>
    <n v="0"/>
    <n v="226"/>
    <s v="SCH5DW3005"/>
    <x v="1"/>
    <n v="2"/>
    <n v="883"/>
    <m/>
    <m/>
    <s v="March-28(667)carton."/>
    <n v="135.6"/>
    <n v="0.6"/>
  </r>
  <r>
    <n v="13"/>
    <s v="DHAKA"/>
    <s v="June"/>
    <x v="11"/>
    <x v="9"/>
    <x v="9"/>
    <n v="21"/>
    <n v="21"/>
    <s v="SCH4H2E015"/>
    <x v="5"/>
    <n v="0"/>
    <n v="21"/>
    <m/>
    <m/>
    <m/>
    <n v="105"/>
    <n v="5"/>
  </r>
  <r>
    <n v="14"/>
    <s v="DHAKA"/>
    <s v="June"/>
    <x v="12"/>
    <x v="9"/>
    <x v="10"/>
    <n v="399"/>
    <n v="192"/>
    <s v="SCH5B2E004"/>
    <x v="6"/>
    <n v="0"/>
    <n v="190"/>
    <m/>
    <m/>
    <m/>
    <n v="384"/>
    <n v="2"/>
  </r>
  <r>
    <n v="15"/>
    <s v="DHAKA"/>
    <s v="June"/>
    <x v="13"/>
    <x v="9"/>
    <x v="5"/>
    <n v="935"/>
    <n v="389"/>
    <s v="SCH5D2E007"/>
    <x v="1"/>
    <n v="5"/>
    <n v="385"/>
    <m/>
    <m/>
    <m/>
    <n v="389"/>
    <n v="1"/>
  </r>
  <r>
    <n v="16"/>
    <s v="DHAKA"/>
    <s v="June"/>
    <x v="14"/>
    <x v="10"/>
    <x v="11"/>
    <n v="565"/>
    <n v="154"/>
    <s v="SCH5F135RM"/>
    <x v="2"/>
    <n v="175"/>
    <n v="154"/>
    <m/>
    <m/>
    <m/>
    <n v="770"/>
    <n v="5"/>
  </r>
  <r>
    <n v="17"/>
    <s v="DHAKA"/>
    <s v="June"/>
    <x v="15"/>
    <x v="10"/>
    <x v="12"/>
    <n v="1762"/>
    <n v="697"/>
    <s v="SCH5F134RM"/>
    <x v="2"/>
    <n v="328"/>
    <n v="670"/>
    <m/>
    <m/>
    <m/>
    <n v="2091"/>
    <n v="3"/>
  </r>
  <r>
    <n v="18"/>
    <s v="DHAKA"/>
    <s v="June"/>
    <x v="16"/>
    <x v="11"/>
    <x v="13"/>
    <m/>
    <n v="467"/>
    <s v="SCH5G22918"/>
    <x v="4"/>
    <m/>
    <n v="163"/>
    <m/>
    <m/>
    <s v="Oct-27(1150)."/>
    <n v="5604"/>
    <n v="12"/>
  </r>
  <r>
    <n v="19"/>
    <s v="DHAKA"/>
    <s v="June"/>
    <x v="17"/>
    <x v="11"/>
    <x v="14"/>
    <n v="408"/>
    <n v="271"/>
    <s v="SCH5E22110"/>
    <x v="3"/>
    <n v="0"/>
    <n v="246"/>
    <m/>
    <m/>
    <m/>
    <n v="1355"/>
    <n v="5"/>
  </r>
  <r>
    <n v="20"/>
    <s v="DHAKA"/>
    <s v="June"/>
    <x v="18"/>
    <x v="12"/>
    <x v="15"/>
    <n v="0"/>
    <n v="368"/>
    <s v="DKC-1287"/>
    <x v="4"/>
    <n v="0"/>
    <n v="246"/>
    <m/>
    <m/>
    <m/>
    <n v="1840"/>
    <n v="5"/>
  </r>
  <r>
    <n v="21"/>
    <s v="CTG WH"/>
    <s v="June"/>
    <x v="3"/>
    <x v="3"/>
    <x v="3"/>
    <n v="162"/>
    <n v="162"/>
    <s v="SCH5E2093"/>
    <x v="3"/>
    <n v="0"/>
    <n v="162"/>
    <m/>
    <m/>
    <m/>
    <n v="324"/>
    <n v="2"/>
  </r>
  <r>
    <n v="22"/>
    <s v="CTG WH"/>
    <s v="June"/>
    <x v="2"/>
    <x v="2"/>
    <x v="2"/>
    <n v="238"/>
    <n v="935"/>
    <s v="SCH5FW2011"/>
    <x v="2"/>
    <n v="29"/>
    <n v="751"/>
    <m/>
    <m/>
    <m/>
    <n v="1122"/>
    <n v="1.2"/>
  </r>
  <r>
    <n v="23"/>
    <s v="CTG WH"/>
    <s v="June"/>
    <x v="1"/>
    <x v="1"/>
    <x v="1"/>
    <n v="238"/>
    <n v="65"/>
    <s v="SCH5D2003"/>
    <x v="1"/>
    <n v="4"/>
    <n v="65"/>
    <m/>
    <m/>
    <m/>
    <n v="31.2"/>
    <n v="0.48"/>
  </r>
  <r>
    <n v="24"/>
    <s v="CTG WH"/>
    <s v="June"/>
    <x v="19"/>
    <x v="13"/>
    <x v="5"/>
    <n v="18"/>
    <n v="18"/>
    <s v="SCH5DS2002"/>
    <x v="7"/>
    <n v="0"/>
    <n v="869"/>
    <m/>
    <m/>
    <m/>
    <n v="18"/>
    <n v="1"/>
  </r>
  <r>
    <n v="25"/>
    <s v="CTG WH"/>
    <s v="June"/>
    <x v="4"/>
    <x v="4"/>
    <x v="4"/>
    <n v="1879"/>
    <n v="1325"/>
    <s v="RB20250601"/>
    <x v="2"/>
    <n v="34"/>
    <n v="1325"/>
    <m/>
    <m/>
    <m/>
    <n v="3975"/>
    <n v="3"/>
  </r>
  <r>
    <n v="26"/>
    <s v="CTG WH"/>
    <s v="June"/>
    <x v="5"/>
    <x v="5"/>
    <x v="5"/>
    <n v="6428"/>
    <n v="6427"/>
    <s v="SCH5F00076"/>
    <x v="2"/>
    <n v="1"/>
    <n v="6427"/>
    <m/>
    <m/>
    <m/>
    <n v="6427"/>
    <n v="1"/>
  </r>
  <r>
    <n v="27"/>
    <s v="CTG WH"/>
    <s v="June"/>
    <x v="6"/>
    <x v="5"/>
    <x v="3"/>
    <n v="0"/>
    <n v="442"/>
    <s v="SCH5G00116"/>
    <x v="4"/>
    <n v="0"/>
    <n v="442"/>
    <m/>
    <m/>
    <m/>
    <n v="884"/>
    <n v="2"/>
  </r>
  <r>
    <n v="28"/>
    <s v="CTG WH"/>
    <s v="June"/>
    <x v="7"/>
    <x v="6"/>
    <x v="3"/>
    <n v="410"/>
    <n v="15"/>
    <s v="SCH5ES1008"/>
    <x v="3"/>
    <n v="100"/>
    <n v="15"/>
    <m/>
    <m/>
    <m/>
    <n v="30"/>
    <n v="2"/>
  </r>
  <r>
    <n v="29"/>
    <s v="PLANT"/>
    <s v="June"/>
    <x v="9"/>
    <x v="8"/>
    <x v="7"/>
    <n v="0"/>
    <n v="165"/>
    <s v="SCH5DW3005"/>
    <x v="1"/>
    <m/>
    <n v="672"/>
    <m/>
    <m/>
    <m/>
    <n v="79.2"/>
    <n v="0.48"/>
  </r>
  <r>
    <n v="30"/>
    <s v="CTG WH"/>
    <s v="June"/>
    <x v="9"/>
    <x v="8"/>
    <x v="7"/>
    <n v="228"/>
    <n v="691"/>
    <s v="SCH5D003004"/>
    <x v="1"/>
    <n v="9"/>
    <n v="691"/>
    <m/>
    <m/>
    <m/>
    <n v="331.68"/>
    <n v="0.48"/>
  </r>
  <r>
    <n v="31"/>
    <s v="CTG WH"/>
    <s v="June"/>
    <x v="10"/>
    <x v="8"/>
    <x v="8"/>
    <n v="0"/>
    <n v="550"/>
    <s v="SCH5D003005"/>
    <x v="1"/>
    <m/>
    <n v="550"/>
    <m/>
    <m/>
    <m/>
    <n v="330"/>
    <n v="0.6"/>
  </r>
  <r>
    <n v="32"/>
    <s v="CTG WH"/>
    <s v="June"/>
    <x v="13"/>
    <x v="9"/>
    <x v="5"/>
    <n v="434"/>
    <n v="230"/>
    <s v="SCH5D2E007"/>
    <x v="1"/>
    <n v="72"/>
    <n v="230"/>
    <m/>
    <m/>
    <m/>
    <n v="230"/>
    <n v="1"/>
  </r>
  <r>
    <n v="33"/>
    <s v="CTG WH"/>
    <s v="June"/>
    <x v="15"/>
    <x v="10"/>
    <x v="12"/>
    <n v="772"/>
    <n v="405"/>
    <s v="SCH5F135RM"/>
    <x v="2"/>
    <n v="188"/>
    <n v="405"/>
    <m/>
    <m/>
    <m/>
    <n v="1215"/>
    <n v="3"/>
  </r>
  <r>
    <n v="34"/>
    <s v="CTG WH"/>
    <s v="June"/>
    <x v="14"/>
    <x v="10"/>
    <x v="11"/>
    <n v="683"/>
    <n v="73"/>
    <s v="SCH5F135RM"/>
    <x v="2"/>
    <n v="2"/>
    <n v="73"/>
    <m/>
    <m/>
    <m/>
    <n v="365"/>
    <n v="5"/>
  </r>
  <r>
    <n v="35"/>
    <s v="CTG WH"/>
    <s v="June"/>
    <x v="16"/>
    <x v="11"/>
    <x v="13"/>
    <n v="0"/>
    <n v="182"/>
    <s v="SCH5G22916"/>
    <x v="4"/>
    <m/>
    <n v="12"/>
    <m/>
    <m/>
    <m/>
    <n v="2184"/>
    <n v="12"/>
  </r>
  <r>
    <n v="36"/>
    <s v="CTG WH"/>
    <s v="June"/>
    <x v="8"/>
    <x v="7"/>
    <x v="6"/>
    <n v="0"/>
    <n v="465"/>
    <s v="SCH5G22064"/>
    <x v="4"/>
    <m/>
    <n v="1772"/>
    <m/>
    <m/>
    <m/>
    <n v="465"/>
    <n v="1"/>
  </r>
  <r>
    <n v="37"/>
    <s v="BOGURA"/>
    <s v="June"/>
    <x v="11"/>
    <x v="9"/>
    <x v="9"/>
    <n v="26"/>
    <n v="20"/>
    <s v="SCH4H2E015"/>
    <x v="5"/>
    <n v="-112"/>
    <n v="20"/>
    <m/>
    <m/>
    <m/>
    <n v="100"/>
    <n v="5"/>
  </r>
  <r>
    <n v="38"/>
    <s v="BOGURA"/>
    <s v="June"/>
    <x v="0"/>
    <x v="0"/>
    <x v="0"/>
    <n v="351"/>
    <n v="351"/>
    <s v="SCH4I2526"/>
    <x v="0"/>
    <n v="176"/>
    <n v="351"/>
    <m/>
    <m/>
    <s v="Sales Return,50 CTN from DHK WH"/>
    <n v="737.1"/>
    <n v="2.1"/>
  </r>
  <r>
    <n v="39"/>
    <s v="BOGURA"/>
    <s v="June"/>
    <x v="12"/>
    <x v="9"/>
    <x v="10"/>
    <n v="420"/>
    <n v="6"/>
    <s v="SCH5B2E003"/>
    <x v="6"/>
    <n v="54"/>
    <n v="4"/>
    <m/>
    <m/>
    <m/>
    <n v="12"/>
    <n v="2"/>
  </r>
  <r>
    <n v="40"/>
    <s v="BOGURA"/>
    <s v="June"/>
    <x v="1"/>
    <x v="1"/>
    <x v="1"/>
    <n v="263"/>
    <n v="149"/>
    <s v="SCH5D2003"/>
    <x v="1"/>
    <n v="23"/>
    <n v="149"/>
    <m/>
    <m/>
    <m/>
    <n v="71.52"/>
    <n v="0.48"/>
  </r>
  <r>
    <n v="41"/>
    <s v="BOGURA"/>
    <s v="June"/>
    <x v="19"/>
    <x v="13"/>
    <x v="5"/>
    <n v="273"/>
    <n v="589"/>
    <s v="SCH6BS2013"/>
    <x v="7"/>
    <n v="47"/>
    <n v="1057"/>
    <m/>
    <m/>
    <m/>
    <n v="589"/>
    <n v="1"/>
  </r>
  <r>
    <n v="42"/>
    <s v="BOGURA"/>
    <s v="June"/>
    <x v="9"/>
    <x v="8"/>
    <x v="7"/>
    <n v="384"/>
    <n v="496"/>
    <s v="SCH5DW3005"/>
    <x v="1"/>
    <n v="75"/>
    <n v="496"/>
    <m/>
    <m/>
    <m/>
    <n v="238.07999999999998"/>
    <n v="0.48"/>
  </r>
  <r>
    <n v="43"/>
    <s v="BOGURA"/>
    <s v="June"/>
    <x v="10"/>
    <x v="8"/>
    <x v="8"/>
    <n v="0"/>
    <n v="454"/>
    <s v="SCH5DW3005"/>
    <x v="1"/>
    <n v="180"/>
    <n v="454"/>
    <m/>
    <m/>
    <m/>
    <n v="272.39999999999998"/>
    <n v="0.6"/>
  </r>
  <r>
    <n v="44"/>
    <s v="BOGURA"/>
    <s v="June"/>
    <x v="13"/>
    <x v="9"/>
    <x v="5"/>
    <n v="847"/>
    <n v="118"/>
    <s v="SCH5D2E008"/>
    <x v="1"/>
    <n v="694"/>
    <n v="166"/>
    <m/>
    <m/>
    <m/>
    <n v="118"/>
    <n v="1"/>
  </r>
  <r>
    <n v="45"/>
    <s v="BOGURA"/>
    <s v="June"/>
    <x v="3"/>
    <x v="3"/>
    <x v="3"/>
    <n v="249"/>
    <n v="249"/>
    <s v="SCH5E2093"/>
    <x v="3"/>
    <n v="0"/>
    <n v="249"/>
    <m/>
    <m/>
    <m/>
    <n v="498"/>
    <n v="2"/>
  </r>
  <r>
    <n v="46"/>
    <s v="BOGURA"/>
    <s v="June"/>
    <x v="16"/>
    <x v="11"/>
    <x v="13"/>
    <n v="596"/>
    <n v="688"/>
    <s v="SCH5G22918"/>
    <x v="4"/>
    <n v="1"/>
    <n v="4477"/>
    <m/>
    <m/>
    <m/>
    <n v="8256"/>
    <n v="12"/>
  </r>
  <r>
    <n v="47"/>
    <s v="BOGURA"/>
    <s v="June"/>
    <x v="2"/>
    <x v="2"/>
    <x v="2"/>
    <n v="286"/>
    <n v="170"/>
    <s v="SCH5FW2011"/>
    <x v="2"/>
    <n v="0"/>
    <n v="319"/>
    <m/>
    <m/>
    <m/>
    <n v="204"/>
    <n v="1.2"/>
  </r>
  <r>
    <n v="48"/>
    <s v="BOGURA"/>
    <s v="June"/>
    <x v="4"/>
    <x v="4"/>
    <x v="4"/>
    <n v="937"/>
    <n v="254"/>
    <s v="RB20250604"/>
    <x v="2"/>
    <n v="87"/>
    <n v="1249"/>
    <m/>
    <m/>
    <m/>
    <n v="762"/>
    <n v="3"/>
  </r>
  <r>
    <n v="49"/>
    <s v="BOGURA"/>
    <s v="June"/>
    <x v="5"/>
    <x v="5"/>
    <x v="5"/>
    <n v="10687"/>
    <n v="10789"/>
    <s v="SCH5F00021"/>
    <x v="2"/>
    <n v="415"/>
    <n v="13160"/>
    <m/>
    <m/>
    <s v="250 ctn Sales Return"/>
    <n v="10789"/>
    <n v="1"/>
  </r>
  <r>
    <n v="50"/>
    <s v="BOGURA"/>
    <s v="June"/>
    <x v="14"/>
    <x v="10"/>
    <x v="11"/>
    <n v="804"/>
    <n v="391"/>
    <s v="SCH5F136RM"/>
    <x v="2"/>
    <n v="180"/>
    <n v="391"/>
    <m/>
    <m/>
    <m/>
    <n v="1955"/>
    <n v="5"/>
  </r>
  <r>
    <n v="51"/>
    <s v="BOGURA"/>
    <s v="June"/>
    <x v="15"/>
    <x v="10"/>
    <x v="12"/>
    <n v="3042"/>
    <n v="619"/>
    <s v="SCH5F134RM"/>
    <x v="2"/>
    <n v="-112"/>
    <n v="796"/>
    <m/>
    <m/>
    <m/>
    <n v="1857"/>
    <n v="3"/>
  </r>
  <r>
    <n v="52"/>
    <s v="BOGURA"/>
    <s v="June"/>
    <x v="4"/>
    <x v="4"/>
    <x v="4"/>
    <n v="0"/>
    <n v="1000"/>
    <s v="RB20260701"/>
    <x v="8"/>
    <n v="37"/>
    <n v="1249"/>
    <m/>
    <m/>
    <m/>
    <n v="3000"/>
    <n v="3"/>
  </r>
  <r>
    <n v="53"/>
    <s v="BOGURA"/>
    <s v="June"/>
    <x v="5"/>
    <x v="5"/>
    <x v="5"/>
    <n v="0"/>
    <n v="2371"/>
    <s v="SCH5G00115"/>
    <x v="4"/>
    <n v="0"/>
    <n v="13160"/>
    <m/>
    <m/>
    <m/>
    <n v="2371"/>
    <n v="1"/>
  </r>
  <r>
    <n v="54"/>
    <s v="BOGURA"/>
    <s v="June"/>
    <x v="6"/>
    <x v="5"/>
    <x v="3"/>
    <n v="0"/>
    <n v="418"/>
    <s v="SCH5G00116"/>
    <x v="4"/>
    <n v="0"/>
    <n v="418"/>
    <m/>
    <m/>
    <m/>
    <n v="836"/>
    <n v="2"/>
  </r>
  <r>
    <n v="55"/>
    <s v="JASHORE"/>
    <s v="June"/>
    <x v="2"/>
    <x v="2"/>
    <x v="2"/>
    <n v="238"/>
    <n v="586"/>
    <s v="SCH5FW2011"/>
    <x v="2"/>
    <n v="194"/>
    <n v="586"/>
    <m/>
    <m/>
    <m/>
    <n v="703.19999999999993"/>
    <n v="1.2"/>
  </r>
  <r>
    <n v="56"/>
    <s v="JASHORE"/>
    <s v="June"/>
    <x v="3"/>
    <x v="3"/>
    <x v="3"/>
    <n v="171"/>
    <n v="141"/>
    <s v="SCH5E2093"/>
    <x v="3"/>
    <n v="30"/>
    <n v="141"/>
    <m/>
    <m/>
    <m/>
    <n v="282"/>
    <n v="2"/>
  </r>
  <r>
    <n v="57"/>
    <s v="JASHORE"/>
    <s v="June"/>
    <x v="0"/>
    <x v="0"/>
    <x v="0"/>
    <n v="197"/>
    <n v="196"/>
    <s v="SCH4I2526"/>
    <x v="0"/>
    <n v="1"/>
    <n v="196"/>
    <m/>
    <m/>
    <m/>
    <n v="411.6"/>
    <n v="2.1"/>
  </r>
  <r>
    <n v="58"/>
    <s v="JASHORE"/>
    <s v="June"/>
    <x v="1"/>
    <x v="1"/>
    <x v="1"/>
    <n v="144"/>
    <n v="57"/>
    <s v="SCH5D2003"/>
    <x v="1"/>
    <n v="187"/>
    <n v="7"/>
    <m/>
    <m/>
    <m/>
    <n v="27.36"/>
    <n v="0.48"/>
  </r>
  <r>
    <n v="59"/>
    <s v="JASHORE"/>
    <s v="June"/>
    <x v="19"/>
    <x v="13"/>
    <x v="5"/>
    <n v="667"/>
    <n v="235"/>
    <s v="SCH5DS2003"/>
    <x v="7"/>
    <n v="132"/>
    <n v="475"/>
    <m/>
    <m/>
    <m/>
    <n v="235"/>
    <n v="1"/>
  </r>
  <r>
    <n v="60"/>
    <s v="JASHORE"/>
    <s v="June"/>
    <x v="4"/>
    <x v="4"/>
    <x v="4"/>
    <n v="1106"/>
    <n v="674"/>
    <s v="RB20250703"/>
    <x v="8"/>
    <n v="562"/>
    <n v="594"/>
    <m/>
    <m/>
    <m/>
    <n v="2022"/>
    <n v="3"/>
  </r>
  <r>
    <n v="61"/>
    <s v="JASHORE"/>
    <s v="June"/>
    <x v="5"/>
    <x v="5"/>
    <x v="5"/>
    <n v="7180"/>
    <n v="4428"/>
    <s v="SCH5F00084"/>
    <x v="2"/>
    <n v="33"/>
    <n v="6811"/>
    <m/>
    <m/>
    <m/>
    <n v="4428"/>
    <n v="1"/>
  </r>
  <r>
    <n v="62"/>
    <s v="JASHORE"/>
    <s v="June"/>
    <x v="5"/>
    <x v="5"/>
    <x v="5"/>
    <m/>
    <n v="2383"/>
    <s v="SCH5G00116"/>
    <x v="4"/>
    <n v="0"/>
    <n v="0"/>
    <m/>
    <m/>
    <m/>
    <n v="2383"/>
    <n v="1"/>
  </r>
  <r>
    <n v="63"/>
    <s v="JASHORE"/>
    <s v="June"/>
    <x v="6"/>
    <x v="5"/>
    <x v="3"/>
    <m/>
    <n v="166"/>
    <s v="SCH5G00116"/>
    <x v="4"/>
    <n v="32"/>
    <n v="166"/>
    <m/>
    <m/>
    <m/>
    <n v="332"/>
    <n v="2"/>
  </r>
  <r>
    <n v="64"/>
    <s v="JASHORE"/>
    <s v="June"/>
    <x v="7"/>
    <x v="6"/>
    <x v="3"/>
    <n v="228"/>
    <n v="8"/>
    <s v="SCH5ES1008"/>
    <x v="3"/>
    <n v="380"/>
    <n v="8"/>
    <m/>
    <m/>
    <m/>
    <n v="16"/>
    <n v="2"/>
  </r>
  <r>
    <n v="65"/>
    <s v="JASHORE"/>
    <s v="June"/>
    <x v="10"/>
    <x v="8"/>
    <x v="8"/>
    <n v="8"/>
    <n v="464"/>
    <s v="SCH5DW3004"/>
    <x v="1"/>
    <n v="112"/>
    <n v="563"/>
    <m/>
    <m/>
    <m/>
    <n v="278.39999999999998"/>
    <n v="0.6"/>
  </r>
  <r>
    <n v="66"/>
    <s v="JASHORE"/>
    <s v="June"/>
    <x v="9"/>
    <x v="8"/>
    <x v="7"/>
    <n v="221"/>
    <n v="672"/>
    <s v="SCH5DW3005"/>
    <x v="1"/>
    <n v="509"/>
    <n v="672"/>
    <m/>
    <m/>
    <m/>
    <n v="322.56"/>
    <n v="0.48"/>
  </r>
  <r>
    <n v="67"/>
    <s v="JASHORE"/>
    <s v="June"/>
    <x v="11"/>
    <x v="9"/>
    <x v="9"/>
    <n v="24"/>
    <n v="14"/>
    <s v="SCH4H2E015"/>
    <x v="5"/>
    <n v="10"/>
    <n v="14"/>
    <m/>
    <m/>
    <m/>
    <n v="70"/>
    <n v="5"/>
  </r>
  <r>
    <n v="68"/>
    <s v="JASHORE"/>
    <s v="June"/>
    <x v="13"/>
    <x v="9"/>
    <x v="5"/>
    <n v="456"/>
    <n v="223"/>
    <s v="SHC5D2E007"/>
    <x v="1"/>
    <n v="644"/>
    <n v="294"/>
    <m/>
    <m/>
    <m/>
    <n v="223"/>
    <n v="1"/>
  </r>
  <r>
    <n v="69"/>
    <s v="JASHORE"/>
    <s v="June"/>
    <x v="14"/>
    <x v="10"/>
    <x v="11"/>
    <m/>
    <n v="81"/>
    <s v="SCH5F136RM"/>
    <x v="2"/>
    <n v="425"/>
    <n v="81"/>
    <m/>
    <m/>
    <m/>
    <n v="405"/>
    <n v="5"/>
  </r>
  <r>
    <n v="70"/>
    <s v="JASHORE"/>
    <s v="June"/>
    <x v="15"/>
    <x v="10"/>
    <x v="12"/>
    <n v="1062"/>
    <n v="126"/>
    <s v="SCH5F140RM"/>
    <x v="2"/>
    <n v="1652"/>
    <n v="126"/>
    <m/>
    <m/>
    <m/>
    <n v="378"/>
    <n v="3"/>
  </r>
  <r>
    <n v="71"/>
    <s v="JASHORE"/>
    <s v="June"/>
    <x v="17"/>
    <x v="11"/>
    <x v="14"/>
    <n v="278"/>
    <n v="61"/>
    <s v="SCH5E20110"/>
    <x v="3"/>
    <n v="231"/>
    <n v="65"/>
    <n v="65"/>
    <m/>
    <m/>
    <n v="305"/>
    <n v="5"/>
  </r>
  <r>
    <n v="72"/>
    <s v="JASHORE"/>
    <s v="June"/>
    <x v="18"/>
    <x v="12"/>
    <x v="15"/>
    <m/>
    <n v="413"/>
    <s v="DKC-1287"/>
    <x v="4"/>
    <n v="191"/>
    <n v="713"/>
    <m/>
    <m/>
    <s v="300 ctn JULY -27"/>
    <n v="2065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1"/>
    <s v="CTG WH"/>
    <s v="June"/>
    <x v="0"/>
    <x v="0"/>
    <x v="0"/>
    <n v="37"/>
    <n v="18"/>
    <s v="SBV26A677"/>
    <x v="0"/>
    <n v="20"/>
    <n v="53"/>
    <m/>
    <m/>
    <m/>
    <n v="1.8"/>
    <n v="0.1"/>
  </r>
  <r>
    <n v="2"/>
    <s v="CTG WH"/>
    <s v="June"/>
    <x v="1"/>
    <x v="1"/>
    <x v="1"/>
    <n v="7"/>
    <n v="7"/>
    <s v="SBV26A674"/>
    <x v="0"/>
    <s v="0"/>
    <n v="45"/>
    <m/>
    <m/>
    <m/>
    <n v="0.70000000000000007"/>
    <n v="0.1"/>
  </r>
  <r>
    <n v="3"/>
    <s v="CTG WH"/>
    <s v="June"/>
    <x v="1"/>
    <x v="1"/>
    <x v="1"/>
    <n v="16"/>
    <n v="16"/>
    <s v="SBV26A647"/>
    <x v="1"/>
    <s v="0"/>
    <n v="45"/>
    <m/>
    <m/>
    <m/>
    <n v="1.6"/>
    <n v="0.1"/>
  </r>
  <r>
    <n v="4"/>
    <s v="CTG WH"/>
    <s v="June"/>
    <x v="2"/>
    <x v="1"/>
    <x v="2"/>
    <n v="33"/>
    <n v="33"/>
    <s v="SBV26A647"/>
    <x v="1"/>
    <s v="0"/>
    <n v="63"/>
    <m/>
    <m/>
    <m/>
    <n v="1.6500000000000001"/>
    <n v="0.05"/>
  </r>
  <r>
    <n v="5"/>
    <s v="BOGRA "/>
    <s v="June"/>
    <x v="3"/>
    <x v="2"/>
    <x v="3"/>
    <n v="2"/>
    <n v="2"/>
    <n v="17727595"/>
    <x v="2"/>
    <n v="0"/>
    <n v="2"/>
    <m/>
    <m/>
    <s v="Reworked"/>
    <n v="40"/>
    <n v="20"/>
  </r>
  <r>
    <n v="6"/>
    <s v="BOGRA "/>
    <s v="June"/>
    <x v="4"/>
    <x v="3"/>
    <x v="4"/>
    <n v="152"/>
    <n v="150"/>
    <s v="SBV22J092"/>
    <x v="3"/>
    <n v="0"/>
    <n v="145.5"/>
    <m/>
    <m/>
    <s v="Expired"/>
    <n v="150"/>
    <n v="1"/>
  </r>
  <r>
    <n v="7"/>
    <s v="BOGRA "/>
    <s v="June"/>
    <x v="5"/>
    <x v="4"/>
    <x v="5"/>
    <n v="174"/>
    <n v="174"/>
    <s v="6E12217051"/>
    <x v="4"/>
    <n v="0"/>
    <n v="174"/>
    <m/>
    <m/>
    <s v="Bulk"/>
    <n v="1740"/>
    <n v="10"/>
  </r>
  <r>
    <n v="8"/>
    <s v="BOGRA "/>
    <s v="June"/>
    <x v="6"/>
    <x v="5"/>
    <x v="0"/>
    <n v="305"/>
    <n v="305"/>
    <s v="SBV24I371"/>
    <x v="5"/>
    <n v="62"/>
    <n v="205"/>
    <m/>
    <m/>
    <m/>
    <n v="30.5"/>
    <n v="0.1"/>
  </r>
  <r>
    <n v="9"/>
    <s v="BOGRA "/>
    <s v="June"/>
    <x v="7"/>
    <x v="6"/>
    <x v="6"/>
    <n v="202"/>
    <n v="202"/>
    <n v="18815390"/>
    <x v="6"/>
    <n v="0"/>
    <n v="780"/>
    <m/>
    <m/>
    <s v="Expired"/>
    <n v="6060"/>
    <n v="30"/>
  </r>
  <r>
    <n v="10"/>
    <s v="BOGRA "/>
    <s v="June"/>
    <x v="8"/>
    <x v="7"/>
    <x v="7"/>
    <n v="172"/>
    <n v="172"/>
    <n v="18812952"/>
    <x v="7"/>
    <n v="0"/>
    <n v="263"/>
    <m/>
    <m/>
    <s v="Expired (Write Off Proposed)"/>
    <n v="5160"/>
    <n v="30"/>
  </r>
  <r>
    <n v="11"/>
    <s v="BOGRA "/>
    <s v="June"/>
    <x v="9"/>
    <x v="8"/>
    <x v="8"/>
    <n v="172"/>
    <n v="172"/>
    <n v="140605071"/>
    <x v="7"/>
    <n v="0"/>
    <n v="172"/>
    <m/>
    <m/>
    <s v="Reworked"/>
    <n v="5160"/>
    <n v="30"/>
  </r>
  <r>
    <n v="12"/>
    <s v="BOGRA "/>
    <s v="June"/>
    <x v="10"/>
    <x v="9"/>
    <x v="0"/>
    <n v="50"/>
    <n v="50"/>
    <s v="SBV24D166"/>
    <x v="8"/>
    <n v="0"/>
    <n v="209"/>
    <m/>
    <m/>
    <m/>
    <n v="5"/>
    <n v="0.1"/>
  </r>
  <r>
    <n v="13"/>
    <s v="BOGRA "/>
    <s v="June"/>
    <x v="10"/>
    <x v="9"/>
    <x v="0"/>
    <n v="97"/>
    <n v="87"/>
    <s v="SBV24E257"/>
    <x v="9"/>
    <n v="0"/>
    <n v="209"/>
    <m/>
    <m/>
    <s v="Expired (Write Off Proposed)"/>
    <n v="8.7000000000000011"/>
    <n v="0.1"/>
  </r>
  <r>
    <n v="14"/>
    <s v="BOGRA "/>
    <s v="June"/>
    <x v="11"/>
    <x v="10"/>
    <x v="9"/>
    <n v="143"/>
    <n v="143"/>
    <s v="SBV24G293"/>
    <x v="10"/>
    <n v="0"/>
    <n v="143"/>
    <m/>
    <m/>
    <m/>
    <n v="14.3"/>
    <n v="0.1"/>
  </r>
  <r>
    <n v="15"/>
    <s v="BOGRA "/>
    <s v="June"/>
    <x v="12"/>
    <x v="11"/>
    <x v="7"/>
    <n v="211"/>
    <n v="211"/>
    <n v="19898682"/>
    <x v="10"/>
    <n v="32"/>
    <n v="1305.7"/>
    <m/>
    <m/>
    <m/>
    <n v="6330"/>
    <n v="30"/>
  </r>
  <r>
    <n v="16"/>
    <s v="BOGRA "/>
    <s v="June"/>
    <x v="8"/>
    <x v="7"/>
    <x v="7"/>
    <n v="132"/>
    <n v="132"/>
    <n v="19710751"/>
    <x v="11"/>
    <n v="0"/>
    <m/>
    <m/>
    <m/>
    <m/>
    <n v="3960"/>
    <n v="30"/>
  </r>
  <r>
    <n v="17"/>
    <s v="BOGRA "/>
    <s v="June"/>
    <x v="13"/>
    <x v="12"/>
    <x v="4"/>
    <n v="938"/>
    <n v="938"/>
    <s v="SBV22I385"/>
    <x v="12"/>
    <n v="0"/>
    <n v="977.9"/>
    <m/>
    <m/>
    <s v="Reworked"/>
    <n v="938"/>
    <n v="1"/>
  </r>
  <r>
    <n v="18"/>
    <s v="BOGRA "/>
    <s v="June"/>
    <x v="14"/>
    <x v="13"/>
    <x v="10"/>
    <n v="234"/>
    <n v="234"/>
    <s v="SBV24I379"/>
    <x v="12"/>
    <n v="0"/>
    <n v="473.6"/>
    <m/>
    <m/>
    <s v="Reworked"/>
    <n v="234"/>
    <n v="1"/>
  </r>
  <r>
    <n v="19"/>
    <s v="BOGRA "/>
    <s v="June"/>
    <x v="15"/>
    <x v="14"/>
    <x v="7"/>
    <n v="722"/>
    <n v="722"/>
    <n v="140309121"/>
    <x v="12"/>
    <n v="5"/>
    <n v="4461"/>
    <m/>
    <m/>
    <s v="722 BAG SALES RETURN"/>
    <n v="21660"/>
    <n v="30"/>
  </r>
  <r>
    <n v="20"/>
    <s v="BOGRA "/>
    <s v="June"/>
    <x v="16"/>
    <x v="15"/>
    <x v="7"/>
    <n v="69"/>
    <n v="69"/>
    <n v="150509231"/>
    <x v="13"/>
    <n v="16"/>
    <n v="6374"/>
    <m/>
    <m/>
    <s v="Reworked"/>
    <n v="2070"/>
    <n v="30"/>
  </r>
  <r>
    <n v="21"/>
    <s v="BOGRA "/>
    <s v="June"/>
    <x v="17"/>
    <x v="16"/>
    <x v="11"/>
    <n v="109"/>
    <n v="109"/>
    <n v="140111610"/>
    <x v="14"/>
    <n v="0"/>
    <n v="2231"/>
    <m/>
    <m/>
    <s v="Sales Return"/>
    <n v="3270"/>
    <n v="30"/>
  </r>
  <r>
    <n v="22"/>
    <s v="BOGRA "/>
    <s v="June"/>
    <x v="7"/>
    <x v="6"/>
    <x v="6"/>
    <n v="59"/>
    <n v="59"/>
    <n v="18961830"/>
    <x v="15"/>
    <n v="0"/>
    <n v="780"/>
    <m/>
    <m/>
    <s v="Reworked 85  SAC"/>
    <n v="1770"/>
    <n v="30"/>
  </r>
  <r>
    <n v="23"/>
    <s v="BOGRA "/>
    <s v="June"/>
    <x v="18"/>
    <x v="17"/>
    <x v="7"/>
    <n v="1"/>
    <n v="1"/>
    <n v="20161168"/>
    <x v="16"/>
    <n v="0"/>
    <n v="1"/>
    <m/>
    <m/>
    <s v="Sales Return"/>
    <n v="30"/>
    <n v="30"/>
  </r>
  <r>
    <n v="24"/>
    <s v="BOGRA "/>
    <s v="June"/>
    <x v="10"/>
    <x v="9"/>
    <x v="0"/>
    <n v="60"/>
    <n v="60"/>
    <s v="SBV25D471"/>
    <x v="17"/>
    <n v="0"/>
    <n v="209"/>
    <m/>
    <m/>
    <s v="Reworked"/>
    <n v="6"/>
    <n v="0.1"/>
  </r>
  <r>
    <n v="25"/>
    <s v="BOGRA "/>
    <s v="June"/>
    <x v="19"/>
    <x v="18"/>
    <x v="12"/>
    <n v="402"/>
    <n v="352"/>
    <s v="SBV25E485"/>
    <x v="18"/>
    <n v="0"/>
    <n v="352"/>
    <m/>
    <m/>
    <m/>
    <n v="35.200000000000003"/>
    <n v="0.1"/>
  </r>
  <r>
    <n v="26"/>
    <s v="BOGRA "/>
    <s v="June"/>
    <x v="9"/>
    <x v="8"/>
    <x v="8"/>
    <n v="21"/>
    <n v="21"/>
    <n v="150706505"/>
    <x v="19"/>
    <n v="0"/>
    <n v="21"/>
    <m/>
    <m/>
    <m/>
    <n v="630"/>
    <n v="30"/>
  </r>
  <r>
    <n v="27"/>
    <s v="BOGRA "/>
    <s v="June"/>
    <x v="12"/>
    <x v="11"/>
    <x v="7"/>
    <n v="1126"/>
    <n v="1095"/>
    <n v="20860869"/>
    <x v="20"/>
    <n v="32"/>
    <n v="1305.7"/>
    <m/>
    <m/>
    <s v="Imported 1511 Sac"/>
    <n v="32850"/>
    <n v="30"/>
  </r>
  <r>
    <n v="28"/>
    <s v="BOGRA "/>
    <s v="June"/>
    <x v="20"/>
    <x v="19"/>
    <x v="8"/>
    <n v="1287"/>
    <n v="1287"/>
    <n v="19564757"/>
    <x v="21"/>
    <n v="0"/>
    <n v="1287"/>
    <m/>
    <m/>
    <s v="Sales Return"/>
    <n v="38610"/>
    <n v="30"/>
  </r>
  <r>
    <n v="29"/>
    <s v="BOGRA "/>
    <s v="June"/>
    <x v="21"/>
    <x v="20"/>
    <x v="8"/>
    <n v="1280"/>
    <n v="1280"/>
    <n v="20694629"/>
    <x v="22"/>
    <n v="0"/>
    <n v="1273"/>
    <m/>
    <m/>
    <s v="Reworked"/>
    <n v="38400"/>
    <n v="30"/>
  </r>
  <r>
    <n v="30"/>
    <s v="BOGRA "/>
    <s v="June"/>
    <x v="22"/>
    <x v="21"/>
    <x v="13"/>
    <n v="176"/>
    <n v="176"/>
    <n v="19564764"/>
    <x v="23"/>
    <n v="0"/>
    <n v="176"/>
    <m/>
    <m/>
    <s v="Sales Return"/>
    <n v="5280"/>
    <n v="30"/>
  </r>
  <r>
    <n v="31"/>
    <s v="BOGRA "/>
    <s v="June"/>
    <x v="15"/>
    <x v="14"/>
    <x v="7"/>
    <n v="4316"/>
    <n v="4316"/>
    <n v="140309114"/>
    <x v="23"/>
    <n v="5"/>
    <n v="4461"/>
    <m/>
    <m/>
    <s v="Sales Return"/>
    <n v="129480"/>
    <n v="30"/>
  </r>
  <r>
    <n v="32"/>
    <s v="BOGRA "/>
    <s v="June"/>
    <x v="23"/>
    <x v="22"/>
    <x v="9"/>
    <n v="187"/>
    <n v="187"/>
    <s v="SBV25F518"/>
    <x v="23"/>
    <n v="0"/>
    <n v="187"/>
    <m/>
    <m/>
    <s v="Production"/>
    <n v="18.7"/>
    <n v="0.1"/>
  </r>
  <r>
    <n v="33"/>
    <s v="BOGRA "/>
    <s v="June"/>
    <x v="24"/>
    <x v="22"/>
    <x v="14"/>
    <n v="288"/>
    <n v="288"/>
    <s v="SBV25G526"/>
    <x v="23"/>
    <n v="0"/>
    <n v="260"/>
    <m/>
    <m/>
    <s v="Production"/>
    <n v="14.4"/>
    <n v="0.05"/>
  </r>
  <r>
    <n v="34"/>
    <s v="BOGRA "/>
    <s v="June"/>
    <x v="25"/>
    <x v="23"/>
    <x v="15"/>
    <n v="29"/>
    <n v="29"/>
    <s v="SBV25I598"/>
    <x v="24"/>
    <n v="0"/>
    <n v="29"/>
    <m/>
    <m/>
    <s v="Production"/>
    <n v="2.9000000000000004"/>
    <n v="0.1"/>
  </r>
  <r>
    <n v="35"/>
    <s v="BOGRA "/>
    <s v="June"/>
    <x v="26"/>
    <x v="24"/>
    <x v="6"/>
    <n v="4715"/>
    <n v="4715"/>
    <n v="20763640"/>
    <x v="24"/>
    <n v="0"/>
    <n v="4558.66"/>
    <m/>
    <m/>
    <s v="Sales Return"/>
    <n v="141450"/>
    <n v="30"/>
  </r>
  <r>
    <n v="36"/>
    <s v="BOGRA "/>
    <s v="June"/>
    <x v="27"/>
    <x v="25"/>
    <x v="14"/>
    <n v="433"/>
    <n v="223"/>
    <s v="SBV25G558"/>
    <x v="24"/>
    <n v="10"/>
    <n v="333"/>
    <m/>
    <m/>
    <s v="Production"/>
    <n v="11.15"/>
    <n v="0.05"/>
  </r>
  <r>
    <n v="37"/>
    <s v="BOGRA "/>
    <s v="June"/>
    <x v="28"/>
    <x v="26"/>
    <x v="9"/>
    <n v="1309"/>
    <n v="374"/>
    <s v="SBV25G497"/>
    <x v="25"/>
    <n v="282"/>
    <n v="374"/>
    <m/>
    <m/>
    <s v="Reworked"/>
    <n v="37.4"/>
    <n v="0.1"/>
  </r>
  <r>
    <n v="38"/>
    <s v="BOGRA "/>
    <s v="June"/>
    <x v="29"/>
    <x v="27"/>
    <x v="9"/>
    <n v="59"/>
    <n v="59"/>
    <s v="SBV25I594"/>
    <x v="25"/>
    <n v="0"/>
    <n v="59"/>
    <m/>
    <m/>
    <m/>
    <n v="5.9"/>
    <n v="0.1"/>
  </r>
  <r>
    <n v="39"/>
    <s v="BOGRA "/>
    <s v="June"/>
    <x v="30"/>
    <x v="28"/>
    <x v="9"/>
    <n v="110"/>
    <n v="110"/>
    <s v="SBV25H566"/>
    <x v="25"/>
    <n v="0"/>
    <n v="110"/>
    <m/>
    <m/>
    <m/>
    <n v="11"/>
    <n v="0.1"/>
  </r>
  <r>
    <n v="40"/>
    <s v="BOGRA "/>
    <s v="June"/>
    <x v="31"/>
    <x v="28"/>
    <x v="14"/>
    <n v="200"/>
    <n v="200"/>
    <s v="SBV25H566"/>
    <x v="25"/>
    <n v="0"/>
    <n v="200"/>
    <m/>
    <m/>
    <m/>
    <n v="10"/>
    <n v="0.05"/>
  </r>
  <r>
    <n v="41"/>
    <s v="BOGRA "/>
    <s v="June"/>
    <x v="32"/>
    <x v="29"/>
    <x v="16"/>
    <n v="269"/>
    <n v="269"/>
    <n v="20711251"/>
    <x v="26"/>
    <n v="0"/>
    <n v="269"/>
    <m/>
    <m/>
    <s v="Sales Return"/>
    <n v="8070"/>
    <n v="30"/>
  </r>
  <r>
    <n v="42"/>
    <s v="BOGRA "/>
    <s v="June"/>
    <x v="33"/>
    <x v="30"/>
    <x v="8"/>
    <n v="1502"/>
    <n v="1502"/>
    <n v="20694626"/>
    <x v="27"/>
    <n v="0"/>
    <n v="1502"/>
    <m/>
    <m/>
    <s v="Sales Return"/>
    <n v="45060"/>
    <n v="30"/>
  </r>
  <r>
    <n v="43"/>
    <s v="BOGRA "/>
    <s v="June"/>
    <x v="34"/>
    <x v="31"/>
    <x v="8"/>
    <n v="1737"/>
    <n v="1737"/>
    <s v="TRI-188"/>
    <x v="28"/>
    <n v="0"/>
    <n v="1737.3340000000001"/>
    <m/>
    <m/>
    <s v="Sales Return"/>
    <n v="52110"/>
    <n v="30"/>
  </r>
  <r>
    <n v="44"/>
    <s v="BOGRA "/>
    <s v="June"/>
    <x v="35"/>
    <x v="2"/>
    <x v="7"/>
    <n v="1577"/>
    <n v="1577"/>
    <n v="151410042"/>
    <x v="29"/>
    <n v="0"/>
    <n v="1576.66"/>
    <m/>
    <m/>
    <s v="Sales Return"/>
    <n v="47310"/>
    <n v="30"/>
  </r>
  <r>
    <n v="45"/>
    <s v="BOGRA "/>
    <s v="June"/>
    <x v="16"/>
    <x v="15"/>
    <x v="7"/>
    <n v="6252"/>
    <n v="6252"/>
    <n v="150509234"/>
    <x v="29"/>
    <n v="16"/>
    <n v="6374"/>
    <m/>
    <m/>
    <s v="Sales Return"/>
    <n v="187560"/>
    <n v="30"/>
  </r>
  <r>
    <n v="46"/>
    <s v="BOGRA "/>
    <s v="June"/>
    <x v="22"/>
    <x v="21"/>
    <x v="13"/>
    <n v="213"/>
    <n v="213"/>
    <n v="20694635"/>
    <x v="30"/>
    <n v="0"/>
    <n v="213"/>
    <m/>
    <m/>
    <m/>
    <n v="6390"/>
    <n v="30"/>
  </r>
  <r>
    <n v="47"/>
    <s v="BOGRA "/>
    <s v="June"/>
    <x v="36"/>
    <x v="32"/>
    <x v="7"/>
    <n v="1180"/>
    <n v="1180"/>
    <n v="150308102"/>
    <x v="31"/>
    <n v="0"/>
    <n v="962"/>
    <m/>
    <m/>
    <s v="Sales Return"/>
    <n v="35400"/>
    <n v="30"/>
  </r>
  <r>
    <n v="48"/>
    <s v="BOGRA "/>
    <s v="June"/>
    <x v="14"/>
    <x v="13"/>
    <x v="10"/>
    <n v="200"/>
    <n v="239.6"/>
    <s v="SBU25I599"/>
    <x v="32"/>
    <n v="0"/>
    <n v="473.6"/>
    <m/>
    <m/>
    <s v="Production"/>
    <n v="239.6"/>
    <n v="1"/>
  </r>
  <r>
    <n v="49"/>
    <s v="BOGRA "/>
    <s v="June"/>
    <x v="4"/>
    <x v="3"/>
    <x v="4"/>
    <n v="73"/>
    <n v="75.5"/>
    <s v="SBV25I611"/>
    <x v="32"/>
    <n v="0"/>
    <n v="145.5"/>
    <m/>
    <m/>
    <s v="Production"/>
    <n v="75.5"/>
    <n v="1"/>
  </r>
  <r>
    <n v="50"/>
    <s v="BOGRA "/>
    <s v="June"/>
    <x v="37"/>
    <x v="33"/>
    <x v="9"/>
    <n v="11"/>
    <n v="11"/>
    <s v="SBV25K638"/>
    <x v="32"/>
    <n v="0"/>
    <n v="51"/>
    <m/>
    <m/>
    <s v="Production"/>
    <n v="1.1000000000000001"/>
    <n v="0.1"/>
  </r>
  <r>
    <n v="51"/>
    <s v="BOGRA "/>
    <s v="June"/>
    <x v="38"/>
    <x v="34"/>
    <x v="9"/>
    <n v="15"/>
    <n v="15"/>
    <s v="SBV25J624"/>
    <x v="33"/>
    <n v="0"/>
    <n v="15"/>
    <m/>
    <m/>
    <m/>
    <n v="1.5"/>
    <n v="0.1"/>
  </r>
  <r>
    <n v="52"/>
    <s v="BOGRA "/>
    <s v="June"/>
    <x v="39"/>
    <x v="35"/>
    <x v="0"/>
    <n v="134"/>
    <n v="134"/>
    <s v="SBV25G554"/>
    <x v="33"/>
    <n v="0"/>
    <n v="134"/>
    <m/>
    <m/>
    <m/>
    <n v="13.4"/>
    <n v="0.1"/>
  </r>
  <r>
    <n v="53"/>
    <s v="BOGRA "/>
    <s v="June"/>
    <x v="40"/>
    <x v="36"/>
    <x v="11"/>
    <n v="775"/>
    <n v="775"/>
    <n v="150909805"/>
    <x v="34"/>
    <n v="0"/>
    <n v="716"/>
    <m/>
    <m/>
    <s v="Sales Return"/>
    <n v="23250"/>
    <n v="30"/>
  </r>
  <r>
    <n v="54"/>
    <s v="BOGRA "/>
    <s v="June"/>
    <x v="41"/>
    <x v="37"/>
    <x v="7"/>
    <n v="629"/>
    <n v="629"/>
    <n v="150410703"/>
    <x v="35"/>
    <n v="0"/>
    <n v="79"/>
    <m/>
    <m/>
    <s v="Sales Return"/>
    <n v="18870"/>
    <n v="30"/>
  </r>
  <r>
    <n v="55"/>
    <s v="BOGRA "/>
    <s v="June"/>
    <x v="42"/>
    <x v="38"/>
    <x v="7"/>
    <n v="79"/>
    <n v="79"/>
    <n v="150410702"/>
    <x v="35"/>
    <n v="0"/>
    <n v="79"/>
    <m/>
    <m/>
    <s v="Sales Return"/>
    <n v="2370"/>
    <n v="30"/>
  </r>
  <r>
    <n v="56"/>
    <s v="BOGRA "/>
    <s v="June"/>
    <x v="17"/>
    <x v="16"/>
    <x v="11"/>
    <n v="2101"/>
    <n v="2151"/>
    <n v="150109618"/>
    <x v="35"/>
    <n v="0"/>
    <n v="2231"/>
    <m/>
    <m/>
    <s v="Sales Return"/>
    <n v="64530"/>
    <n v="30"/>
  </r>
  <r>
    <n v="57"/>
    <s v="BOGRA "/>
    <s v="June"/>
    <x v="6"/>
    <x v="5"/>
    <x v="0"/>
    <n v="54"/>
    <n v="54"/>
    <s v="SBV25J626"/>
    <x v="36"/>
    <n v="62"/>
    <n v="205"/>
    <m/>
    <m/>
    <m/>
    <n v="5.4"/>
    <n v="0.1"/>
  </r>
  <r>
    <n v="58"/>
    <s v="BOGRA "/>
    <s v="June"/>
    <x v="7"/>
    <x v="6"/>
    <x v="6"/>
    <n v="479"/>
    <n v="520"/>
    <n v="18879937"/>
    <x v="37"/>
    <n v="0"/>
    <n v="780"/>
    <m/>
    <m/>
    <m/>
    <n v="15600"/>
    <n v="30"/>
  </r>
  <r>
    <n v="59"/>
    <s v="BOGRA "/>
    <s v="June"/>
    <x v="43"/>
    <x v="39"/>
    <x v="17"/>
    <n v="1"/>
    <n v="1"/>
    <s v="SBV24A229"/>
    <x v="38"/>
    <n v="0"/>
    <n v="1"/>
    <m/>
    <m/>
    <m/>
    <n v="1"/>
    <n v="1"/>
  </r>
  <r>
    <n v="60"/>
    <s v="BOGRA "/>
    <s v="June"/>
    <x v="44"/>
    <x v="4"/>
    <x v="18"/>
    <n v="374"/>
    <n v="347"/>
    <s v="6E14232712"/>
    <x v="39"/>
    <n v="2"/>
    <n v="347"/>
    <m/>
    <m/>
    <s v="Sales Return"/>
    <n v="8675"/>
    <n v="25"/>
  </r>
  <r>
    <n v="61"/>
    <s v="BOGRA "/>
    <s v="June"/>
    <x v="0"/>
    <x v="0"/>
    <x v="0"/>
    <n v="56"/>
    <n v="56"/>
    <s v="SBV26A677"/>
    <x v="0"/>
    <n v="0"/>
    <n v="56"/>
    <m/>
    <m/>
    <m/>
    <n v="5.6000000000000005"/>
    <n v="0.1"/>
  </r>
  <r>
    <n v="62"/>
    <s v="BOGRA "/>
    <s v="June"/>
    <x v="13"/>
    <x v="12"/>
    <x v="4"/>
    <n v="0"/>
    <n v="40"/>
    <s v="SBV25L575"/>
    <x v="40"/>
    <n v="0"/>
    <n v="977.9"/>
    <m/>
    <m/>
    <s v="Expired (Write Off Proposed)"/>
    <n v="40"/>
    <n v="1"/>
  </r>
  <r>
    <n v="63"/>
    <s v="BOGRA "/>
    <s v="June"/>
    <x v="45"/>
    <x v="40"/>
    <x v="10"/>
    <n v="78"/>
    <n v="79"/>
    <s v="SBV25L658"/>
    <x v="41"/>
    <n v="0"/>
    <m/>
    <m/>
    <m/>
    <m/>
    <n v="79"/>
    <n v="1"/>
  </r>
  <r>
    <n v="64"/>
    <s v="BOGRA "/>
    <s v="June"/>
    <x v="8"/>
    <x v="7"/>
    <x v="7"/>
    <n v="15"/>
    <n v="15"/>
    <n v="150811402"/>
    <x v="42"/>
    <n v="0"/>
    <n v="263"/>
    <m/>
    <m/>
    <m/>
    <n v="450"/>
    <n v="30"/>
  </r>
  <r>
    <n v="65"/>
    <s v="BOGRA "/>
    <s v="June"/>
    <x v="46"/>
    <x v="41"/>
    <x v="4"/>
    <n v="4"/>
    <n v="4"/>
    <s v="SBV26A708"/>
    <x v="43"/>
    <n v="0"/>
    <m/>
    <m/>
    <m/>
    <m/>
    <n v="4"/>
    <n v="1"/>
  </r>
  <r>
    <n v="66"/>
    <s v="Jashore"/>
    <s v="JUNE "/>
    <x v="47"/>
    <x v="42"/>
    <x v="0"/>
    <n v="19"/>
    <n v="17"/>
    <s v="SBV26A685"/>
    <x v="39"/>
    <n v="2"/>
    <n v="17"/>
    <m/>
    <m/>
    <m/>
    <n v="1.7000000000000002"/>
    <n v="0.1"/>
  </r>
  <r>
    <n v="67"/>
    <s v="Jashore"/>
    <s v="June"/>
    <x v="44"/>
    <x v="4"/>
    <x v="18"/>
    <n v="96"/>
    <n v="95"/>
    <s v="6E14232712"/>
    <x v="39"/>
    <n v="1"/>
    <n v="95"/>
    <m/>
    <m/>
    <m/>
    <n v="2375"/>
    <n v="25"/>
  </r>
  <r>
    <n v="68"/>
    <s v="Jashore"/>
    <s v="June"/>
    <x v="0"/>
    <x v="0"/>
    <x v="0"/>
    <n v="18"/>
    <n v="11"/>
    <s v="SBV26A677"/>
    <x v="0"/>
    <n v="7"/>
    <n v="11"/>
    <m/>
    <m/>
    <m/>
    <n v="1.1000000000000001"/>
    <n v="0.1"/>
  </r>
  <r>
    <n v="69"/>
    <s v="Jashore"/>
    <s v="June"/>
    <x v="46"/>
    <x v="41"/>
    <x v="4"/>
    <n v="5"/>
    <n v="5"/>
    <s v="SBV26A709"/>
    <x v="43"/>
    <n v="0"/>
    <n v="5"/>
    <m/>
    <m/>
    <m/>
    <n v="5"/>
    <n v="1"/>
  </r>
  <r>
    <n v="70"/>
    <s v="Jashore"/>
    <s v="JUNE "/>
    <x v="48"/>
    <x v="43"/>
    <x v="4"/>
    <n v="78"/>
    <n v="29"/>
    <s v="SBV26A670"/>
    <x v="44"/>
    <n v="1"/>
    <n v="77"/>
    <m/>
    <m/>
    <s v="48 CTN JULY 27"/>
    <n v="2.9000000000000004"/>
    <n v="0.1"/>
  </r>
  <r>
    <n v="71"/>
    <s v="Jashore"/>
    <s v="JUNE "/>
    <x v="12"/>
    <x v="44"/>
    <x v="6"/>
    <n v="232"/>
    <n v="225"/>
    <n v="20860869"/>
    <x v="45"/>
    <n v="7"/>
    <n v="225"/>
    <m/>
    <m/>
    <m/>
    <n v="6750"/>
    <n v="30"/>
  </r>
  <r>
    <n v="72"/>
    <s v="Jashore"/>
    <s v="JUNE "/>
    <x v="36"/>
    <x v="32"/>
    <x v="7"/>
    <n v="33"/>
    <n v="31"/>
    <n v="150310130"/>
    <x v="46"/>
    <n v="2"/>
    <n v="31"/>
    <m/>
    <m/>
    <m/>
    <n v="930"/>
    <n v="30"/>
  </r>
  <r>
    <n v="73"/>
    <s v="Jashore"/>
    <s v="JUNE "/>
    <x v="17"/>
    <x v="16"/>
    <x v="11"/>
    <n v="107"/>
    <n v="57"/>
    <n v="150110667"/>
    <x v="35"/>
    <n v="0"/>
    <n v="57"/>
    <m/>
    <m/>
    <m/>
    <n v="171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11900-DE01-4D70-8E23-0D586D02E2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27" firstHeaderRow="1" firstDataRow="2" firstDataCol="4"/>
  <pivotFields count="17">
    <pivotField compact="0" outline="0" showAll="0"/>
    <pivotField compact="0" outline="0" showAll="0"/>
    <pivotField compact="0" outline="0" showAll="0"/>
    <pivotField axis="axisRow" compact="0" outline="0" showAll="0" defaultSubtotal="0">
      <items count="20">
        <item x="17"/>
        <item x="15"/>
        <item x="14"/>
        <item x="4"/>
        <item x="8"/>
        <item x="18"/>
        <item x="12"/>
        <item x="11"/>
        <item x="19"/>
        <item x="13"/>
        <item x="7"/>
        <item x="10"/>
        <item x="5"/>
        <item x="6"/>
        <item x="3"/>
        <item x="0"/>
        <item x="9"/>
        <item x="2"/>
        <item x="1"/>
        <item x="16"/>
      </items>
    </pivotField>
    <pivotField axis="axisRow" compact="0" outline="0" showAll="0" defaultSubtotal="0">
      <items count="14">
        <item x="2"/>
        <item x="3"/>
        <item x="0"/>
        <item x="1"/>
        <item x="13"/>
        <item x="12"/>
        <item x="4"/>
        <item x="5"/>
        <item x="6"/>
        <item x="8"/>
        <item x="9"/>
        <item x="10"/>
        <item x="11"/>
        <item x="7"/>
      </items>
    </pivotField>
    <pivotField axis="axisRow" compact="0" outline="0" showAll="0">
      <items count="17">
        <item x="14"/>
        <item x="11"/>
        <item x="15"/>
        <item x="9"/>
        <item x="13"/>
        <item x="3"/>
        <item x="6"/>
        <item x="5"/>
        <item x="10"/>
        <item x="2"/>
        <item x="8"/>
        <item x="12"/>
        <item x="0"/>
        <item x="4"/>
        <item x="7"/>
        <item x="1"/>
        <item t="default"/>
      </items>
    </pivotField>
    <pivotField compact="0" outline="0" showAll="0"/>
    <pivotField dataField="1" compact="0" numFmtId="3" outline="0" showAll="0"/>
    <pivotField compact="0" outline="0" showAll="0"/>
    <pivotField axis="axisRow" compact="0" numFmtId="164" outline="0" showAll="0" defaultSubtotal="0">
      <items count="9">
        <item x="5"/>
        <item x="0"/>
        <item x="6"/>
        <item x="7"/>
        <item x="1"/>
        <item x="3"/>
        <item x="2"/>
        <item x="8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4">
    <field x="9"/>
    <field x="3"/>
    <field x="4"/>
    <field x="5"/>
  </rowFields>
  <rowItems count="23">
    <i>
      <x/>
      <x v="7"/>
      <x v="10"/>
      <x v="3"/>
    </i>
    <i>
      <x v="1"/>
      <x v="15"/>
      <x v="2"/>
      <x v="12"/>
    </i>
    <i>
      <x v="2"/>
      <x v="6"/>
      <x v="10"/>
      <x v="8"/>
    </i>
    <i>
      <x v="3"/>
      <x v="8"/>
      <x v="4"/>
      <x v="7"/>
    </i>
    <i>
      <x v="4"/>
      <x v="9"/>
      <x v="10"/>
      <x v="7"/>
    </i>
    <i r="1">
      <x v="11"/>
      <x v="9"/>
      <x v="10"/>
    </i>
    <i r="1">
      <x v="16"/>
      <x v="9"/>
      <x v="14"/>
    </i>
    <i r="1">
      <x v="18"/>
      <x v="3"/>
      <x v="15"/>
    </i>
    <i>
      <x v="5"/>
      <x/>
      <x v="12"/>
      <x/>
    </i>
    <i r="1">
      <x v="10"/>
      <x v="8"/>
      <x v="5"/>
    </i>
    <i r="1">
      <x v="14"/>
      <x v="1"/>
      <x v="5"/>
    </i>
    <i>
      <x v="6"/>
      <x v="1"/>
      <x v="11"/>
      <x v="11"/>
    </i>
    <i r="1">
      <x v="2"/>
      <x v="11"/>
      <x v="1"/>
    </i>
    <i r="1">
      <x v="3"/>
      <x v="6"/>
      <x v="13"/>
    </i>
    <i r="1">
      <x v="12"/>
      <x v="7"/>
      <x v="7"/>
    </i>
    <i r="1">
      <x v="17"/>
      <x/>
      <x v="9"/>
    </i>
    <i>
      <x v="7"/>
      <x v="3"/>
      <x v="6"/>
      <x v="13"/>
    </i>
    <i>
      <x v="8"/>
      <x v="4"/>
      <x v="13"/>
      <x v="6"/>
    </i>
    <i r="1">
      <x v="5"/>
      <x v="5"/>
      <x v="2"/>
    </i>
    <i r="1">
      <x v="12"/>
      <x v="7"/>
      <x v="7"/>
    </i>
    <i r="1">
      <x v="13"/>
      <x v="7"/>
      <x v="5"/>
    </i>
    <i r="1">
      <x v="19"/>
      <x v="12"/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PIRY QTY CM" fld="7" baseField="0" baseItem="0" numFmtId="3"/>
    <dataField name="Sum of Kg /Ltr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1950A-2AF7-4771-93A3-947271158BE4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73" firstHeaderRow="1" firstDataRow="2" firstDataCol="4"/>
  <pivotFields count="17">
    <pivotField compact="0" outline="0" showAll="0"/>
    <pivotField compact="0" outline="0" showAll="0"/>
    <pivotField compact="0" outline="0" showAll="0"/>
    <pivotField axis="axisRow" compact="0" outline="0" showAll="0" defaultSubtotal="0">
      <items count="63">
        <item x="28"/>
        <item m="1" x="56"/>
        <item m="1" x="51"/>
        <item x="11"/>
        <item x="37"/>
        <item x="13"/>
        <item x="0"/>
        <item x="43"/>
        <item m="1" x="52"/>
        <item m="1" x="55"/>
        <item x="38"/>
        <item m="1" x="53"/>
        <item x="39"/>
        <item m="1" x="59"/>
        <item m="1" x="60"/>
        <item x="30"/>
        <item m="1" x="61"/>
        <item x="4"/>
        <item x="31"/>
        <item m="1" x="58"/>
        <item x="25"/>
        <item x="10"/>
        <item m="1" x="57"/>
        <item x="14"/>
        <item m="1" x="50"/>
        <item x="24"/>
        <item x="23"/>
        <item x="29"/>
        <item x="3"/>
        <item x="5"/>
        <item m="1" x="54"/>
        <item x="27"/>
        <item x="19"/>
        <item x="9"/>
        <item x="16"/>
        <item x="12"/>
        <item x="36"/>
        <item x="15"/>
        <item x="8"/>
        <item x="42"/>
        <item x="41"/>
        <item x="17"/>
        <item x="6"/>
        <item x="34"/>
        <item m="1" x="62"/>
        <item x="21"/>
        <item x="26"/>
        <item x="35"/>
        <item x="7"/>
        <item x="32"/>
        <item x="22"/>
        <item x="20"/>
        <item m="1" x="49"/>
        <item x="33"/>
        <item x="40"/>
        <item x="1"/>
        <item x="44"/>
        <item x="18"/>
        <item x="2"/>
        <item x="47"/>
        <item x="48"/>
        <item x="46"/>
        <item x="45"/>
      </items>
    </pivotField>
    <pivotField axis="axisRow" compact="0" outline="0" showAll="0" defaultSubtotal="0">
      <items count="56">
        <item x="42"/>
        <item m="1" x="52"/>
        <item x="4"/>
        <item x="0"/>
        <item x="12"/>
        <item x="13"/>
        <item x="30"/>
        <item x="10"/>
        <item m="1" x="48"/>
        <item x="23"/>
        <item x="26"/>
        <item x="31"/>
        <item x="3"/>
        <item m="1" x="49"/>
        <item m="1" x="53"/>
        <item x="5"/>
        <item x="33"/>
        <item m="1" x="54"/>
        <item x="24"/>
        <item x="34"/>
        <item x="29"/>
        <item x="6"/>
        <item m="1" x="46"/>
        <item m="1" x="55"/>
        <item x="17"/>
        <item x="20"/>
        <item x="2"/>
        <item x="35"/>
        <item x="39"/>
        <item x="25"/>
        <item m="1" x="50"/>
        <item x="9"/>
        <item x="1"/>
        <item x="18"/>
        <item x="21"/>
        <item x="7"/>
        <item x="11"/>
        <item x="44"/>
        <item x="14"/>
        <item x="32"/>
        <item x="37"/>
        <item x="38"/>
        <item x="15"/>
        <item x="27"/>
        <item x="28"/>
        <item x="22"/>
        <item x="8"/>
        <item x="16"/>
        <item x="36"/>
        <item x="43"/>
        <item m="1" x="47"/>
        <item x="40"/>
        <item x="19"/>
        <item m="1" x="51"/>
        <item x="41"/>
        <item m="1" x="45"/>
      </items>
    </pivotField>
    <pivotField axis="axisRow" compact="0" outline="0" showAll="0">
      <items count="27">
        <item x="9"/>
        <item x="17"/>
        <item m="1" x="20"/>
        <item m="1" x="25"/>
        <item x="5"/>
        <item x="0"/>
        <item x="4"/>
        <item x="14"/>
        <item x="13"/>
        <item m="1" x="24"/>
        <item m="1" x="21"/>
        <item x="8"/>
        <item x="11"/>
        <item x="6"/>
        <item x="7"/>
        <item x="16"/>
        <item x="10"/>
        <item m="1" x="22"/>
        <item x="15"/>
        <item x="3"/>
        <item m="1" x="23"/>
        <item x="1"/>
        <item x="2"/>
        <item x="12"/>
        <item x="18"/>
        <item m="1" x="19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numFmtId="164" outline="0" showAll="0" defaultSubtotal="0">
      <items count="57">
        <item x="2"/>
        <item x="3"/>
        <item m="1" x="48"/>
        <item x="4"/>
        <item m="1" x="53"/>
        <item m="1" x="56"/>
        <item x="6"/>
        <item x="7"/>
        <item x="8"/>
        <item x="10"/>
        <item m="1" x="50"/>
        <item x="12"/>
        <item x="13"/>
        <item x="14"/>
        <item x="15"/>
        <item x="16"/>
        <item x="17"/>
        <item x="18"/>
        <item x="19"/>
        <item x="20"/>
        <item x="21"/>
        <item x="45"/>
        <item x="22"/>
        <item x="23"/>
        <item m="1" x="49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0"/>
        <item x="39"/>
        <item m="1" x="52"/>
        <item x="44"/>
        <item x="42"/>
        <item m="1" x="51"/>
        <item m="1" x="55"/>
        <item m="1" x="54"/>
        <item x="1"/>
        <item x="46"/>
        <item m="1" x="47"/>
        <item x="43"/>
        <item x="41"/>
        <item x="5"/>
        <item x="9"/>
        <item x="11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4">
    <field x="9"/>
    <field x="3"/>
    <field x="4"/>
    <field x="5"/>
  </rowFields>
  <rowItems count="69">
    <i>
      <x/>
      <x v="28"/>
      <x v="26"/>
      <x v="19"/>
    </i>
    <i>
      <x v="1"/>
      <x v="17"/>
      <x v="12"/>
      <x v="6"/>
    </i>
    <i>
      <x v="3"/>
      <x v="29"/>
      <x v="2"/>
      <x v="4"/>
    </i>
    <i>
      <x v="6"/>
      <x v="48"/>
      <x v="21"/>
      <x v="13"/>
    </i>
    <i>
      <x v="7"/>
      <x v="33"/>
      <x v="46"/>
      <x v="11"/>
    </i>
    <i r="1">
      <x v="38"/>
      <x v="35"/>
      <x v="14"/>
    </i>
    <i>
      <x v="8"/>
      <x v="21"/>
      <x v="31"/>
      <x v="5"/>
    </i>
    <i>
      <x v="9"/>
      <x v="3"/>
      <x v="7"/>
      <x/>
    </i>
    <i r="1">
      <x v="35"/>
      <x v="36"/>
      <x v="14"/>
    </i>
    <i>
      <x v="11"/>
      <x v="5"/>
      <x v="4"/>
      <x v="6"/>
    </i>
    <i r="1">
      <x v="23"/>
      <x v="5"/>
      <x v="16"/>
    </i>
    <i r="1">
      <x v="37"/>
      <x v="38"/>
      <x v="14"/>
    </i>
    <i>
      <x v="12"/>
      <x v="34"/>
      <x v="42"/>
      <x v="14"/>
    </i>
    <i>
      <x v="13"/>
      <x v="41"/>
      <x v="47"/>
      <x v="12"/>
    </i>
    <i>
      <x v="14"/>
      <x v="48"/>
      <x v="21"/>
      <x v="13"/>
    </i>
    <i>
      <x v="15"/>
      <x v="57"/>
      <x v="24"/>
      <x v="14"/>
    </i>
    <i>
      <x v="16"/>
      <x v="21"/>
      <x v="31"/>
      <x v="5"/>
    </i>
    <i>
      <x v="17"/>
      <x v="32"/>
      <x v="33"/>
      <x v="23"/>
    </i>
    <i>
      <x v="18"/>
      <x v="33"/>
      <x v="46"/>
      <x v="11"/>
    </i>
    <i>
      <x v="19"/>
      <x v="35"/>
      <x v="36"/>
      <x v="14"/>
    </i>
    <i>
      <x v="20"/>
      <x v="51"/>
      <x v="52"/>
      <x v="11"/>
    </i>
    <i>
      <x v="21"/>
      <x v="35"/>
      <x v="37"/>
      <x v="13"/>
    </i>
    <i>
      <x v="22"/>
      <x v="45"/>
      <x v="25"/>
      <x v="11"/>
    </i>
    <i>
      <x v="23"/>
      <x v="25"/>
      <x v="45"/>
      <x v="7"/>
    </i>
    <i r="1">
      <x v="26"/>
      <x v="45"/>
      <x/>
    </i>
    <i r="1">
      <x v="37"/>
      <x v="38"/>
      <x v="14"/>
    </i>
    <i r="1">
      <x v="50"/>
      <x v="34"/>
      <x v="8"/>
    </i>
    <i>
      <x v="25"/>
      <x v="20"/>
      <x v="9"/>
      <x v="18"/>
    </i>
    <i r="1">
      <x v="31"/>
      <x v="29"/>
      <x v="7"/>
    </i>
    <i r="1">
      <x v="46"/>
      <x v="18"/>
      <x v="13"/>
    </i>
    <i>
      <x v="26"/>
      <x/>
      <x v="10"/>
      <x/>
    </i>
    <i r="1">
      <x v="15"/>
      <x v="44"/>
      <x/>
    </i>
    <i r="1">
      <x v="18"/>
      <x v="44"/>
      <x v="7"/>
    </i>
    <i r="1">
      <x v="27"/>
      <x v="43"/>
      <x/>
    </i>
    <i>
      <x v="27"/>
      <x v="49"/>
      <x v="20"/>
      <x v="15"/>
    </i>
    <i>
      <x v="28"/>
      <x v="53"/>
      <x v="6"/>
      <x v="11"/>
    </i>
    <i>
      <x v="29"/>
      <x v="43"/>
      <x v="11"/>
      <x v="11"/>
    </i>
    <i>
      <x v="30"/>
      <x v="34"/>
      <x v="42"/>
      <x v="14"/>
    </i>
    <i r="1">
      <x v="47"/>
      <x v="26"/>
      <x v="14"/>
    </i>
    <i>
      <x v="31"/>
      <x v="50"/>
      <x v="34"/>
      <x v="8"/>
    </i>
    <i>
      <x v="32"/>
      <x v="36"/>
      <x v="39"/>
      <x v="14"/>
    </i>
    <i>
      <x v="33"/>
      <x v="4"/>
      <x v="16"/>
      <x/>
    </i>
    <i r="1">
      <x v="17"/>
      <x v="12"/>
      <x v="6"/>
    </i>
    <i r="1">
      <x v="23"/>
      <x v="5"/>
      <x v="16"/>
    </i>
    <i>
      <x v="34"/>
      <x v="10"/>
      <x v="19"/>
      <x/>
    </i>
    <i r="1">
      <x v="12"/>
      <x v="27"/>
      <x v="5"/>
    </i>
    <i>
      <x v="35"/>
      <x v="54"/>
      <x v="48"/>
      <x v="12"/>
    </i>
    <i>
      <x v="36"/>
      <x v="39"/>
      <x v="41"/>
      <x v="14"/>
    </i>
    <i r="1">
      <x v="40"/>
      <x v="40"/>
      <x v="14"/>
    </i>
    <i r="1">
      <x v="41"/>
      <x v="47"/>
      <x v="12"/>
    </i>
    <i>
      <x v="37"/>
      <x v="42"/>
      <x v="15"/>
      <x v="5"/>
    </i>
    <i>
      <x v="38"/>
      <x v="48"/>
      <x v="21"/>
      <x v="13"/>
    </i>
    <i>
      <x v="39"/>
      <x v="7"/>
      <x v="28"/>
      <x v="1"/>
    </i>
    <i>
      <x v="40"/>
      <x v="6"/>
      <x v="3"/>
      <x v="5"/>
    </i>
    <i r="1">
      <x v="55"/>
      <x v="32"/>
      <x v="21"/>
    </i>
    <i>
      <x v="41"/>
      <x v="56"/>
      <x v="2"/>
      <x v="24"/>
    </i>
    <i r="1">
      <x v="59"/>
      <x/>
      <x v="5"/>
    </i>
    <i>
      <x v="43"/>
      <x v="60"/>
      <x v="49"/>
      <x v="6"/>
    </i>
    <i>
      <x v="44"/>
      <x v="38"/>
      <x v="35"/>
      <x v="14"/>
    </i>
    <i>
      <x v="48"/>
      <x v="55"/>
      <x v="32"/>
      <x v="21"/>
    </i>
    <i r="1">
      <x v="58"/>
      <x v="32"/>
      <x v="22"/>
    </i>
    <i>
      <x v="49"/>
      <x v="36"/>
      <x v="39"/>
      <x v="14"/>
    </i>
    <i>
      <x v="51"/>
      <x v="61"/>
      <x v="54"/>
      <x v="6"/>
    </i>
    <i>
      <x v="52"/>
      <x v="62"/>
      <x v="51"/>
      <x v="16"/>
    </i>
    <i>
      <x v="53"/>
      <x v="42"/>
      <x v="15"/>
      <x v="5"/>
    </i>
    <i>
      <x v="54"/>
      <x v="21"/>
      <x v="31"/>
      <x v="5"/>
    </i>
    <i>
      <x v="55"/>
      <x v="38"/>
      <x v="35"/>
      <x v="14"/>
    </i>
    <i>
      <x v="56"/>
      <x v="5"/>
      <x v="4"/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PIRY QTY CM" fld="7" baseField="0" baseItem="0"/>
    <dataField name="Sum of Kg-ltr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962E-7E4D-4FF8-9CC8-54B58A6B4F8D}">
  <sheetPr codeName="Sheet3"/>
  <dimension ref="B3:F58"/>
  <sheetViews>
    <sheetView workbookViewId="0">
      <selection activeCell="F3" sqref="F3"/>
    </sheetView>
  </sheetViews>
  <sheetFormatPr defaultRowHeight="14.5" x14ac:dyDescent="0.35"/>
  <cols>
    <col min="2" max="2" width="17.54296875" bestFit="1" customWidth="1"/>
    <col min="3" max="3" width="8.26953125" bestFit="1" customWidth="1"/>
    <col min="4" max="4" width="18.453125" bestFit="1" customWidth="1"/>
    <col min="5" max="5" width="14.7265625" bestFit="1" customWidth="1"/>
    <col min="6" max="6" width="9.81640625" bestFit="1" customWidth="1"/>
  </cols>
  <sheetData>
    <row r="3" spans="2:6" x14ac:dyDescent="0.35">
      <c r="B3" t="s">
        <v>3</v>
      </c>
      <c r="C3" t="s">
        <v>0</v>
      </c>
      <c r="D3" t="s">
        <v>1</v>
      </c>
      <c r="E3" t="s">
        <v>2</v>
      </c>
      <c r="F3" t="s">
        <v>6</v>
      </c>
    </row>
    <row r="4" spans="2:6" x14ac:dyDescent="0.35">
      <c r="B4" s="37">
        <v>45992</v>
      </c>
      <c r="C4">
        <v>69667</v>
      </c>
      <c r="D4" t="s">
        <v>434</v>
      </c>
      <c r="E4" t="s">
        <v>100</v>
      </c>
      <c r="F4">
        <v>20</v>
      </c>
    </row>
    <row r="5" spans="2:6" x14ac:dyDescent="0.35">
      <c r="B5" s="37">
        <v>45992</v>
      </c>
      <c r="C5">
        <v>72523</v>
      </c>
      <c r="D5" t="s">
        <v>75</v>
      </c>
      <c r="E5" t="s">
        <v>461</v>
      </c>
      <c r="F5">
        <v>22</v>
      </c>
    </row>
    <row r="6" spans="2:6" x14ac:dyDescent="0.35">
      <c r="B6" s="37">
        <v>46043</v>
      </c>
      <c r="C6">
        <v>82888</v>
      </c>
      <c r="D6" t="s">
        <v>462</v>
      </c>
      <c r="E6" t="s">
        <v>103</v>
      </c>
      <c r="F6">
        <v>20</v>
      </c>
    </row>
    <row r="7" spans="2:6" x14ac:dyDescent="0.35">
      <c r="B7" s="37">
        <v>46043</v>
      </c>
      <c r="C7">
        <v>82888</v>
      </c>
      <c r="D7" t="s">
        <v>462</v>
      </c>
      <c r="E7" t="s">
        <v>103</v>
      </c>
      <c r="F7">
        <v>50</v>
      </c>
    </row>
    <row r="8" spans="2:6" x14ac:dyDescent="0.35">
      <c r="B8" s="37">
        <v>46082</v>
      </c>
      <c r="C8">
        <v>69037</v>
      </c>
      <c r="D8" t="s">
        <v>442</v>
      </c>
      <c r="E8" t="s">
        <v>443</v>
      </c>
      <c r="F8">
        <v>1194</v>
      </c>
    </row>
    <row r="9" spans="2:6" x14ac:dyDescent="0.35">
      <c r="B9" s="37">
        <v>46082</v>
      </c>
      <c r="C9">
        <v>84793</v>
      </c>
      <c r="D9" t="s">
        <v>459</v>
      </c>
      <c r="E9" t="s">
        <v>99</v>
      </c>
      <c r="F9">
        <v>1370.625</v>
      </c>
    </row>
    <row r="10" spans="2:6" x14ac:dyDescent="0.35">
      <c r="B10" s="37">
        <v>46113</v>
      </c>
      <c r="C10">
        <v>68508</v>
      </c>
      <c r="D10" t="s">
        <v>75</v>
      </c>
      <c r="E10" t="s">
        <v>437</v>
      </c>
      <c r="F10">
        <v>6</v>
      </c>
    </row>
    <row r="11" spans="2:6" x14ac:dyDescent="0.35">
      <c r="B11" s="37">
        <v>46113</v>
      </c>
      <c r="C11">
        <v>72523</v>
      </c>
      <c r="D11" t="s">
        <v>75</v>
      </c>
      <c r="E11" t="s">
        <v>461</v>
      </c>
      <c r="F11">
        <v>1348</v>
      </c>
    </row>
    <row r="12" spans="2:6" x14ac:dyDescent="0.35">
      <c r="B12" s="37">
        <v>46113</v>
      </c>
      <c r="C12">
        <v>82898</v>
      </c>
      <c r="D12" t="s">
        <v>12</v>
      </c>
      <c r="E12" t="s">
        <v>465</v>
      </c>
      <c r="F12">
        <v>1145</v>
      </c>
    </row>
    <row r="13" spans="2:6" x14ac:dyDescent="0.35">
      <c r="B13" s="37">
        <v>46113</v>
      </c>
      <c r="C13">
        <v>72523</v>
      </c>
      <c r="D13" t="s">
        <v>75</v>
      </c>
      <c r="E13" t="s">
        <v>461</v>
      </c>
      <c r="F13">
        <v>1886</v>
      </c>
    </row>
    <row r="14" spans="2:6" x14ac:dyDescent="0.35">
      <c r="B14" s="37">
        <v>46113</v>
      </c>
      <c r="C14">
        <v>82888</v>
      </c>
      <c r="D14" t="s">
        <v>462</v>
      </c>
      <c r="E14" t="s">
        <v>103</v>
      </c>
      <c r="F14">
        <v>330</v>
      </c>
    </row>
    <row r="15" spans="2:6" x14ac:dyDescent="0.35">
      <c r="B15" s="37">
        <v>46113</v>
      </c>
      <c r="C15">
        <v>82898</v>
      </c>
      <c r="D15" t="s">
        <v>12</v>
      </c>
      <c r="E15" t="s">
        <v>465</v>
      </c>
      <c r="F15">
        <v>1710</v>
      </c>
    </row>
    <row r="16" spans="2:6" x14ac:dyDescent="0.35">
      <c r="B16" s="37">
        <v>46143</v>
      </c>
      <c r="C16">
        <v>67637</v>
      </c>
      <c r="D16" t="s">
        <v>453</v>
      </c>
      <c r="E16" t="s">
        <v>454</v>
      </c>
      <c r="F16">
        <v>700</v>
      </c>
    </row>
    <row r="17" spans="2:6" x14ac:dyDescent="0.35">
      <c r="B17" s="37">
        <v>46194</v>
      </c>
      <c r="C17">
        <v>70887</v>
      </c>
      <c r="D17" t="s">
        <v>446</v>
      </c>
      <c r="E17" t="s">
        <v>463</v>
      </c>
      <c r="F17">
        <v>42</v>
      </c>
    </row>
    <row r="18" spans="2:6" x14ac:dyDescent="0.35">
      <c r="B18" s="37">
        <v>46194</v>
      </c>
      <c r="C18">
        <v>70897</v>
      </c>
      <c r="D18" t="s">
        <v>446</v>
      </c>
      <c r="E18" t="s">
        <v>447</v>
      </c>
      <c r="F18">
        <v>3805.2</v>
      </c>
    </row>
    <row r="19" spans="2:6" x14ac:dyDescent="0.35">
      <c r="B19" s="37">
        <v>46194</v>
      </c>
      <c r="C19">
        <v>71016</v>
      </c>
      <c r="D19" t="s">
        <v>80</v>
      </c>
      <c r="E19" t="s">
        <v>464</v>
      </c>
      <c r="F19">
        <v>9</v>
      </c>
    </row>
    <row r="20" spans="2:6" x14ac:dyDescent="0.35">
      <c r="B20" s="37">
        <v>46194</v>
      </c>
      <c r="C20">
        <v>72434</v>
      </c>
      <c r="D20" t="s">
        <v>444</v>
      </c>
      <c r="E20" t="s">
        <v>445</v>
      </c>
      <c r="F20">
        <v>174.8</v>
      </c>
    </row>
    <row r="21" spans="2:6" x14ac:dyDescent="0.35">
      <c r="B21" s="37">
        <v>46194</v>
      </c>
      <c r="C21">
        <v>75062</v>
      </c>
      <c r="D21" t="s">
        <v>435</v>
      </c>
      <c r="E21" t="s">
        <v>436</v>
      </c>
      <c r="F21">
        <v>0</v>
      </c>
    </row>
    <row r="22" spans="2:6" x14ac:dyDescent="0.35">
      <c r="B22" s="37">
        <v>46194</v>
      </c>
      <c r="C22">
        <v>87199</v>
      </c>
      <c r="D22" t="s">
        <v>446</v>
      </c>
      <c r="E22" t="s">
        <v>448</v>
      </c>
      <c r="F22">
        <v>1831.6799999999998</v>
      </c>
    </row>
    <row r="23" spans="2:6" x14ac:dyDescent="0.35">
      <c r="B23" s="37">
        <v>46194</v>
      </c>
      <c r="C23">
        <v>70897</v>
      </c>
      <c r="D23" t="s">
        <v>446</v>
      </c>
      <c r="E23" t="s">
        <v>447</v>
      </c>
      <c r="F23">
        <v>1550.3999999999999</v>
      </c>
    </row>
    <row r="24" spans="2:6" x14ac:dyDescent="0.35">
      <c r="B24" s="37">
        <v>46194</v>
      </c>
      <c r="C24">
        <v>72434</v>
      </c>
      <c r="D24" t="s">
        <v>444</v>
      </c>
      <c r="E24" t="s">
        <v>445</v>
      </c>
      <c r="F24">
        <v>120.80000000000001</v>
      </c>
    </row>
    <row r="25" spans="2:6" x14ac:dyDescent="0.35">
      <c r="B25" s="37">
        <v>46194</v>
      </c>
      <c r="C25">
        <v>87199</v>
      </c>
      <c r="D25" t="s">
        <v>446</v>
      </c>
      <c r="E25" t="s">
        <v>448</v>
      </c>
      <c r="F25">
        <v>896.64</v>
      </c>
    </row>
    <row r="26" spans="2:6" x14ac:dyDescent="0.35">
      <c r="B26" s="37">
        <v>46204</v>
      </c>
      <c r="C26">
        <v>53508</v>
      </c>
      <c r="D26" t="s">
        <v>449</v>
      </c>
      <c r="E26" t="s">
        <v>450</v>
      </c>
      <c r="F26">
        <v>154</v>
      </c>
    </row>
    <row r="27" spans="2:6" x14ac:dyDescent="0.35">
      <c r="B27" s="37">
        <v>46204</v>
      </c>
      <c r="C27">
        <v>53924</v>
      </c>
      <c r="D27" t="s">
        <v>449</v>
      </c>
      <c r="E27" t="s">
        <v>465</v>
      </c>
      <c r="F27">
        <v>145</v>
      </c>
    </row>
    <row r="28" spans="2:6" x14ac:dyDescent="0.35">
      <c r="B28" s="37">
        <v>46204</v>
      </c>
      <c r="C28">
        <v>67637</v>
      </c>
      <c r="D28" t="s">
        <v>453</v>
      </c>
      <c r="E28" t="s">
        <v>454</v>
      </c>
      <c r="F28">
        <v>970</v>
      </c>
    </row>
    <row r="29" spans="2:6" x14ac:dyDescent="0.35">
      <c r="B29" s="37">
        <v>46204</v>
      </c>
      <c r="C29">
        <v>75062</v>
      </c>
      <c r="D29" t="s">
        <v>435</v>
      </c>
      <c r="E29" t="s">
        <v>436</v>
      </c>
      <c r="F29">
        <v>6990</v>
      </c>
    </row>
    <row r="30" spans="2:6" x14ac:dyDescent="0.35">
      <c r="B30" s="37">
        <v>46204</v>
      </c>
      <c r="C30">
        <v>53508</v>
      </c>
      <c r="D30" t="s">
        <v>449</v>
      </c>
      <c r="E30" t="s">
        <v>450</v>
      </c>
      <c r="F30">
        <v>226</v>
      </c>
    </row>
    <row r="31" spans="2:6" x14ac:dyDescent="0.35">
      <c r="B31" s="37">
        <v>46204</v>
      </c>
      <c r="C31">
        <v>53924</v>
      </c>
      <c r="D31" t="s">
        <v>449</v>
      </c>
      <c r="E31" t="s">
        <v>465</v>
      </c>
      <c r="F31">
        <v>350</v>
      </c>
    </row>
    <row r="32" spans="2:6" x14ac:dyDescent="0.35">
      <c r="B32" s="37">
        <v>46204</v>
      </c>
      <c r="C32">
        <v>67637</v>
      </c>
      <c r="D32" t="s">
        <v>453</v>
      </c>
      <c r="E32" t="s">
        <v>454</v>
      </c>
      <c r="F32">
        <v>2415</v>
      </c>
    </row>
    <row r="33" spans="2:6" x14ac:dyDescent="0.35">
      <c r="B33" s="37">
        <v>46204</v>
      </c>
      <c r="C33">
        <v>75062</v>
      </c>
      <c r="D33" t="s">
        <v>435</v>
      </c>
      <c r="E33" t="s">
        <v>436</v>
      </c>
      <c r="F33">
        <v>8080</v>
      </c>
    </row>
    <row r="34" spans="2:6" x14ac:dyDescent="0.35">
      <c r="B34" s="37">
        <v>46235</v>
      </c>
      <c r="C34">
        <v>46420</v>
      </c>
      <c r="D34" t="s">
        <v>439</v>
      </c>
      <c r="E34" t="s">
        <v>441</v>
      </c>
      <c r="F34">
        <v>138</v>
      </c>
    </row>
    <row r="35" spans="2:6" x14ac:dyDescent="0.35">
      <c r="B35" s="37">
        <v>46235</v>
      </c>
      <c r="C35">
        <v>67637</v>
      </c>
      <c r="D35" t="s">
        <v>453</v>
      </c>
      <c r="E35" t="s">
        <v>454</v>
      </c>
      <c r="F35">
        <v>1615</v>
      </c>
    </row>
    <row r="36" spans="2:6" x14ac:dyDescent="0.35">
      <c r="B36" s="37">
        <v>46235</v>
      </c>
      <c r="C36">
        <v>78917</v>
      </c>
      <c r="D36" t="s">
        <v>451</v>
      </c>
      <c r="E36" t="s">
        <v>452</v>
      </c>
      <c r="F36">
        <v>9.8999999999999986</v>
      </c>
    </row>
    <row r="37" spans="2:6" x14ac:dyDescent="0.35">
      <c r="B37" s="37">
        <v>46235</v>
      </c>
      <c r="C37">
        <v>85803</v>
      </c>
      <c r="D37" t="s">
        <v>17</v>
      </c>
      <c r="E37" t="s">
        <v>84</v>
      </c>
      <c r="F37">
        <v>252</v>
      </c>
    </row>
    <row r="38" spans="2:6" x14ac:dyDescent="0.35">
      <c r="B38" s="37">
        <v>46235</v>
      </c>
      <c r="C38">
        <v>67637</v>
      </c>
      <c r="D38" t="s">
        <v>453</v>
      </c>
      <c r="E38" t="s">
        <v>454</v>
      </c>
      <c r="F38">
        <v>2525</v>
      </c>
    </row>
    <row r="39" spans="2:6" x14ac:dyDescent="0.35">
      <c r="B39" s="37">
        <v>46235</v>
      </c>
      <c r="C39">
        <v>85803</v>
      </c>
      <c r="D39" t="s">
        <v>17</v>
      </c>
      <c r="E39" t="s">
        <v>84</v>
      </c>
      <c r="F39">
        <v>989.1</v>
      </c>
    </row>
    <row r="40" spans="2:6" x14ac:dyDescent="0.35">
      <c r="B40" s="37">
        <v>46266</v>
      </c>
      <c r="C40">
        <v>34001</v>
      </c>
      <c r="D40" t="s">
        <v>455</v>
      </c>
      <c r="E40" t="s">
        <v>87</v>
      </c>
      <c r="F40">
        <v>160</v>
      </c>
    </row>
    <row r="41" spans="2:6" x14ac:dyDescent="0.35">
      <c r="B41" s="37">
        <v>46266</v>
      </c>
      <c r="C41">
        <v>43978</v>
      </c>
      <c r="D41" t="s">
        <v>102</v>
      </c>
      <c r="E41" t="s">
        <v>460</v>
      </c>
      <c r="F41">
        <v>163</v>
      </c>
    </row>
    <row r="42" spans="2:6" x14ac:dyDescent="0.35">
      <c r="B42" s="37">
        <v>46266</v>
      </c>
      <c r="C42">
        <v>55458</v>
      </c>
      <c r="D42" t="s">
        <v>439</v>
      </c>
      <c r="E42" t="s">
        <v>440</v>
      </c>
      <c r="F42">
        <v>616</v>
      </c>
    </row>
    <row r="43" spans="2:6" x14ac:dyDescent="0.35">
      <c r="B43" s="37">
        <v>46266</v>
      </c>
      <c r="C43">
        <v>57918</v>
      </c>
      <c r="D43" t="s">
        <v>438</v>
      </c>
      <c r="E43" t="s">
        <v>465</v>
      </c>
      <c r="F43">
        <v>1050</v>
      </c>
    </row>
    <row r="44" spans="2:6" x14ac:dyDescent="0.35">
      <c r="B44" s="37">
        <v>46266</v>
      </c>
      <c r="C44">
        <v>30593</v>
      </c>
      <c r="D44" t="s">
        <v>455</v>
      </c>
      <c r="E44" t="s">
        <v>101</v>
      </c>
      <c r="F44">
        <v>0</v>
      </c>
    </row>
    <row r="45" spans="2:6" x14ac:dyDescent="0.35">
      <c r="B45" s="37">
        <v>46266</v>
      </c>
      <c r="C45">
        <v>34001</v>
      </c>
      <c r="D45" t="s">
        <v>455</v>
      </c>
      <c r="E45" t="s">
        <v>87</v>
      </c>
      <c r="F45">
        <v>110</v>
      </c>
    </row>
    <row r="46" spans="2:6" x14ac:dyDescent="0.35">
      <c r="B46" s="37">
        <v>46266</v>
      </c>
      <c r="C46">
        <v>55458</v>
      </c>
      <c r="D46" t="s">
        <v>438</v>
      </c>
      <c r="E46" t="s">
        <v>440</v>
      </c>
      <c r="F46">
        <v>565</v>
      </c>
    </row>
    <row r="47" spans="2:6" x14ac:dyDescent="0.35">
      <c r="B47" s="37">
        <v>46266</v>
      </c>
      <c r="C47">
        <v>57918</v>
      </c>
      <c r="D47" t="s">
        <v>438</v>
      </c>
      <c r="E47" t="s">
        <v>465</v>
      </c>
      <c r="F47">
        <v>1420</v>
      </c>
    </row>
    <row r="48" spans="2:6" x14ac:dyDescent="0.35">
      <c r="B48" s="37">
        <v>46296</v>
      </c>
      <c r="C48">
        <v>30593</v>
      </c>
      <c r="D48" t="s">
        <v>455</v>
      </c>
      <c r="E48" t="s">
        <v>101</v>
      </c>
      <c r="F48">
        <v>1986</v>
      </c>
    </row>
    <row r="49" spans="2:6" x14ac:dyDescent="0.35">
      <c r="B49" s="37">
        <v>46296</v>
      </c>
      <c r="C49">
        <v>34001</v>
      </c>
      <c r="D49" t="s">
        <v>455</v>
      </c>
      <c r="E49" t="s">
        <v>87</v>
      </c>
      <c r="F49">
        <v>2310</v>
      </c>
    </row>
    <row r="50" spans="2:6" x14ac:dyDescent="0.35">
      <c r="B50" s="37">
        <v>46296</v>
      </c>
      <c r="C50">
        <v>34002</v>
      </c>
      <c r="D50" t="s">
        <v>455</v>
      </c>
      <c r="E50" t="s">
        <v>456</v>
      </c>
      <c r="F50">
        <v>132</v>
      </c>
    </row>
    <row r="51" spans="2:6" x14ac:dyDescent="0.35">
      <c r="B51" s="37">
        <v>46296</v>
      </c>
      <c r="C51">
        <v>30593</v>
      </c>
      <c r="D51" t="s">
        <v>455</v>
      </c>
      <c r="E51" t="s">
        <v>101</v>
      </c>
      <c r="F51">
        <v>2828</v>
      </c>
    </row>
    <row r="52" spans="2:6" x14ac:dyDescent="0.35">
      <c r="B52" s="37">
        <v>46296</v>
      </c>
      <c r="C52">
        <v>34001</v>
      </c>
      <c r="D52" t="s">
        <v>455</v>
      </c>
      <c r="E52" t="s">
        <v>87</v>
      </c>
      <c r="F52">
        <v>760</v>
      </c>
    </row>
    <row r="53" spans="2:6" x14ac:dyDescent="0.35">
      <c r="B53" s="37">
        <v>46296</v>
      </c>
      <c r="C53">
        <v>34002</v>
      </c>
      <c r="D53" t="s">
        <v>455</v>
      </c>
      <c r="E53" t="s">
        <v>456</v>
      </c>
      <c r="F53">
        <v>493</v>
      </c>
    </row>
    <row r="54" spans="2:6" x14ac:dyDescent="0.35">
      <c r="B54" s="37">
        <v>46296</v>
      </c>
      <c r="C54">
        <v>43868</v>
      </c>
      <c r="D54" t="s">
        <v>88</v>
      </c>
      <c r="E54" t="s">
        <v>76</v>
      </c>
      <c r="F54">
        <v>3</v>
      </c>
    </row>
    <row r="55" spans="2:6" x14ac:dyDescent="0.35">
      <c r="B55" s="37">
        <v>46327</v>
      </c>
      <c r="C55">
        <v>58337</v>
      </c>
      <c r="D55" t="s">
        <v>457</v>
      </c>
      <c r="E55" t="s">
        <v>458</v>
      </c>
      <c r="F55">
        <v>5420</v>
      </c>
    </row>
    <row r="56" spans="2:6" x14ac:dyDescent="0.35">
      <c r="B56" s="37">
        <v>46327</v>
      </c>
      <c r="C56">
        <v>58337</v>
      </c>
      <c r="D56" t="s">
        <v>457</v>
      </c>
      <c r="E56" t="s">
        <v>458</v>
      </c>
      <c r="F56">
        <v>9560</v>
      </c>
    </row>
    <row r="57" spans="2:6" x14ac:dyDescent="0.35">
      <c r="B57" s="37">
        <v>46327</v>
      </c>
      <c r="C57">
        <v>68508</v>
      </c>
      <c r="D57" t="s">
        <v>75</v>
      </c>
      <c r="E57" t="s">
        <v>437</v>
      </c>
      <c r="F57">
        <v>3</v>
      </c>
    </row>
    <row r="58" spans="2:6" x14ac:dyDescent="0.35">
      <c r="B58" s="37" t="s">
        <v>65</v>
      </c>
      <c r="F58">
        <v>70670.145000000004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AE29-5818-4B5A-A96B-0CB6A70F73DF}">
  <sheetPr codeName="Sheet4"/>
  <dimension ref="B4:I99"/>
  <sheetViews>
    <sheetView workbookViewId="0">
      <selection activeCell="C5" sqref="C5"/>
    </sheetView>
  </sheetViews>
  <sheetFormatPr defaultRowHeight="14.5" x14ac:dyDescent="0.35"/>
  <cols>
    <col min="2" max="2" width="17.54296875" bestFit="1" customWidth="1"/>
    <col min="4" max="4" width="18.453125" bestFit="1" customWidth="1"/>
    <col min="5" max="5" width="14.7265625" bestFit="1" customWidth="1"/>
    <col min="6" max="6" width="12.90625" bestFit="1" customWidth="1"/>
  </cols>
  <sheetData>
    <row r="4" spans="2:9" x14ac:dyDescent="0.35">
      <c r="B4" t="s">
        <v>3</v>
      </c>
      <c r="C4" t="s">
        <v>0</v>
      </c>
      <c r="D4" t="s">
        <v>1</v>
      </c>
      <c r="E4" t="s">
        <v>2</v>
      </c>
      <c r="F4" t="s">
        <v>21</v>
      </c>
      <c r="G4" t="s">
        <v>24</v>
      </c>
      <c r="H4" t="s">
        <v>22</v>
      </c>
      <c r="I4" t="s">
        <v>6</v>
      </c>
    </row>
    <row r="5" spans="2:9" x14ac:dyDescent="0.35">
      <c r="B5" s="50">
        <v>45992</v>
      </c>
      <c r="C5">
        <v>72523</v>
      </c>
      <c r="D5" t="s">
        <v>75</v>
      </c>
      <c r="E5" t="s">
        <v>461</v>
      </c>
      <c r="F5">
        <v>3</v>
      </c>
      <c r="G5">
        <v>1</v>
      </c>
      <c r="H5">
        <v>2</v>
      </c>
      <c r="I5">
        <v>4</v>
      </c>
    </row>
    <row r="6" spans="2:9" x14ac:dyDescent="0.35">
      <c r="B6" s="50">
        <v>45992</v>
      </c>
      <c r="C6">
        <v>69667</v>
      </c>
      <c r="D6" t="s">
        <v>434</v>
      </c>
      <c r="E6" t="s">
        <v>100</v>
      </c>
      <c r="F6">
        <v>89</v>
      </c>
      <c r="G6">
        <v>88</v>
      </c>
      <c r="I6">
        <v>1</v>
      </c>
    </row>
    <row r="7" spans="2:9" x14ac:dyDescent="0.35">
      <c r="B7" s="50">
        <v>45992</v>
      </c>
      <c r="C7">
        <v>69667</v>
      </c>
      <c r="D7" t="s">
        <v>434</v>
      </c>
      <c r="E7" t="s">
        <v>100</v>
      </c>
      <c r="F7">
        <v>123</v>
      </c>
      <c r="G7">
        <v>30</v>
      </c>
      <c r="H7">
        <v>19</v>
      </c>
      <c r="I7">
        <v>19</v>
      </c>
    </row>
    <row r="8" spans="2:9" x14ac:dyDescent="0.35">
      <c r="B8" s="50">
        <v>45992</v>
      </c>
      <c r="C8">
        <v>72523</v>
      </c>
      <c r="D8" t="s">
        <v>75</v>
      </c>
      <c r="E8" t="s">
        <v>461</v>
      </c>
      <c r="F8">
        <v>0</v>
      </c>
      <c r="G8">
        <v>11</v>
      </c>
      <c r="H8">
        <v>9</v>
      </c>
      <c r="I8">
        <v>18</v>
      </c>
    </row>
    <row r="9" spans="2:9" x14ac:dyDescent="0.35">
      <c r="B9" s="50">
        <v>46043</v>
      </c>
      <c r="C9">
        <v>82888</v>
      </c>
      <c r="D9" t="s">
        <v>462</v>
      </c>
      <c r="E9" t="s">
        <v>103</v>
      </c>
      <c r="F9">
        <v>7</v>
      </c>
      <c r="G9">
        <v>2</v>
      </c>
      <c r="H9">
        <v>2</v>
      </c>
      <c r="I9">
        <v>20</v>
      </c>
    </row>
    <row r="10" spans="2:9" x14ac:dyDescent="0.35">
      <c r="B10" s="50">
        <v>46047</v>
      </c>
      <c r="C10">
        <v>82888</v>
      </c>
      <c r="D10" t="s">
        <v>462</v>
      </c>
      <c r="E10" t="s">
        <v>103</v>
      </c>
      <c r="F10">
        <v>0</v>
      </c>
      <c r="G10">
        <v>-5</v>
      </c>
      <c r="H10">
        <v>5</v>
      </c>
      <c r="I10">
        <v>50</v>
      </c>
    </row>
    <row r="11" spans="2:9" x14ac:dyDescent="0.35">
      <c r="B11" s="50">
        <v>46082</v>
      </c>
      <c r="C11">
        <v>69037</v>
      </c>
      <c r="D11" t="s">
        <v>442</v>
      </c>
      <c r="E11" t="s">
        <v>443</v>
      </c>
      <c r="F11">
        <v>253</v>
      </c>
      <c r="G11">
        <v>71</v>
      </c>
      <c r="H11">
        <v>182</v>
      </c>
      <c r="I11">
        <v>546</v>
      </c>
    </row>
    <row r="12" spans="2:9" x14ac:dyDescent="0.35">
      <c r="B12" s="50">
        <v>46082</v>
      </c>
      <c r="C12">
        <v>84793</v>
      </c>
      <c r="D12" t="s">
        <v>459</v>
      </c>
      <c r="E12" t="s">
        <v>99</v>
      </c>
      <c r="F12">
        <v>1436</v>
      </c>
      <c r="G12">
        <v>498</v>
      </c>
      <c r="H12">
        <v>938</v>
      </c>
      <c r="I12">
        <v>351.75</v>
      </c>
    </row>
    <row r="13" spans="2:9" x14ac:dyDescent="0.35">
      <c r="B13" s="50">
        <v>46082</v>
      </c>
      <c r="C13">
        <v>69037</v>
      </c>
      <c r="D13" t="s">
        <v>442</v>
      </c>
      <c r="E13" t="s">
        <v>443</v>
      </c>
      <c r="F13">
        <v>196</v>
      </c>
      <c r="G13">
        <v>0</v>
      </c>
      <c r="H13">
        <v>146</v>
      </c>
      <c r="I13">
        <v>438</v>
      </c>
    </row>
    <row r="14" spans="2:9" x14ac:dyDescent="0.35">
      <c r="B14" s="50">
        <v>46082</v>
      </c>
      <c r="C14">
        <v>69037</v>
      </c>
      <c r="D14" t="s">
        <v>442</v>
      </c>
      <c r="E14" t="s">
        <v>443</v>
      </c>
      <c r="F14">
        <v>0</v>
      </c>
      <c r="G14">
        <v>240</v>
      </c>
      <c r="H14">
        <v>70</v>
      </c>
      <c r="I14">
        <v>210</v>
      </c>
    </row>
    <row r="15" spans="2:9" x14ac:dyDescent="0.35">
      <c r="B15" s="50">
        <v>46082</v>
      </c>
      <c r="C15">
        <v>84793</v>
      </c>
      <c r="D15" t="s">
        <v>459</v>
      </c>
      <c r="E15" t="s">
        <v>99</v>
      </c>
      <c r="F15">
        <v>2</v>
      </c>
      <c r="G15">
        <v>0</v>
      </c>
      <c r="H15">
        <v>2</v>
      </c>
      <c r="I15">
        <v>0.75</v>
      </c>
    </row>
    <row r="16" spans="2:9" x14ac:dyDescent="0.35">
      <c r="B16" s="50">
        <v>46082</v>
      </c>
      <c r="C16">
        <v>84793</v>
      </c>
      <c r="D16" t="s">
        <v>459</v>
      </c>
      <c r="E16" t="s">
        <v>99</v>
      </c>
      <c r="F16">
        <v>746</v>
      </c>
      <c r="G16">
        <v>283</v>
      </c>
      <c r="H16">
        <v>776</v>
      </c>
      <c r="I16">
        <v>291</v>
      </c>
    </row>
    <row r="17" spans="2:9" x14ac:dyDescent="0.35">
      <c r="B17" s="50">
        <v>46082</v>
      </c>
      <c r="C17">
        <v>84793</v>
      </c>
      <c r="D17" t="s">
        <v>459</v>
      </c>
      <c r="E17" t="s">
        <v>99</v>
      </c>
      <c r="F17">
        <v>925</v>
      </c>
      <c r="G17">
        <v>42</v>
      </c>
      <c r="H17">
        <v>891</v>
      </c>
      <c r="I17">
        <v>334.125</v>
      </c>
    </row>
    <row r="18" spans="2:9" x14ac:dyDescent="0.35">
      <c r="B18" s="50">
        <v>46082</v>
      </c>
      <c r="C18">
        <v>84793</v>
      </c>
      <c r="D18" t="s">
        <v>459</v>
      </c>
      <c r="E18" t="s">
        <v>99</v>
      </c>
      <c r="F18">
        <v>1408</v>
      </c>
      <c r="G18">
        <v>6</v>
      </c>
      <c r="H18">
        <v>1048</v>
      </c>
      <c r="I18">
        <v>393</v>
      </c>
    </row>
    <row r="19" spans="2:9" x14ac:dyDescent="0.35">
      <c r="B19" s="50">
        <v>46113</v>
      </c>
      <c r="C19">
        <v>68508</v>
      </c>
      <c r="D19" t="s">
        <v>75</v>
      </c>
      <c r="E19" t="s">
        <v>437</v>
      </c>
      <c r="F19">
        <v>0</v>
      </c>
      <c r="G19">
        <v>-2</v>
      </c>
      <c r="H19">
        <v>2</v>
      </c>
      <c r="I19">
        <v>6</v>
      </c>
    </row>
    <row r="20" spans="2:9" x14ac:dyDescent="0.35">
      <c r="B20" s="50">
        <v>46113</v>
      </c>
      <c r="C20">
        <v>72523</v>
      </c>
      <c r="D20" t="s">
        <v>75</v>
      </c>
      <c r="E20" t="s">
        <v>461</v>
      </c>
      <c r="F20">
        <v>606</v>
      </c>
      <c r="G20">
        <v>-68</v>
      </c>
      <c r="H20">
        <v>674</v>
      </c>
      <c r="I20">
        <v>1348</v>
      </c>
    </row>
    <row r="21" spans="2:9" x14ac:dyDescent="0.35">
      <c r="B21" s="50">
        <v>46133</v>
      </c>
      <c r="C21">
        <v>82888</v>
      </c>
      <c r="D21" t="s">
        <v>462</v>
      </c>
      <c r="E21" t="s">
        <v>103</v>
      </c>
      <c r="F21">
        <v>8</v>
      </c>
      <c r="G21">
        <v>0</v>
      </c>
      <c r="H21">
        <v>8</v>
      </c>
      <c r="I21">
        <v>80</v>
      </c>
    </row>
    <row r="22" spans="2:9" x14ac:dyDescent="0.35">
      <c r="B22" s="50">
        <v>46113</v>
      </c>
      <c r="C22">
        <v>82898</v>
      </c>
      <c r="D22" t="s">
        <v>12</v>
      </c>
      <c r="E22" t="s">
        <v>465</v>
      </c>
      <c r="F22">
        <v>179</v>
      </c>
      <c r="G22">
        <v>-50</v>
      </c>
      <c r="H22">
        <v>229</v>
      </c>
      <c r="I22">
        <v>1145</v>
      </c>
    </row>
    <row r="23" spans="2:9" x14ac:dyDescent="0.35">
      <c r="B23" s="50">
        <v>46133</v>
      </c>
      <c r="C23">
        <v>72523</v>
      </c>
      <c r="D23" t="s">
        <v>75</v>
      </c>
      <c r="E23" t="s">
        <v>461</v>
      </c>
      <c r="F23">
        <v>296</v>
      </c>
      <c r="G23">
        <v>11</v>
      </c>
      <c r="H23">
        <v>287</v>
      </c>
      <c r="I23">
        <v>574</v>
      </c>
    </row>
    <row r="24" spans="2:9" x14ac:dyDescent="0.35">
      <c r="B24" s="50">
        <v>46133</v>
      </c>
      <c r="C24">
        <v>72523</v>
      </c>
      <c r="D24" t="s">
        <v>75</v>
      </c>
      <c r="E24" t="s">
        <v>461</v>
      </c>
      <c r="F24">
        <v>373</v>
      </c>
      <c r="G24">
        <v>0</v>
      </c>
      <c r="H24">
        <v>373</v>
      </c>
      <c r="I24">
        <v>746</v>
      </c>
    </row>
    <row r="25" spans="2:9" x14ac:dyDescent="0.35">
      <c r="B25" s="50">
        <v>46133</v>
      </c>
      <c r="C25">
        <v>72523</v>
      </c>
      <c r="D25" t="s">
        <v>75</v>
      </c>
      <c r="E25" t="s">
        <v>461</v>
      </c>
      <c r="F25">
        <v>394</v>
      </c>
      <c r="G25">
        <v>10</v>
      </c>
      <c r="H25">
        <v>283</v>
      </c>
      <c r="I25">
        <v>566</v>
      </c>
    </row>
    <row r="26" spans="2:9" x14ac:dyDescent="0.35">
      <c r="B26" s="50">
        <v>46133</v>
      </c>
      <c r="C26">
        <v>82888</v>
      </c>
      <c r="D26" t="s">
        <v>462</v>
      </c>
      <c r="E26" t="s">
        <v>103</v>
      </c>
      <c r="F26">
        <v>12</v>
      </c>
      <c r="G26">
        <v>0</v>
      </c>
      <c r="H26">
        <v>12</v>
      </c>
      <c r="I26">
        <v>120</v>
      </c>
    </row>
    <row r="27" spans="2:9" x14ac:dyDescent="0.35">
      <c r="B27" s="50">
        <v>46133</v>
      </c>
      <c r="C27">
        <v>82888</v>
      </c>
      <c r="D27" t="s">
        <v>462</v>
      </c>
      <c r="E27" t="s">
        <v>103</v>
      </c>
      <c r="F27">
        <v>15</v>
      </c>
      <c r="G27">
        <v>2</v>
      </c>
      <c r="H27">
        <v>13</v>
      </c>
      <c r="I27">
        <v>130</v>
      </c>
    </row>
    <row r="28" spans="2:9" x14ac:dyDescent="0.35">
      <c r="B28" s="50">
        <v>46133</v>
      </c>
      <c r="C28">
        <v>82898</v>
      </c>
      <c r="D28" t="s">
        <v>12</v>
      </c>
      <c r="E28" t="s">
        <v>465</v>
      </c>
      <c r="F28">
        <v>0</v>
      </c>
      <c r="G28">
        <v>0</v>
      </c>
      <c r="H28">
        <v>74</v>
      </c>
      <c r="I28">
        <v>370</v>
      </c>
    </row>
    <row r="29" spans="2:9" x14ac:dyDescent="0.35">
      <c r="B29" s="50">
        <v>46133</v>
      </c>
      <c r="C29">
        <v>82898</v>
      </c>
      <c r="D29" t="s">
        <v>12</v>
      </c>
      <c r="E29" t="s">
        <v>465</v>
      </c>
      <c r="F29">
        <v>112</v>
      </c>
      <c r="G29">
        <v>6</v>
      </c>
      <c r="H29">
        <v>106</v>
      </c>
      <c r="I29">
        <v>530</v>
      </c>
    </row>
    <row r="30" spans="2:9" x14ac:dyDescent="0.35">
      <c r="B30" s="50">
        <v>46133</v>
      </c>
      <c r="C30">
        <v>82898</v>
      </c>
      <c r="D30" t="s">
        <v>12</v>
      </c>
      <c r="E30" t="s">
        <v>465</v>
      </c>
      <c r="F30">
        <v>163</v>
      </c>
      <c r="G30">
        <v>1</v>
      </c>
      <c r="H30">
        <v>162</v>
      </c>
      <c r="I30">
        <v>810</v>
      </c>
    </row>
    <row r="31" spans="2:9" x14ac:dyDescent="0.35">
      <c r="B31" s="50">
        <v>46143</v>
      </c>
      <c r="C31">
        <v>67637</v>
      </c>
      <c r="D31" t="s">
        <v>453</v>
      </c>
      <c r="E31" t="s">
        <v>454</v>
      </c>
      <c r="F31">
        <v>66</v>
      </c>
      <c r="G31">
        <v>-14</v>
      </c>
      <c r="H31">
        <v>80</v>
      </c>
      <c r="I31">
        <v>400</v>
      </c>
    </row>
    <row r="32" spans="2:9" x14ac:dyDescent="0.35">
      <c r="B32" s="50">
        <v>46143</v>
      </c>
      <c r="C32">
        <v>67637</v>
      </c>
      <c r="D32" t="s">
        <v>453</v>
      </c>
      <c r="E32" t="s">
        <v>454</v>
      </c>
      <c r="F32">
        <v>175</v>
      </c>
      <c r="G32">
        <v>0</v>
      </c>
      <c r="H32">
        <v>30</v>
      </c>
      <c r="I32">
        <v>150</v>
      </c>
    </row>
    <row r="33" spans="2:9" x14ac:dyDescent="0.35">
      <c r="B33" s="50">
        <v>46143</v>
      </c>
      <c r="C33">
        <v>67637</v>
      </c>
      <c r="D33" t="s">
        <v>453</v>
      </c>
      <c r="E33" t="s">
        <v>454</v>
      </c>
      <c r="F33">
        <v>0</v>
      </c>
      <c r="G33">
        <v>266</v>
      </c>
      <c r="H33">
        <v>30</v>
      </c>
      <c r="I33">
        <v>150</v>
      </c>
    </row>
    <row r="34" spans="2:9" x14ac:dyDescent="0.35">
      <c r="B34" s="50">
        <v>46194</v>
      </c>
      <c r="C34">
        <v>70887</v>
      </c>
      <c r="D34" t="s">
        <v>446</v>
      </c>
      <c r="E34" t="s">
        <v>463</v>
      </c>
      <c r="F34">
        <v>314</v>
      </c>
      <c r="G34">
        <v>267</v>
      </c>
      <c r="H34">
        <v>86</v>
      </c>
      <c r="I34">
        <v>34.4</v>
      </c>
    </row>
    <row r="35" spans="2:9" x14ac:dyDescent="0.35">
      <c r="B35" s="50">
        <v>46194</v>
      </c>
      <c r="C35">
        <v>70887</v>
      </c>
      <c r="D35" t="s">
        <v>446</v>
      </c>
      <c r="E35" t="s">
        <v>463</v>
      </c>
      <c r="F35">
        <v>316</v>
      </c>
      <c r="G35">
        <v>521</v>
      </c>
      <c r="H35">
        <v>19</v>
      </c>
      <c r="I35">
        <v>7.6000000000000005</v>
      </c>
    </row>
    <row r="36" spans="2:9" x14ac:dyDescent="0.35">
      <c r="B36" s="50">
        <v>46194</v>
      </c>
      <c r="C36">
        <v>70897</v>
      </c>
      <c r="D36" t="s">
        <v>446</v>
      </c>
      <c r="E36" t="s">
        <v>447</v>
      </c>
      <c r="F36">
        <v>893</v>
      </c>
      <c r="G36">
        <v>1379</v>
      </c>
      <c r="H36">
        <v>707</v>
      </c>
      <c r="I36">
        <v>424.2</v>
      </c>
    </row>
    <row r="37" spans="2:9" x14ac:dyDescent="0.35">
      <c r="B37" s="50">
        <v>46194</v>
      </c>
      <c r="C37">
        <v>70897</v>
      </c>
      <c r="D37" t="s">
        <v>446</v>
      </c>
      <c r="E37" t="s">
        <v>447</v>
      </c>
      <c r="F37">
        <v>2281</v>
      </c>
      <c r="G37">
        <v>3369</v>
      </c>
      <c r="H37">
        <v>2140</v>
      </c>
      <c r="I37">
        <v>1284</v>
      </c>
    </row>
    <row r="38" spans="2:9" x14ac:dyDescent="0.35">
      <c r="B38" s="50">
        <v>46194</v>
      </c>
      <c r="C38">
        <v>70897</v>
      </c>
      <c r="D38" t="s">
        <v>446</v>
      </c>
      <c r="E38" t="s">
        <v>447</v>
      </c>
      <c r="F38">
        <v>2692</v>
      </c>
      <c r="G38">
        <v>3253</v>
      </c>
      <c r="H38">
        <v>3495</v>
      </c>
      <c r="I38">
        <v>2097</v>
      </c>
    </row>
    <row r="39" spans="2:9" x14ac:dyDescent="0.35">
      <c r="B39" s="50">
        <v>46194</v>
      </c>
      <c r="C39">
        <v>71016</v>
      </c>
      <c r="D39" t="s">
        <v>80</v>
      </c>
      <c r="E39" t="s">
        <v>464</v>
      </c>
      <c r="F39">
        <v>5</v>
      </c>
      <c r="G39">
        <v>7</v>
      </c>
      <c r="H39">
        <v>3</v>
      </c>
      <c r="I39">
        <v>9</v>
      </c>
    </row>
    <row r="40" spans="2:9" x14ac:dyDescent="0.35">
      <c r="B40" s="50">
        <v>46194</v>
      </c>
      <c r="C40">
        <v>72434</v>
      </c>
      <c r="D40" t="s">
        <v>444</v>
      </c>
      <c r="E40" t="s">
        <v>445</v>
      </c>
      <c r="F40">
        <v>166</v>
      </c>
      <c r="G40">
        <v>74</v>
      </c>
      <c r="H40">
        <v>116</v>
      </c>
      <c r="I40">
        <v>46.400000000000006</v>
      </c>
    </row>
    <row r="41" spans="2:9" x14ac:dyDescent="0.35">
      <c r="B41" s="50">
        <v>46194</v>
      </c>
      <c r="C41">
        <v>72434</v>
      </c>
      <c r="D41" t="s">
        <v>444</v>
      </c>
      <c r="E41" t="s">
        <v>445</v>
      </c>
      <c r="F41">
        <v>283</v>
      </c>
      <c r="G41">
        <v>16</v>
      </c>
      <c r="H41">
        <v>117</v>
      </c>
      <c r="I41">
        <v>46.800000000000004</v>
      </c>
    </row>
    <row r="42" spans="2:9" x14ac:dyDescent="0.35">
      <c r="B42" s="50">
        <v>46194</v>
      </c>
      <c r="C42">
        <v>72434</v>
      </c>
      <c r="D42" t="s">
        <v>444</v>
      </c>
      <c r="E42" t="s">
        <v>445</v>
      </c>
      <c r="F42">
        <v>341</v>
      </c>
      <c r="G42">
        <v>8</v>
      </c>
      <c r="H42">
        <v>204</v>
      </c>
      <c r="I42">
        <v>81.600000000000009</v>
      </c>
    </row>
    <row r="43" spans="2:9" x14ac:dyDescent="0.35">
      <c r="B43" s="50">
        <v>46194</v>
      </c>
      <c r="C43">
        <v>75062</v>
      </c>
      <c r="D43" t="s">
        <v>435</v>
      </c>
      <c r="E43" t="s">
        <v>436</v>
      </c>
      <c r="F43">
        <v>857</v>
      </c>
      <c r="G43">
        <v>462</v>
      </c>
      <c r="H43">
        <v>0</v>
      </c>
      <c r="I43">
        <v>0</v>
      </c>
    </row>
    <row r="44" spans="2:9" x14ac:dyDescent="0.35">
      <c r="B44" s="50">
        <v>46194</v>
      </c>
      <c r="C44">
        <v>87199</v>
      </c>
      <c r="D44" t="s">
        <v>446</v>
      </c>
      <c r="E44" t="s">
        <v>448</v>
      </c>
      <c r="F44">
        <v>298</v>
      </c>
      <c r="G44">
        <v>60</v>
      </c>
      <c r="H44">
        <v>1491</v>
      </c>
      <c r="I44">
        <v>715.68</v>
      </c>
    </row>
    <row r="45" spans="2:9" x14ac:dyDescent="0.35">
      <c r="B45" s="50">
        <v>46194</v>
      </c>
      <c r="C45">
        <v>87199</v>
      </c>
      <c r="D45" t="s">
        <v>446</v>
      </c>
      <c r="E45" t="s">
        <v>448</v>
      </c>
      <c r="F45">
        <v>698</v>
      </c>
      <c r="G45">
        <v>0</v>
      </c>
      <c r="H45">
        <v>695</v>
      </c>
      <c r="I45">
        <v>333.59999999999997</v>
      </c>
    </row>
    <row r="46" spans="2:9" x14ac:dyDescent="0.35">
      <c r="B46" s="50">
        <v>46194</v>
      </c>
      <c r="C46">
        <v>87199</v>
      </c>
      <c r="D46" t="s">
        <v>446</v>
      </c>
      <c r="E46" t="s">
        <v>448</v>
      </c>
      <c r="F46">
        <v>795</v>
      </c>
      <c r="G46">
        <v>53</v>
      </c>
      <c r="H46">
        <v>1630</v>
      </c>
      <c r="I46">
        <v>782.4</v>
      </c>
    </row>
    <row r="47" spans="2:9" x14ac:dyDescent="0.35">
      <c r="B47" s="50">
        <v>46198</v>
      </c>
      <c r="C47">
        <v>70897</v>
      </c>
      <c r="D47" t="s">
        <v>446</v>
      </c>
      <c r="E47" t="s">
        <v>447</v>
      </c>
      <c r="F47">
        <v>2768</v>
      </c>
      <c r="G47">
        <v>184</v>
      </c>
      <c r="H47">
        <v>2584</v>
      </c>
      <c r="I47">
        <v>1550.3999999999999</v>
      </c>
    </row>
    <row r="48" spans="2:9" x14ac:dyDescent="0.35">
      <c r="B48" s="50">
        <v>46198</v>
      </c>
      <c r="C48">
        <v>72434</v>
      </c>
      <c r="D48" t="s">
        <v>444</v>
      </c>
      <c r="E48" t="s">
        <v>445</v>
      </c>
      <c r="F48">
        <v>94</v>
      </c>
      <c r="G48">
        <v>-208</v>
      </c>
      <c r="H48">
        <v>302</v>
      </c>
      <c r="I48">
        <v>120.80000000000001</v>
      </c>
    </row>
    <row r="49" spans="2:9" x14ac:dyDescent="0.35">
      <c r="B49" s="50">
        <v>46198</v>
      </c>
      <c r="C49">
        <v>87199</v>
      </c>
      <c r="D49" t="s">
        <v>446</v>
      </c>
      <c r="E49" t="s">
        <v>448</v>
      </c>
      <c r="F49">
        <v>592</v>
      </c>
      <c r="G49">
        <v>-1276</v>
      </c>
      <c r="H49">
        <v>1868</v>
      </c>
      <c r="I49">
        <v>896.64</v>
      </c>
    </row>
    <row r="50" spans="2:9" x14ac:dyDescent="0.35">
      <c r="B50" s="50">
        <v>46204</v>
      </c>
      <c r="C50">
        <v>53508</v>
      </c>
      <c r="D50" t="s">
        <v>449</v>
      </c>
      <c r="E50" t="s">
        <v>450</v>
      </c>
      <c r="F50">
        <v>123</v>
      </c>
      <c r="G50">
        <v>46</v>
      </c>
      <c r="H50">
        <v>77</v>
      </c>
      <c r="I50">
        <v>154</v>
      </c>
    </row>
    <row r="51" spans="2:9" x14ac:dyDescent="0.35">
      <c r="B51" s="50">
        <v>46204</v>
      </c>
      <c r="C51">
        <v>53924</v>
      </c>
      <c r="D51" t="s">
        <v>449</v>
      </c>
      <c r="E51" t="s">
        <v>465</v>
      </c>
      <c r="F51">
        <v>38</v>
      </c>
      <c r="G51">
        <v>9</v>
      </c>
      <c r="H51">
        <v>29</v>
      </c>
      <c r="I51">
        <v>145</v>
      </c>
    </row>
    <row r="52" spans="2:9" x14ac:dyDescent="0.35">
      <c r="B52" s="50">
        <v>46204</v>
      </c>
      <c r="C52">
        <v>67637</v>
      </c>
      <c r="D52" t="s">
        <v>453</v>
      </c>
      <c r="E52" t="s">
        <v>454</v>
      </c>
      <c r="F52">
        <v>347</v>
      </c>
      <c r="G52">
        <v>153</v>
      </c>
      <c r="H52">
        <v>194</v>
      </c>
      <c r="I52">
        <v>970</v>
      </c>
    </row>
    <row r="53" spans="2:9" x14ac:dyDescent="0.35">
      <c r="B53" s="50">
        <v>46204</v>
      </c>
      <c r="C53">
        <v>75062</v>
      </c>
      <c r="D53" t="s">
        <v>435</v>
      </c>
      <c r="E53" t="s">
        <v>436</v>
      </c>
      <c r="F53">
        <v>3110</v>
      </c>
      <c r="G53">
        <v>2411</v>
      </c>
      <c r="H53">
        <v>699</v>
      </c>
      <c r="I53">
        <v>6990</v>
      </c>
    </row>
    <row r="54" spans="2:9" x14ac:dyDescent="0.35">
      <c r="B54" s="50">
        <v>46224</v>
      </c>
      <c r="C54">
        <v>53508</v>
      </c>
      <c r="D54" t="s">
        <v>449</v>
      </c>
      <c r="E54" t="s">
        <v>450</v>
      </c>
      <c r="F54">
        <v>44</v>
      </c>
      <c r="G54">
        <v>49</v>
      </c>
      <c r="H54">
        <v>31</v>
      </c>
      <c r="I54">
        <v>62</v>
      </c>
    </row>
    <row r="55" spans="2:9" x14ac:dyDescent="0.35">
      <c r="B55" s="50">
        <v>46224</v>
      </c>
      <c r="C55">
        <v>53508</v>
      </c>
      <c r="D55" t="s">
        <v>449</v>
      </c>
      <c r="E55" t="s">
        <v>450</v>
      </c>
      <c r="F55">
        <v>84</v>
      </c>
      <c r="G55">
        <v>23</v>
      </c>
      <c r="H55">
        <v>82</v>
      </c>
      <c r="I55">
        <v>164</v>
      </c>
    </row>
    <row r="56" spans="2:9" x14ac:dyDescent="0.35">
      <c r="B56" s="50">
        <v>46224</v>
      </c>
      <c r="C56">
        <v>53924</v>
      </c>
      <c r="D56" t="s">
        <v>449</v>
      </c>
      <c r="E56" t="s">
        <v>465</v>
      </c>
      <c r="F56">
        <v>10</v>
      </c>
      <c r="G56" t="s">
        <v>14</v>
      </c>
      <c r="H56">
        <v>10</v>
      </c>
      <c r="I56">
        <v>50</v>
      </c>
    </row>
    <row r="57" spans="2:9" x14ac:dyDescent="0.35">
      <c r="B57" s="50">
        <v>46224</v>
      </c>
      <c r="C57">
        <v>53924</v>
      </c>
      <c r="D57" t="s">
        <v>449</v>
      </c>
      <c r="E57" t="s">
        <v>465</v>
      </c>
      <c r="F57">
        <v>34</v>
      </c>
      <c r="G57">
        <v>1</v>
      </c>
      <c r="H57">
        <v>33</v>
      </c>
      <c r="I57">
        <v>165</v>
      </c>
    </row>
    <row r="58" spans="2:9" x14ac:dyDescent="0.35">
      <c r="B58" s="50">
        <v>46224</v>
      </c>
      <c r="C58">
        <v>53924</v>
      </c>
      <c r="D58" t="s">
        <v>449</v>
      </c>
      <c r="E58" t="s">
        <v>465</v>
      </c>
      <c r="F58">
        <v>36</v>
      </c>
      <c r="G58">
        <v>9</v>
      </c>
      <c r="H58">
        <v>27</v>
      </c>
      <c r="I58">
        <v>135</v>
      </c>
    </row>
    <row r="59" spans="2:9" x14ac:dyDescent="0.35">
      <c r="B59" s="50">
        <v>46224</v>
      </c>
      <c r="C59">
        <v>67637</v>
      </c>
      <c r="D59" t="s">
        <v>453</v>
      </c>
      <c r="E59" t="s">
        <v>454</v>
      </c>
      <c r="F59">
        <v>181</v>
      </c>
      <c r="G59">
        <v>2</v>
      </c>
      <c r="H59">
        <v>244</v>
      </c>
      <c r="I59">
        <v>1220</v>
      </c>
    </row>
    <row r="60" spans="2:9" x14ac:dyDescent="0.35">
      <c r="B60" s="50">
        <v>46224</v>
      </c>
      <c r="C60">
        <v>67637</v>
      </c>
      <c r="D60" t="s">
        <v>453</v>
      </c>
      <c r="E60" t="s">
        <v>454</v>
      </c>
      <c r="F60">
        <v>322</v>
      </c>
      <c r="G60">
        <v>266</v>
      </c>
      <c r="H60">
        <v>239</v>
      </c>
      <c r="I60">
        <v>1195</v>
      </c>
    </row>
    <row r="61" spans="2:9" x14ac:dyDescent="0.35">
      <c r="B61" s="50">
        <v>46224</v>
      </c>
      <c r="C61">
        <v>75062</v>
      </c>
      <c r="D61" t="s">
        <v>435</v>
      </c>
      <c r="E61" t="s">
        <v>436</v>
      </c>
      <c r="F61">
        <v>1019</v>
      </c>
      <c r="G61" t="s">
        <v>14</v>
      </c>
      <c r="H61">
        <v>78</v>
      </c>
      <c r="I61">
        <v>780</v>
      </c>
    </row>
    <row r="62" spans="2:9" x14ac:dyDescent="0.35">
      <c r="B62" s="50">
        <v>46224</v>
      </c>
      <c r="C62">
        <v>75062</v>
      </c>
      <c r="D62" t="s">
        <v>435</v>
      </c>
      <c r="E62" t="s">
        <v>436</v>
      </c>
      <c r="F62">
        <v>0</v>
      </c>
      <c r="G62">
        <v>462</v>
      </c>
      <c r="H62">
        <v>730</v>
      </c>
      <c r="I62">
        <v>7300</v>
      </c>
    </row>
    <row r="63" spans="2:9" x14ac:dyDescent="0.35">
      <c r="B63" s="50">
        <v>46235</v>
      </c>
      <c r="C63">
        <v>46420</v>
      </c>
      <c r="D63" t="s">
        <v>439</v>
      </c>
      <c r="E63" t="s">
        <v>441</v>
      </c>
      <c r="F63">
        <v>61</v>
      </c>
      <c r="G63">
        <v>-8</v>
      </c>
      <c r="H63">
        <v>69</v>
      </c>
      <c r="I63">
        <v>138</v>
      </c>
    </row>
    <row r="64" spans="2:9" x14ac:dyDescent="0.35">
      <c r="B64" s="50">
        <v>46235</v>
      </c>
      <c r="C64">
        <v>67637</v>
      </c>
      <c r="D64" t="s">
        <v>453</v>
      </c>
      <c r="E64" t="s">
        <v>454</v>
      </c>
      <c r="F64">
        <v>523</v>
      </c>
      <c r="G64">
        <v>200</v>
      </c>
      <c r="H64">
        <v>323</v>
      </c>
      <c r="I64">
        <v>1615</v>
      </c>
    </row>
    <row r="65" spans="2:9" x14ac:dyDescent="0.35">
      <c r="B65" s="50">
        <v>46235</v>
      </c>
      <c r="C65">
        <v>78917</v>
      </c>
      <c r="D65" t="s">
        <v>451</v>
      </c>
      <c r="E65" t="s">
        <v>452</v>
      </c>
      <c r="F65">
        <v>11</v>
      </c>
      <c r="G65">
        <v>8</v>
      </c>
      <c r="H65">
        <v>3</v>
      </c>
      <c r="I65">
        <v>9.8999999999999986</v>
      </c>
    </row>
    <row r="66" spans="2:9" x14ac:dyDescent="0.35">
      <c r="B66" s="50">
        <v>46235</v>
      </c>
      <c r="C66">
        <v>85803</v>
      </c>
      <c r="D66" t="s">
        <v>17</v>
      </c>
      <c r="E66" t="s">
        <v>84</v>
      </c>
      <c r="F66">
        <v>434</v>
      </c>
      <c r="G66">
        <v>314</v>
      </c>
      <c r="H66">
        <v>120</v>
      </c>
      <c r="I66">
        <v>252</v>
      </c>
    </row>
    <row r="67" spans="2:9" x14ac:dyDescent="0.35">
      <c r="B67" s="50">
        <v>46255</v>
      </c>
      <c r="C67">
        <v>67637</v>
      </c>
      <c r="D67" t="s">
        <v>453</v>
      </c>
      <c r="E67" t="s">
        <v>454</v>
      </c>
      <c r="F67">
        <v>309</v>
      </c>
      <c r="G67">
        <v>6</v>
      </c>
      <c r="H67">
        <v>308</v>
      </c>
      <c r="I67">
        <v>1540</v>
      </c>
    </row>
    <row r="68" spans="2:9" x14ac:dyDescent="0.35">
      <c r="B68" s="50">
        <v>46255</v>
      </c>
      <c r="C68">
        <v>67637</v>
      </c>
      <c r="D68" t="s">
        <v>453</v>
      </c>
      <c r="E68" t="s">
        <v>454</v>
      </c>
      <c r="F68">
        <v>0</v>
      </c>
      <c r="G68">
        <v>266</v>
      </c>
      <c r="H68">
        <v>197</v>
      </c>
      <c r="I68">
        <v>985</v>
      </c>
    </row>
    <row r="69" spans="2:9" x14ac:dyDescent="0.35">
      <c r="B69" s="50">
        <v>46255</v>
      </c>
      <c r="C69">
        <v>85803</v>
      </c>
      <c r="D69" t="s">
        <v>17</v>
      </c>
      <c r="E69" t="s">
        <v>84</v>
      </c>
      <c r="F69">
        <v>65</v>
      </c>
      <c r="G69" t="s">
        <v>14</v>
      </c>
      <c r="H69">
        <v>65</v>
      </c>
      <c r="I69">
        <v>136.5</v>
      </c>
    </row>
    <row r="70" spans="2:9" x14ac:dyDescent="0.35">
      <c r="B70" s="50">
        <v>46255</v>
      </c>
      <c r="C70">
        <v>85803</v>
      </c>
      <c r="D70" t="s">
        <v>17</v>
      </c>
      <c r="E70" t="s">
        <v>84</v>
      </c>
      <c r="F70">
        <v>188</v>
      </c>
      <c r="G70">
        <v>12</v>
      </c>
      <c r="H70">
        <v>176</v>
      </c>
      <c r="I70">
        <v>369.6</v>
      </c>
    </row>
    <row r="71" spans="2:9" x14ac:dyDescent="0.35">
      <c r="B71" s="50">
        <v>46255</v>
      </c>
      <c r="C71">
        <v>85803</v>
      </c>
      <c r="D71" t="s">
        <v>17</v>
      </c>
      <c r="E71" t="s">
        <v>84</v>
      </c>
      <c r="F71">
        <v>237</v>
      </c>
      <c r="G71">
        <v>1</v>
      </c>
      <c r="H71">
        <v>230</v>
      </c>
      <c r="I71">
        <v>483</v>
      </c>
    </row>
    <row r="72" spans="2:9" x14ac:dyDescent="0.35">
      <c r="B72" s="50">
        <v>46266</v>
      </c>
      <c r="C72">
        <v>34001</v>
      </c>
      <c r="D72" t="s">
        <v>455</v>
      </c>
      <c r="E72" t="s">
        <v>87</v>
      </c>
      <c r="F72">
        <v>0</v>
      </c>
      <c r="G72">
        <v>-32</v>
      </c>
      <c r="H72">
        <v>32</v>
      </c>
      <c r="I72">
        <v>160</v>
      </c>
    </row>
    <row r="73" spans="2:9" x14ac:dyDescent="0.35">
      <c r="B73" s="50">
        <v>46266</v>
      </c>
      <c r="C73">
        <v>43978</v>
      </c>
      <c r="D73" t="s">
        <v>102</v>
      </c>
      <c r="E73" t="s">
        <v>460</v>
      </c>
      <c r="F73">
        <v>0</v>
      </c>
      <c r="G73">
        <v>-163</v>
      </c>
      <c r="H73">
        <v>163</v>
      </c>
      <c r="I73">
        <v>163</v>
      </c>
    </row>
    <row r="74" spans="2:9" x14ac:dyDescent="0.35">
      <c r="B74" s="50">
        <v>46266</v>
      </c>
      <c r="C74">
        <v>55458</v>
      </c>
      <c r="D74" t="s">
        <v>439</v>
      </c>
      <c r="E74" t="s">
        <v>440</v>
      </c>
      <c r="F74">
        <v>485</v>
      </c>
      <c r="G74">
        <v>-131</v>
      </c>
      <c r="H74">
        <v>616</v>
      </c>
      <c r="I74">
        <v>616</v>
      </c>
    </row>
    <row r="75" spans="2:9" x14ac:dyDescent="0.35">
      <c r="B75" s="50">
        <v>46266</v>
      </c>
      <c r="C75">
        <v>57918</v>
      </c>
      <c r="D75" t="s">
        <v>438</v>
      </c>
      <c r="E75" t="s">
        <v>465</v>
      </c>
      <c r="F75">
        <v>265</v>
      </c>
      <c r="G75">
        <v>55</v>
      </c>
      <c r="H75">
        <v>210</v>
      </c>
      <c r="I75">
        <v>1050</v>
      </c>
    </row>
    <row r="76" spans="2:9" x14ac:dyDescent="0.35">
      <c r="B76" s="50">
        <v>46286</v>
      </c>
      <c r="C76">
        <v>30593</v>
      </c>
      <c r="D76" t="s">
        <v>455</v>
      </c>
      <c r="E76" t="s">
        <v>101</v>
      </c>
      <c r="F76">
        <v>266</v>
      </c>
      <c r="G76">
        <v>321</v>
      </c>
      <c r="H76">
        <v>0</v>
      </c>
      <c r="I76">
        <v>0</v>
      </c>
    </row>
    <row r="77" spans="2:9" x14ac:dyDescent="0.35">
      <c r="B77" s="50">
        <v>46286</v>
      </c>
      <c r="C77">
        <v>34001</v>
      </c>
      <c r="D77" t="s">
        <v>455</v>
      </c>
      <c r="E77" t="s">
        <v>87</v>
      </c>
      <c r="F77">
        <v>23</v>
      </c>
      <c r="G77">
        <v>1</v>
      </c>
      <c r="H77">
        <v>22</v>
      </c>
      <c r="I77">
        <v>110</v>
      </c>
    </row>
    <row r="78" spans="2:9" x14ac:dyDescent="0.35">
      <c r="B78" s="50">
        <v>46286</v>
      </c>
      <c r="C78">
        <v>55458</v>
      </c>
      <c r="D78" t="s">
        <v>438</v>
      </c>
      <c r="E78" t="s">
        <v>104</v>
      </c>
      <c r="F78">
        <v>421</v>
      </c>
      <c r="G78">
        <v>54</v>
      </c>
      <c r="H78">
        <v>387</v>
      </c>
      <c r="I78">
        <v>387</v>
      </c>
    </row>
    <row r="79" spans="2:9" x14ac:dyDescent="0.35">
      <c r="B79" s="50">
        <v>46286</v>
      </c>
      <c r="C79">
        <v>55458</v>
      </c>
      <c r="D79" t="s">
        <v>438</v>
      </c>
      <c r="E79" t="s">
        <v>100</v>
      </c>
      <c r="F79">
        <v>229</v>
      </c>
      <c r="G79">
        <v>60</v>
      </c>
      <c r="H79">
        <v>178</v>
      </c>
      <c r="I79">
        <v>178</v>
      </c>
    </row>
    <row r="80" spans="2:9" x14ac:dyDescent="0.35">
      <c r="B80" s="50">
        <v>46286</v>
      </c>
      <c r="C80">
        <v>57918</v>
      </c>
      <c r="D80" t="s">
        <v>438</v>
      </c>
      <c r="E80" t="s">
        <v>465</v>
      </c>
      <c r="F80">
        <v>102</v>
      </c>
      <c r="G80" t="s">
        <v>14</v>
      </c>
      <c r="H80">
        <v>25</v>
      </c>
      <c r="I80">
        <v>125</v>
      </c>
    </row>
    <row r="81" spans="2:9" x14ac:dyDescent="0.35">
      <c r="B81" s="50">
        <v>46286</v>
      </c>
      <c r="C81">
        <v>57918</v>
      </c>
      <c r="D81" t="s">
        <v>438</v>
      </c>
      <c r="E81" t="s">
        <v>465</v>
      </c>
      <c r="F81">
        <v>210</v>
      </c>
      <c r="G81">
        <v>0</v>
      </c>
      <c r="H81">
        <v>208</v>
      </c>
      <c r="I81">
        <v>1040</v>
      </c>
    </row>
    <row r="82" spans="2:9" x14ac:dyDescent="0.35">
      <c r="B82" s="50">
        <v>46286</v>
      </c>
      <c r="C82">
        <v>57918</v>
      </c>
      <c r="D82" t="s">
        <v>438</v>
      </c>
      <c r="E82" t="s">
        <v>465</v>
      </c>
      <c r="F82">
        <v>211</v>
      </c>
      <c r="G82">
        <v>10</v>
      </c>
      <c r="H82">
        <v>51</v>
      </c>
      <c r="I82">
        <v>255</v>
      </c>
    </row>
    <row r="83" spans="2:9" x14ac:dyDescent="0.35">
      <c r="B83" s="50">
        <v>46296</v>
      </c>
      <c r="C83">
        <v>30593</v>
      </c>
      <c r="D83" t="s">
        <v>455</v>
      </c>
      <c r="E83" t="s">
        <v>101</v>
      </c>
      <c r="F83">
        <v>1361</v>
      </c>
      <c r="G83">
        <v>368</v>
      </c>
      <c r="H83">
        <v>993</v>
      </c>
      <c r="I83">
        <v>1986</v>
      </c>
    </row>
    <row r="84" spans="2:9" x14ac:dyDescent="0.35">
      <c r="B84" s="50">
        <v>46296</v>
      </c>
      <c r="C84">
        <v>34001</v>
      </c>
      <c r="D84" t="s">
        <v>455</v>
      </c>
      <c r="E84" t="s">
        <v>87</v>
      </c>
      <c r="F84">
        <v>0</v>
      </c>
      <c r="G84">
        <v>-462</v>
      </c>
      <c r="H84">
        <v>462</v>
      </c>
      <c r="I84">
        <v>2310</v>
      </c>
    </row>
    <row r="85" spans="2:9" x14ac:dyDescent="0.35">
      <c r="B85" s="50">
        <v>46296</v>
      </c>
      <c r="C85">
        <v>34002</v>
      </c>
      <c r="D85" t="s">
        <v>455</v>
      </c>
      <c r="E85" t="s">
        <v>456</v>
      </c>
      <c r="F85">
        <v>1007</v>
      </c>
      <c r="G85">
        <v>875</v>
      </c>
      <c r="H85">
        <v>132</v>
      </c>
      <c r="I85">
        <v>132</v>
      </c>
    </row>
    <row r="86" spans="2:9" x14ac:dyDescent="0.35">
      <c r="B86" s="50">
        <v>46316</v>
      </c>
      <c r="C86">
        <v>30593</v>
      </c>
      <c r="D86" t="s">
        <v>455</v>
      </c>
      <c r="E86" t="s">
        <v>101</v>
      </c>
      <c r="F86">
        <v>602</v>
      </c>
      <c r="G86">
        <v>1367</v>
      </c>
      <c r="H86">
        <v>319</v>
      </c>
      <c r="I86">
        <v>638</v>
      </c>
    </row>
    <row r="87" spans="2:9" x14ac:dyDescent="0.35">
      <c r="B87" s="50">
        <v>46316</v>
      </c>
      <c r="C87">
        <v>30593</v>
      </c>
      <c r="D87" t="s">
        <v>455</v>
      </c>
      <c r="E87" t="s">
        <v>101</v>
      </c>
      <c r="F87">
        <v>642</v>
      </c>
      <c r="G87">
        <v>321</v>
      </c>
      <c r="H87">
        <v>581</v>
      </c>
      <c r="I87">
        <v>1162</v>
      </c>
    </row>
    <row r="88" spans="2:9" x14ac:dyDescent="0.35">
      <c r="B88" s="50">
        <v>46316</v>
      </c>
      <c r="C88">
        <v>30593</v>
      </c>
      <c r="D88" t="s">
        <v>455</v>
      </c>
      <c r="E88" t="s">
        <v>101</v>
      </c>
      <c r="F88">
        <v>701</v>
      </c>
      <c r="G88">
        <v>143</v>
      </c>
      <c r="H88">
        <v>514</v>
      </c>
      <c r="I88">
        <v>1028</v>
      </c>
    </row>
    <row r="89" spans="2:9" x14ac:dyDescent="0.35">
      <c r="B89" s="50">
        <v>46316</v>
      </c>
      <c r="C89">
        <v>34001</v>
      </c>
      <c r="D89" t="s">
        <v>455</v>
      </c>
      <c r="E89" t="s">
        <v>87</v>
      </c>
      <c r="F89">
        <v>102</v>
      </c>
      <c r="G89">
        <v>1</v>
      </c>
      <c r="H89">
        <v>152</v>
      </c>
      <c r="I89">
        <v>760</v>
      </c>
    </row>
    <row r="90" spans="2:9" x14ac:dyDescent="0.35">
      <c r="B90" s="50">
        <v>46316</v>
      </c>
      <c r="C90">
        <v>34002</v>
      </c>
      <c r="D90" t="s">
        <v>455</v>
      </c>
      <c r="E90" t="s">
        <v>456</v>
      </c>
      <c r="F90">
        <v>129</v>
      </c>
      <c r="G90">
        <v>2177</v>
      </c>
      <c r="H90">
        <v>25</v>
      </c>
      <c r="I90">
        <v>25</v>
      </c>
    </row>
    <row r="91" spans="2:9" x14ac:dyDescent="0.35">
      <c r="B91" s="50">
        <v>46316</v>
      </c>
      <c r="C91">
        <v>34002</v>
      </c>
      <c r="D91" t="s">
        <v>455</v>
      </c>
      <c r="E91" t="s">
        <v>456</v>
      </c>
      <c r="F91">
        <v>623</v>
      </c>
      <c r="G91">
        <v>579</v>
      </c>
      <c r="H91">
        <v>434</v>
      </c>
      <c r="I91">
        <v>434</v>
      </c>
    </row>
    <row r="92" spans="2:9" x14ac:dyDescent="0.35">
      <c r="B92" s="50">
        <v>46316</v>
      </c>
      <c r="C92">
        <v>34002</v>
      </c>
      <c r="D92" t="s">
        <v>455</v>
      </c>
      <c r="E92" t="s">
        <v>456</v>
      </c>
      <c r="F92">
        <v>735</v>
      </c>
      <c r="G92">
        <v>170</v>
      </c>
      <c r="H92">
        <v>34</v>
      </c>
      <c r="I92">
        <v>34</v>
      </c>
    </row>
    <row r="93" spans="2:9" x14ac:dyDescent="0.35">
      <c r="B93" s="50">
        <v>46316</v>
      </c>
      <c r="C93">
        <v>43868</v>
      </c>
      <c r="D93" t="s">
        <v>88</v>
      </c>
      <c r="E93" t="s">
        <v>76</v>
      </c>
      <c r="F93">
        <v>1</v>
      </c>
      <c r="G93">
        <v>10</v>
      </c>
      <c r="H93">
        <v>1</v>
      </c>
      <c r="I93">
        <v>3</v>
      </c>
    </row>
    <row r="94" spans="2:9" x14ac:dyDescent="0.35">
      <c r="B94" s="50">
        <v>46327</v>
      </c>
      <c r="C94">
        <v>58337</v>
      </c>
      <c r="D94" t="s">
        <v>457</v>
      </c>
      <c r="E94" t="s">
        <v>458</v>
      </c>
      <c r="F94">
        <v>0</v>
      </c>
      <c r="G94">
        <v>-542</v>
      </c>
      <c r="H94">
        <v>542</v>
      </c>
      <c r="I94">
        <v>5420</v>
      </c>
    </row>
    <row r="95" spans="2:9" x14ac:dyDescent="0.35">
      <c r="B95" s="50">
        <v>46347</v>
      </c>
      <c r="C95">
        <v>58337</v>
      </c>
      <c r="D95" t="s">
        <v>457</v>
      </c>
      <c r="E95" t="s">
        <v>458</v>
      </c>
      <c r="F95">
        <v>0</v>
      </c>
      <c r="G95" t="s">
        <v>14</v>
      </c>
      <c r="H95">
        <v>205</v>
      </c>
      <c r="I95">
        <v>2050</v>
      </c>
    </row>
    <row r="96" spans="2:9" x14ac:dyDescent="0.35">
      <c r="B96" s="50">
        <v>46347</v>
      </c>
      <c r="C96">
        <v>58337</v>
      </c>
      <c r="D96" t="s">
        <v>457</v>
      </c>
      <c r="E96" t="s">
        <v>458</v>
      </c>
      <c r="F96">
        <v>415</v>
      </c>
      <c r="G96">
        <v>20</v>
      </c>
      <c r="H96">
        <v>395</v>
      </c>
      <c r="I96">
        <v>3950</v>
      </c>
    </row>
    <row r="97" spans="2:9" x14ac:dyDescent="0.35">
      <c r="B97" s="50">
        <v>46347</v>
      </c>
      <c r="C97">
        <v>58337</v>
      </c>
      <c r="D97" t="s">
        <v>457</v>
      </c>
      <c r="E97" t="s">
        <v>458</v>
      </c>
      <c r="F97">
        <v>0</v>
      </c>
      <c r="G97">
        <v>10</v>
      </c>
      <c r="H97">
        <v>356</v>
      </c>
      <c r="I97">
        <v>3560</v>
      </c>
    </row>
    <row r="98" spans="2:9" x14ac:dyDescent="0.35">
      <c r="B98" s="50">
        <v>46347</v>
      </c>
      <c r="C98">
        <v>68508</v>
      </c>
      <c r="D98" t="s">
        <v>75</v>
      </c>
      <c r="E98" t="s">
        <v>437</v>
      </c>
      <c r="F98">
        <v>0</v>
      </c>
      <c r="G98" t="s">
        <v>14</v>
      </c>
      <c r="H98">
        <v>1</v>
      </c>
      <c r="I98">
        <v>3</v>
      </c>
    </row>
    <row r="99" spans="2:9" x14ac:dyDescent="0.35">
      <c r="B99" s="50" t="s">
        <v>65</v>
      </c>
      <c r="I99">
        <v>70670.145000000004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FA7E-6015-4147-BFF3-41243560335A}">
  <dimension ref="A3:F27"/>
  <sheetViews>
    <sheetView workbookViewId="0">
      <selection activeCell="C20" sqref="C20"/>
    </sheetView>
  </sheetViews>
  <sheetFormatPr defaultRowHeight="14.5" x14ac:dyDescent="0.35"/>
  <cols>
    <col min="1" max="1" width="20" bestFit="1" customWidth="1"/>
    <col min="2" max="2" width="10.7265625" bestFit="1" customWidth="1"/>
    <col min="3" max="3" width="22" bestFit="1" customWidth="1"/>
    <col min="4" max="4" width="12.36328125" bestFit="1" customWidth="1"/>
    <col min="5" max="5" width="19.90625" bestFit="1" customWidth="1"/>
    <col min="6" max="6" width="12.26953125" bestFit="1" customWidth="1"/>
  </cols>
  <sheetData>
    <row r="3" spans="1:6" x14ac:dyDescent="0.35">
      <c r="E3" s="3" t="s">
        <v>516</v>
      </c>
    </row>
    <row r="4" spans="1:6" x14ac:dyDescent="0.35">
      <c r="A4" s="3" t="s">
        <v>3</v>
      </c>
      <c r="B4" s="3" t="s">
        <v>0</v>
      </c>
      <c r="C4" s="3" t="s">
        <v>1</v>
      </c>
      <c r="D4" s="3" t="s">
        <v>2</v>
      </c>
      <c r="E4" t="s">
        <v>515</v>
      </c>
      <c r="F4" t="s">
        <v>196</v>
      </c>
    </row>
    <row r="5" spans="1:6" x14ac:dyDescent="0.35">
      <c r="A5" s="50">
        <v>46229</v>
      </c>
      <c r="B5">
        <v>53924</v>
      </c>
      <c r="C5" t="s">
        <v>92</v>
      </c>
      <c r="D5" t="s">
        <v>538</v>
      </c>
      <c r="E5" s="72">
        <v>55</v>
      </c>
      <c r="F5">
        <v>275</v>
      </c>
    </row>
    <row r="6" spans="1:6" x14ac:dyDescent="0.35">
      <c r="A6" s="50">
        <v>46260</v>
      </c>
      <c r="B6">
        <v>85803</v>
      </c>
      <c r="C6" t="s">
        <v>17</v>
      </c>
      <c r="D6" t="s">
        <v>84</v>
      </c>
      <c r="E6" s="72">
        <v>721</v>
      </c>
      <c r="F6">
        <v>1514.1</v>
      </c>
    </row>
    <row r="7" spans="1:6" x14ac:dyDescent="0.35">
      <c r="A7" s="50">
        <v>46414</v>
      </c>
      <c r="B7">
        <v>53508</v>
      </c>
      <c r="C7" t="s">
        <v>92</v>
      </c>
      <c r="D7" t="s">
        <v>450</v>
      </c>
      <c r="E7" s="72">
        <v>198</v>
      </c>
      <c r="F7">
        <v>396</v>
      </c>
    </row>
    <row r="8" spans="1:6" x14ac:dyDescent="0.35">
      <c r="A8" s="50">
        <v>46471</v>
      </c>
      <c r="B8">
        <v>55458</v>
      </c>
      <c r="C8" t="s">
        <v>86</v>
      </c>
      <c r="D8" t="s">
        <v>570</v>
      </c>
      <c r="E8" s="72">
        <v>842</v>
      </c>
      <c r="F8">
        <v>842</v>
      </c>
    </row>
    <row r="9" spans="1:6" x14ac:dyDescent="0.35">
      <c r="A9" s="50">
        <v>46473</v>
      </c>
      <c r="B9">
        <v>58513</v>
      </c>
      <c r="C9" t="s">
        <v>92</v>
      </c>
      <c r="D9" t="s">
        <v>570</v>
      </c>
      <c r="E9" s="72">
        <v>960</v>
      </c>
      <c r="F9">
        <v>960</v>
      </c>
    </row>
    <row r="10" spans="1:6" x14ac:dyDescent="0.35">
      <c r="A10" s="50">
        <v>46473</v>
      </c>
      <c r="B10">
        <v>70897</v>
      </c>
      <c r="C10" t="s">
        <v>594</v>
      </c>
      <c r="D10" t="s">
        <v>523</v>
      </c>
      <c r="E10" s="72">
        <v>1694</v>
      </c>
      <c r="F10">
        <v>1016.4</v>
      </c>
    </row>
    <row r="11" spans="1:6" x14ac:dyDescent="0.35">
      <c r="A11" s="50">
        <v>46473</v>
      </c>
      <c r="B11">
        <v>87199</v>
      </c>
      <c r="C11" t="s">
        <v>594</v>
      </c>
      <c r="D11" t="s">
        <v>572</v>
      </c>
      <c r="E11" s="72">
        <v>2571</v>
      </c>
      <c r="F11">
        <v>1234.08</v>
      </c>
    </row>
    <row r="12" spans="1:6" x14ac:dyDescent="0.35">
      <c r="A12" s="50">
        <v>46473</v>
      </c>
      <c r="B12">
        <v>87224</v>
      </c>
      <c r="C12" t="s">
        <v>145</v>
      </c>
      <c r="D12" t="s">
        <v>607</v>
      </c>
      <c r="E12" s="72">
        <v>326</v>
      </c>
      <c r="F12">
        <v>156.48000000000002</v>
      </c>
    </row>
    <row r="13" spans="1:6" x14ac:dyDescent="0.35">
      <c r="A13" s="50">
        <v>46504</v>
      </c>
      <c r="B13">
        <v>16238</v>
      </c>
      <c r="C13" t="s">
        <v>149</v>
      </c>
      <c r="D13" t="s">
        <v>148</v>
      </c>
      <c r="E13" s="72">
        <v>332</v>
      </c>
      <c r="F13">
        <v>1660</v>
      </c>
    </row>
    <row r="14" spans="1:6" x14ac:dyDescent="0.35">
      <c r="A14" s="50">
        <v>46504</v>
      </c>
      <c r="B14">
        <v>61124</v>
      </c>
      <c r="C14" t="s">
        <v>128</v>
      </c>
      <c r="D14" t="s">
        <v>97</v>
      </c>
      <c r="E14" s="72">
        <v>238</v>
      </c>
      <c r="F14">
        <v>476</v>
      </c>
    </row>
    <row r="15" spans="1:6" x14ac:dyDescent="0.35">
      <c r="A15" s="50">
        <v>46504</v>
      </c>
      <c r="B15">
        <v>85250</v>
      </c>
      <c r="C15" t="s">
        <v>608</v>
      </c>
      <c r="D15" t="s">
        <v>97</v>
      </c>
      <c r="E15" s="72">
        <v>699</v>
      </c>
      <c r="F15">
        <v>1398</v>
      </c>
    </row>
    <row r="16" spans="1:6" x14ac:dyDescent="0.35">
      <c r="A16" s="50">
        <v>46534</v>
      </c>
      <c r="B16">
        <v>38775</v>
      </c>
      <c r="C16" t="s">
        <v>573</v>
      </c>
      <c r="D16" t="s">
        <v>580</v>
      </c>
      <c r="E16" s="72">
        <v>1847</v>
      </c>
      <c r="F16">
        <v>5541</v>
      </c>
    </row>
    <row r="17" spans="1:6" x14ac:dyDescent="0.35">
      <c r="A17" s="50">
        <v>46534</v>
      </c>
      <c r="B17">
        <v>38776</v>
      </c>
      <c r="C17" t="s">
        <v>573</v>
      </c>
      <c r="D17" t="s">
        <v>610</v>
      </c>
      <c r="E17" s="72">
        <v>699</v>
      </c>
      <c r="F17">
        <v>3495</v>
      </c>
    </row>
    <row r="18" spans="1:6" x14ac:dyDescent="0.35">
      <c r="A18" s="50">
        <v>46534</v>
      </c>
      <c r="B18">
        <v>43868</v>
      </c>
      <c r="C18" t="s">
        <v>562</v>
      </c>
      <c r="D18" t="s">
        <v>621</v>
      </c>
      <c r="E18" s="72">
        <v>2294</v>
      </c>
      <c r="F18">
        <v>6882</v>
      </c>
    </row>
    <row r="19" spans="1:6" x14ac:dyDescent="0.35">
      <c r="A19" s="50">
        <v>46534</v>
      </c>
      <c r="B19">
        <v>80927</v>
      </c>
      <c r="C19" t="s">
        <v>569</v>
      </c>
      <c r="D19" t="s">
        <v>570</v>
      </c>
      <c r="E19" s="72">
        <v>25413</v>
      </c>
      <c r="F19">
        <v>25413</v>
      </c>
    </row>
    <row r="20" spans="1:6" x14ac:dyDescent="0.35">
      <c r="A20" s="50">
        <v>46534</v>
      </c>
      <c r="B20">
        <v>87221</v>
      </c>
      <c r="C20" t="s">
        <v>600</v>
      </c>
      <c r="D20" t="s">
        <v>609</v>
      </c>
      <c r="E20" s="72">
        <v>2098</v>
      </c>
      <c r="F20">
        <v>2517.6</v>
      </c>
    </row>
    <row r="21" spans="1:6" x14ac:dyDescent="0.35">
      <c r="A21" s="50">
        <v>46544</v>
      </c>
      <c r="B21">
        <v>43868</v>
      </c>
      <c r="C21" t="s">
        <v>562</v>
      </c>
      <c r="D21" t="s">
        <v>621</v>
      </c>
      <c r="E21" s="72">
        <v>1674</v>
      </c>
      <c r="F21">
        <v>5022</v>
      </c>
    </row>
    <row r="22" spans="1:6" x14ac:dyDescent="0.35">
      <c r="A22" s="50">
        <v>46565</v>
      </c>
      <c r="B22">
        <v>43978</v>
      </c>
      <c r="C22" t="s">
        <v>121</v>
      </c>
      <c r="D22" t="s">
        <v>96</v>
      </c>
      <c r="E22" s="72">
        <v>991</v>
      </c>
      <c r="F22">
        <v>991</v>
      </c>
    </row>
    <row r="23" spans="1:6" x14ac:dyDescent="0.35">
      <c r="A23" s="50">
        <v>46565</v>
      </c>
      <c r="B23">
        <v>52537</v>
      </c>
      <c r="C23" t="s">
        <v>625</v>
      </c>
      <c r="D23" t="s">
        <v>536</v>
      </c>
      <c r="E23" s="72">
        <v>781</v>
      </c>
      <c r="F23">
        <v>3905</v>
      </c>
    </row>
    <row r="24" spans="1:6" x14ac:dyDescent="0.35">
      <c r="A24" s="50">
        <v>46565</v>
      </c>
      <c r="B24">
        <v>80927</v>
      </c>
      <c r="C24" t="s">
        <v>569</v>
      </c>
      <c r="D24" t="s">
        <v>570</v>
      </c>
      <c r="E24" s="72">
        <v>5254</v>
      </c>
      <c r="F24">
        <v>5254</v>
      </c>
    </row>
    <row r="25" spans="1:6" x14ac:dyDescent="0.35">
      <c r="A25" s="50">
        <v>46565</v>
      </c>
      <c r="B25">
        <v>81359</v>
      </c>
      <c r="C25" t="s">
        <v>569</v>
      </c>
      <c r="D25" t="s">
        <v>97</v>
      </c>
      <c r="E25" s="72">
        <v>1204</v>
      </c>
      <c r="F25">
        <v>2408</v>
      </c>
    </row>
    <row r="26" spans="1:6" x14ac:dyDescent="0.35">
      <c r="A26" s="50">
        <v>46565</v>
      </c>
      <c r="B26">
        <v>92798</v>
      </c>
      <c r="C26" t="s">
        <v>149</v>
      </c>
      <c r="D26" t="s">
        <v>152</v>
      </c>
      <c r="E26" s="72">
        <v>1337</v>
      </c>
      <c r="F26">
        <v>16044</v>
      </c>
    </row>
    <row r="27" spans="1:6" x14ac:dyDescent="0.35">
      <c r="A27" s="50" t="s">
        <v>65</v>
      </c>
      <c r="E27" s="72">
        <v>52228</v>
      </c>
      <c r="F27">
        <v>87400.66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962F-C9EA-4783-B286-617FC02CE31E}">
  <sheetPr codeName="Sheet5"/>
  <dimension ref="A2:Q74"/>
  <sheetViews>
    <sheetView zoomScale="80" zoomScaleNormal="80" workbookViewId="0">
      <selection activeCell="B31" sqref="B31"/>
    </sheetView>
  </sheetViews>
  <sheetFormatPr defaultRowHeight="14.5" x14ac:dyDescent="0.35"/>
  <cols>
    <col min="1" max="2" width="11.1796875" customWidth="1"/>
    <col min="3" max="3" width="10.1796875" customWidth="1"/>
    <col min="5" max="5" width="31.453125" bestFit="1" customWidth="1"/>
    <col min="6" max="6" width="19.1796875" bestFit="1" customWidth="1"/>
    <col min="7" max="7" width="19.26953125" customWidth="1"/>
    <col min="8" max="8" width="17.7265625" bestFit="1" customWidth="1"/>
    <col min="9" max="9" width="24.453125" bestFit="1" customWidth="1"/>
    <col min="10" max="10" width="17.54296875" customWidth="1"/>
    <col min="11" max="11" width="11.81640625" bestFit="1" customWidth="1"/>
    <col min="12" max="12" width="8.7265625" customWidth="1"/>
    <col min="15" max="15" width="36.453125" bestFit="1" customWidth="1"/>
    <col min="16" max="16" width="10.26953125" bestFit="1" customWidth="1"/>
  </cols>
  <sheetData>
    <row r="2" spans="1:17" ht="24.5" customHeight="1" x14ac:dyDescent="0.35">
      <c r="A2" s="38" t="s">
        <v>18</v>
      </c>
      <c r="B2" s="38" t="s">
        <v>19</v>
      </c>
      <c r="C2" s="38" t="s">
        <v>20</v>
      </c>
      <c r="D2" s="38" t="s">
        <v>0</v>
      </c>
      <c r="E2" s="38" t="s">
        <v>1</v>
      </c>
      <c r="F2" s="38" t="s">
        <v>2</v>
      </c>
      <c r="G2" s="38" t="s">
        <v>21</v>
      </c>
      <c r="H2" s="38" t="s">
        <v>22</v>
      </c>
      <c r="I2" s="38" t="s">
        <v>23</v>
      </c>
      <c r="J2" s="38" t="s">
        <v>3</v>
      </c>
      <c r="K2" s="38" t="s">
        <v>24</v>
      </c>
      <c r="L2" s="39" t="s">
        <v>25</v>
      </c>
      <c r="M2" s="39" t="s">
        <v>26</v>
      </c>
      <c r="N2" s="39" t="s">
        <v>27</v>
      </c>
      <c r="O2" s="39" t="s">
        <v>28</v>
      </c>
      <c r="P2" s="39" t="s">
        <v>195</v>
      </c>
      <c r="Q2" s="39" t="s">
        <v>30</v>
      </c>
    </row>
    <row r="3" spans="1:17" x14ac:dyDescent="0.35">
      <c r="A3" s="2">
        <v>1</v>
      </c>
      <c r="B3" s="7" t="s">
        <v>11</v>
      </c>
      <c r="C3" s="52" t="s">
        <v>601</v>
      </c>
      <c r="D3" s="17">
        <v>85803</v>
      </c>
      <c r="E3" s="17" t="s">
        <v>17</v>
      </c>
      <c r="F3" s="56" t="s">
        <v>84</v>
      </c>
      <c r="G3" s="57">
        <v>174</v>
      </c>
      <c r="H3" s="58">
        <v>174</v>
      </c>
      <c r="I3" s="52" t="s">
        <v>73</v>
      </c>
      <c r="J3" s="76">
        <v>46260</v>
      </c>
      <c r="K3" s="2">
        <v>0</v>
      </c>
      <c r="L3" s="2">
        <v>174</v>
      </c>
      <c r="M3" s="2"/>
      <c r="N3" s="2"/>
      <c r="O3" s="2"/>
      <c r="P3" s="2">
        <f>H3*Q3</f>
        <v>365.40000000000003</v>
      </c>
      <c r="Q3" s="2">
        <f>IFERROR(VLOOKUP(D3,'Cp Conv.'!$A$2:$D$112,4,0),"0")</f>
        <v>2.1</v>
      </c>
    </row>
    <row r="4" spans="1:17" x14ac:dyDescent="0.35">
      <c r="A4" s="2">
        <v>2</v>
      </c>
      <c r="B4" s="7" t="s">
        <v>11</v>
      </c>
      <c r="C4" s="52" t="s">
        <v>601</v>
      </c>
      <c r="D4" s="17">
        <v>87224</v>
      </c>
      <c r="E4" s="56" t="s">
        <v>145</v>
      </c>
      <c r="F4" s="56" t="s">
        <v>607</v>
      </c>
      <c r="G4" s="57">
        <v>181</v>
      </c>
      <c r="H4" s="58">
        <v>55</v>
      </c>
      <c r="I4" s="52" t="s">
        <v>518</v>
      </c>
      <c r="J4" s="76">
        <v>46473</v>
      </c>
      <c r="K4" s="2">
        <v>81</v>
      </c>
      <c r="L4" s="2">
        <v>55</v>
      </c>
      <c r="M4" s="2"/>
      <c r="N4" s="2"/>
      <c r="O4" s="2"/>
      <c r="P4" s="2">
        <f t="shared" ref="P4:P35" si="0">H4*Q4</f>
        <v>26.4</v>
      </c>
      <c r="Q4" s="2">
        <f>IFERROR(VLOOKUP(D4,'Cp Conv.'!$A$2:$D$112,4,0),"0")</f>
        <v>0.48</v>
      </c>
    </row>
    <row r="5" spans="1:17" x14ac:dyDescent="0.35">
      <c r="A5" s="2">
        <v>3</v>
      </c>
      <c r="B5" s="7" t="s">
        <v>11</v>
      </c>
      <c r="C5" s="52" t="s">
        <v>601</v>
      </c>
      <c r="D5" s="1">
        <v>87221</v>
      </c>
      <c r="E5" s="17" t="s">
        <v>600</v>
      </c>
      <c r="F5" s="56" t="s">
        <v>609</v>
      </c>
      <c r="G5" s="57">
        <v>224</v>
      </c>
      <c r="H5" s="58">
        <v>407</v>
      </c>
      <c r="I5" s="52" t="s">
        <v>561</v>
      </c>
      <c r="J5" s="76">
        <v>46534</v>
      </c>
      <c r="K5" s="2">
        <v>111</v>
      </c>
      <c r="L5" s="2">
        <v>407</v>
      </c>
      <c r="M5" s="2"/>
      <c r="N5" s="2"/>
      <c r="O5" s="2"/>
      <c r="P5" s="2">
        <f t="shared" si="0"/>
        <v>488.4</v>
      </c>
      <c r="Q5" s="2">
        <f>IFERROR(VLOOKUP(D5,'Cp Conv.'!$A$2:$D$112,4,0),"0")</f>
        <v>1.2</v>
      </c>
    </row>
    <row r="6" spans="1:17" x14ac:dyDescent="0.35">
      <c r="A6" s="2">
        <v>4</v>
      </c>
      <c r="B6" s="7" t="s">
        <v>11</v>
      </c>
      <c r="C6" s="52" t="s">
        <v>601</v>
      </c>
      <c r="D6" s="17">
        <v>85250</v>
      </c>
      <c r="E6" s="17" t="s">
        <v>608</v>
      </c>
      <c r="F6" s="56" t="s">
        <v>97</v>
      </c>
      <c r="G6" s="57">
        <v>153</v>
      </c>
      <c r="H6" s="58">
        <v>147</v>
      </c>
      <c r="I6" s="52" t="s">
        <v>532</v>
      </c>
      <c r="J6" s="76">
        <v>46504</v>
      </c>
      <c r="K6" s="2">
        <v>1</v>
      </c>
      <c r="L6" s="2">
        <v>147</v>
      </c>
      <c r="M6" s="2"/>
      <c r="N6" s="2"/>
      <c r="O6" s="2"/>
      <c r="P6" s="2">
        <f t="shared" si="0"/>
        <v>294</v>
      </c>
      <c r="Q6" s="2">
        <f>IFERROR(VLOOKUP(D6,'Cp Conv.'!$A$2:$D$112,4,0),"0")</f>
        <v>2</v>
      </c>
    </row>
    <row r="7" spans="1:17" x14ac:dyDescent="0.35">
      <c r="A7" s="2">
        <v>5</v>
      </c>
      <c r="B7" s="7" t="s">
        <v>11</v>
      </c>
      <c r="C7" s="52" t="s">
        <v>601</v>
      </c>
      <c r="D7" s="17">
        <v>43868</v>
      </c>
      <c r="E7" s="56" t="s">
        <v>562</v>
      </c>
      <c r="F7" s="56" t="s">
        <v>621</v>
      </c>
      <c r="G7" s="57">
        <v>645</v>
      </c>
      <c r="H7" s="58">
        <v>715</v>
      </c>
      <c r="I7" s="52" t="s">
        <v>563</v>
      </c>
      <c r="J7" s="77">
        <v>46534</v>
      </c>
      <c r="K7" s="2">
        <v>385</v>
      </c>
      <c r="L7" s="2">
        <v>672</v>
      </c>
      <c r="M7" s="2"/>
      <c r="N7" s="2"/>
      <c r="O7" s="2"/>
      <c r="P7" s="2">
        <f t="shared" si="0"/>
        <v>2145</v>
      </c>
      <c r="Q7" s="2">
        <f>IFERROR(VLOOKUP(D7,'Cp Conv.'!$A$2:$D$112,4,0),"0")</f>
        <v>3</v>
      </c>
    </row>
    <row r="8" spans="1:17" x14ac:dyDescent="0.35">
      <c r="A8" s="2">
        <v>6</v>
      </c>
      <c r="B8" s="7" t="s">
        <v>11</v>
      </c>
      <c r="C8" s="52" t="s">
        <v>601</v>
      </c>
      <c r="D8" s="17">
        <v>80927</v>
      </c>
      <c r="E8" s="54" t="s">
        <v>569</v>
      </c>
      <c r="F8" s="56" t="s">
        <v>570</v>
      </c>
      <c r="G8" s="57">
        <v>3862</v>
      </c>
      <c r="H8" s="58">
        <v>3769</v>
      </c>
      <c r="I8" s="52" t="s">
        <v>564</v>
      </c>
      <c r="J8" s="77">
        <v>46534</v>
      </c>
      <c r="K8" s="2">
        <v>4</v>
      </c>
      <c r="L8" s="2">
        <v>4269</v>
      </c>
      <c r="M8" s="2"/>
      <c r="N8" s="2"/>
      <c r="O8" s="2"/>
      <c r="P8" s="2">
        <f t="shared" si="0"/>
        <v>3769</v>
      </c>
      <c r="Q8" s="2">
        <f>IFERROR(VLOOKUP(D8,'Cp Conv.'!$A$2:$D$112,4,0),"0")</f>
        <v>1</v>
      </c>
    </row>
    <row r="9" spans="1:17" x14ac:dyDescent="0.35">
      <c r="A9" s="2">
        <v>7</v>
      </c>
      <c r="B9" s="7" t="s">
        <v>11</v>
      </c>
      <c r="C9" s="52" t="s">
        <v>601</v>
      </c>
      <c r="D9" s="1">
        <v>80927</v>
      </c>
      <c r="E9" s="54" t="s">
        <v>569</v>
      </c>
      <c r="F9" s="56" t="s">
        <v>570</v>
      </c>
      <c r="G9" s="57">
        <v>0</v>
      </c>
      <c r="H9" s="58">
        <v>500</v>
      </c>
      <c r="I9" s="52" t="s">
        <v>592</v>
      </c>
      <c r="J9" s="77">
        <v>46565</v>
      </c>
      <c r="K9" s="2"/>
      <c r="L9" s="2"/>
      <c r="M9" s="2"/>
      <c r="N9" s="2"/>
      <c r="O9" s="2"/>
      <c r="P9" s="2">
        <f t="shared" si="0"/>
        <v>500</v>
      </c>
      <c r="Q9" s="2">
        <f>IFERROR(VLOOKUP(D9,'Cp Conv.'!$A$2:$D$112,4,0),"0")</f>
        <v>1</v>
      </c>
    </row>
    <row r="10" spans="1:17" x14ac:dyDescent="0.35">
      <c r="A10" s="2">
        <v>8</v>
      </c>
      <c r="B10" s="7" t="s">
        <v>11</v>
      </c>
      <c r="C10" s="52" t="s">
        <v>601</v>
      </c>
      <c r="D10" s="17">
        <v>81359</v>
      </c>
      <c r="E10" s="54" t="s">
        <v>569</v>
      </c>
      <c r="F10" s="56" t="s">
        <v>97</v>
      </c>
      <c r="G10" s="57">
        <v>0</v>
      </c>
      <c r="H10" s="58">
        <v>178</v>
      </c>
      <c r="I10" s="52" t="s">
        <v>592</v>
      </c>
      <c r="J10" s="77">
        <v>46565</v>
      </c>
      <c r="K10" s="2">
        <v>0</v>
      </c>
      <c r="L10" s="2">
        <v>178</v>
      </c>
      <c r="M10" s="2"/>
      <c r="N10" s="2"/>
      <c r="O10" s="2"/>
      <c r="P10" s="2">
        <f t="shared" si="0"/>
        <v>356</v>
      </c>
      <c r="Q10" s="2">
        <f>IFERROR(VLOOKUP(D10,'Cp Conv.'!$A$2:$D$112,4,0),"0")</f>
        <v>2</v>
      </c>
    </row>
    <row r="11" spans="1:17" x14ac:dyDescent="0.35">
      <c r="A11" s="2">
        <v>9</v>
      </c>
      <c r="B11" s="7" t="s">
        <v>11</v>
      </c>
      <c r="C11" s="52" t="s">
        <v>601</v>
      </c>
      <c r="D11" s="17">
        <v>61124</v>
      </c>
      <c r="E11" s="54" t="s">
        <v>128</v>
      </c>
      <c r="F11" s="56" t="s">
        <v>97</v>
      </c>
      <c r="G11" s="57">
        <v>346</v>
      </c>
      <c r="H11" s="58">
        <v>215</v>
      </c>
      <c r="I11" s="52" t="s">
        <v>533</v>
      </c>
      <c r="J11" s="77">
        <v>46504</v>
      </c>
      <c r="K11" s="2">
        <v>39</v>
      </c>
      <c r="L11" s="2">
        <v>214</v>
      </c>
      <c r="M11" s="2"/>
      <c r="N11" s="2"/>
      <c r="O11" s="2"/>
      <c r="P11" s="2">
        <f t="shared" si="0"/>
        <v>430</v>
      </c>
      <c r="Q11" s="2">
        <f>IFERROR(VLOOKUP(D11,'Cp Conv.'!$A$2:$D$112,4,0),"0")</f>
        <v>2</v>
      </c>
    </row>
    <row r="12" spans="1:17" x14ac:dyDescent="0.35">
      <c r="A12" s="2">
        <v>10</v>
      </c>
      <c r="B12" s="7" t="s">
        <v>11</v>
      </c>
      <c r="C12" s="52" t="s">
        <v>601</v>
      </c>
      <c r="D12" s="17">
        <v>43978</v>
      </c>
      <c r="E12" s="17" t="s">
        <v>121</v>
      </c>
      <c r="F12" s="56" t="s">
        <v>96</v>
      </c>
      <c r="G12" s="57">
        <v>0</v>
      </c>
      <c r="H12" s="58">
        <v>526</v>
      </c>
      <c r="I12" s="52" t="s">
        <v>593</v>
      </c>
      <c r="J12" s="77">
        <v>46565</v>
      </c>
      <c r="K12" s="2">
        <v>241</v>
      </c>
      <c r="L12" s="2">
        <v>2209</v>
      </c>
      <c r="M12" s="2"/>
      <c r="N12" s="2"/>
      <c r="O12" s="2" t="s">
        <v>597</v>
      </c>
      <c r="P12" s="2">
        <f t="shared" si="0"/>
        <v>526</v>
      </c>
      <c r="Q12" s="2">
        <f>IFERROR(VLOOKUP(D12,'Cp Conv.'!$A$2:$D$112,4,0),"0")</f>
        <v>1</v>
      </c>
    </row>
    <row r="13" spans="1:17" x14ac:dyDescent="0.35">
      <c r="A13" s="2">
        <v>11</v>
      </c>
      <c r="B13" s="7" t="s">
        <v>11</v>
      </c>
      <c r="C13" s="52" t="s">
        <v>601</v>
      </c>
      <c r="D13" s="1">
        <v>87199</v>
      </c>
      <c r="E13" s="54" t="s">
        <v>594</v>
      </c>
      <c r="F13" s="56" t="s">
        <v>572</v>
      </c>
      <c r="G13" s="57">
        <v>233</v>
      </c>
      <c r="H13" s="58">
        <v>547</v>
      </c>
      <c r="I13" s="52" t="s">
        <v>520</v>
      </c>
      <c r="J13" s="77">
        <v>46473</v>
      </c>
      <c r="K13" s="2">
        <v>101</v>
      </c>
      <c r="L13" s="2">
        <v>544</v>
      </c>
      <c r="M13" s="2"/>
      <c r="N13" s="2"/>
      <c r="O13" s="2"/>
      <c r="P13" s="2">
        <f t="shared" si="0"/>
        <v>262.56</v>
      </c>
      <c r="Q13" s="2">
        <f>IFERROR(VLOOKUP(D13,'Cp Conv.'!$A$2:$D$112,4,0),"0")</f>
        <v>0.48</v>
      </c>
    </row>
    <row r="14" spans="1:17" x14ac:dyDescent="0.35">
      <c r="A14" s="2">
        <v>12</v>
      </c>
      <c r="B14" s="56" t="s">
        <v>11</v>
      </c>
      <c r="C14" s="52" t="s">
        <v>601</v>
      </c>
      <c r="D14" s="17">
        <v>70897</v>
      </c>
      <c r="E14" s="54" t="s">
        <v>594</v>
      </c>
      <c r="F14" s="56" t="s">
        <v>523</v>
      </c>
      <c r="G14" s="57">
        <v>0</v>
      </c>
      <c r="H14" s="58">
        <v>226</v>
      </c>
      <c r="I14" s="52" t="s">
        <v>520</v>
      </c>
      <c r="J14" s="77">
        <v>46473</v>
      </c>
      <c r="K14" s="2">
        <v>2</v>
      </c>
      <c r="L14" s="2">
        <v>883</v>
      </c>
      <c r="M14" s="2"/>
      <c r="N14" s="2"/>
      <c r="O14" s="2" t="s">
        <v>598</v>
      </c>
      <c r="P14" s="2">
        <f t="shared" si="0"/>
        <v>135.6</v>
      </c>
      <c r="Q14" s="2">
        <f>IFERROR(VLOOKUP(D14,'Cp Conv.'!$A$2:$D$112,4,0),"0")</f>
        <v>0.6</v>
      </c>
    </row>
    <row r="15" spans="1:17" x14ac:dyDescent="0.35">
      <c r="A15" s="2">
        <v>13</v>
      </c>
      <c r="B15" s="56" t="s">
        <v>11</v>
      </c>
      <c r="C15" s="52" t="s">
        <v>601</v>
      </c>
      <c r="D15" s="17">
        <v>53924</v>
      </c>
      <c r="E15" s="17" t="s">
        <v>92</v>
      </c>
      <c r="F15" s="56" t="s">
        <v>538</v>
      </c>
      <c r="G15" s="57">
        <v>21</v>
      </c>
      <c r="H15" s="58">
        <v>21</v>
      </c>
      <c r="I15" s="52" t="s">
        <v>74</v>
      </c>
      <c r="J15" s="76">
        <v>46229</v>
      </c>
      <c r="K15" s="2">
        <v>0</v>
      </c>
      <c r="L15" s="2">
        <v>21</v>
      </c>
      <c r="M15" s="2"/>
      <c r="N15" s="2"/>
      <c r="O15" s="2"/>
      <c r="P15" s="2">
        <f t="shared" si="0"/>
        <v>105</v>
      </c>
      <c r="Q15" s="2">
        <f>IFERROR(VLOOKUP(D15,'Cp Conv.'!$A$2:$D$112,4,0),"0")</f>
        <v>5</v>
      </c>
    </row>
    <row r="16" spans="1:17" x14ac:dyDescent="0.35">
      <c r="A16" s="2">
        <v>14</v>
      </c>
      <c r="B16" s="56" t="s">
        <v>11</v>
      </c>
      <c r="C16" s="52" t="s">
        <v>601</v>
      </c>
      <c r="D16" s="17">
        <v>53508</v>
      </c>
      <c r="E16" s="17" t="s">
        <v>92</v>
      </c>
      <c r="F16" s="56" t="s">
        <v>450</v>
      </c>
      <c r="G16" s="57">
        <v>399</v>
      </c>
      <c r="H16" s="58">
        <v>192</v>
      </c>
      <c r="I16" s="52" t="s">
        <v>467</v>
      </c>
      <c r="J16" s="77">
        <v>46414</v>
      </c>
      <c r="K16" s="2">
        <v>0</v>
      </c>
      <c r="L16" s="2">
        <v>190</v>
      </c>
      <c r="M16" s="2"/>
      <c r="N16" s="2"/>
      <c r="O16" s="2"/>
      <c r="P16" s="2">
        <f t="shared" si="0"/>
        <v>384</v>
      </c>
      <c r="Q16" s="2">
        <f>IFERROR(VLOOKUP(D16,'Cp Conv.'!$A$2:$D$112,4,0),"0")</f>
        <v>2</v>
      </c>
    </row>
    <row r="17" spans="1:17" x14ac:dyDescent="0.35">
      <c r="A17" s="2">
        <v>15</v>
      </c>
      <c r="B17" s="56" t="s">
        <v>11</v>
      </c>
      <c r="C17" s="52" t="s">
        <v>601</v>
      </c>
      <c r="D17" s="17">
        <v>58513</v>
      </c>
      <c r="E17" s="17" t="s">
        <v>92</v>
      </c>
      <c r="F17" s="56" t="s">
        <v>567</v>
      </c>
      <c r="G17" s="57">
        <v>935</v>
      </c>
      <c r="H17" s="58">
        <v>389</v>
      </c>
      <c r="I17" s="52" t="s">
        <v>521</v>
      </c>
      <c r="J17" s="77">
        <v>46473</v>
      </c>
      <c r="K17" s="2">
        <v>5</v>
      </c>
      <c r="L17" s="2">
        <v>385</v>
      </c>
      <c r="M17" s="2"/>
      <c r="N17" s="2"/>
      <c r="O17" s="2"/>
      <c r="P17" s="2">
        <f t="shared" ref="P17:P28" si="1">H17*Q17</f>
        <v>389</v>
      </c>
      <c r="Q17" s="2">
        <f>IFERROR(VLOOKUP(D17,'Cp Conv.'!$A$2:$D$112,4,0),"0")</f>
        <v>1</v>
      </c>
    </row>
    <row r="18" spans="1:17" x14ac:dyDescent="0.35">
      <c r="A18" s="2">
        <v>16</v>
      </c>
      <c r="B18" s="56" t="s">
        <v>11</v>
      </c>
      <c r="C18" s="52" t="s">
        <v>601</v>
      </c>
      <c r="D18" s="17">
        <v>38776</v>
      </c>
      <c r="E18" s="56" t="s">
        <v>573</v>
      </c>
      <c r="F18" s="56" t="s">
        <v>610</v>
      </c>
      <c r="G18" s="57">
        <v>565</v>
      </c>
      <c r="H18" s="58">
        <v>154</v>
      </c>
      <c r="I18" s="52" t="s">
        <v>565</v>
      </c>
      <c r="J18" s="77">
        <v>46534</v>
      </c>
      <c r="K18" s="2">
        <v>175</v>
      </c>
      <c r="L18" s="2">
        <v>154</v>
      </c>
      <c r="M18" s="2"/>
      <c r="N18" s="2"/>
      <c r="O18" s="2"/>
      <c r="P18" s="2">
        <f t="shared" si="1"/>
        <v>770</v>
      </c>
      <c r="Q18" s="2">
        <f>IFERROR(VLOOKUP(D18,'Cp Conv.'!$A$2:$D$112,4,0),"0")</f>
        <v>5</v>
      </c>
    </row>
    <row r="19" spans="1:17" x14ac:dyDescent="0.35">
      <c r="A19" s="2">
        <v>17</v>
      </c>
      <c r="B19" s="56" t="s">
        <v>11</v>
      </c>
      <c r="C19" s="52" t="s">
        <v>601</v>
      </c>
      <c r="D19" s="17">
        <v>38775</v>
      </c>
      <c r="E19" s="56" t="s">
        <v>573</v>
      </c>
      <c r="F19" s="56" t="s">
        <v>580</v>
      </c>
      <c r="G19" s="57">
        <v>1762</v>
      </c>
      <c r="H19" s="58">
        <v>697</v>
      </c>
      <c r="I19" s="52" t="s">
        <v>566</v>
      </c>
      <c r="J19" s="77">
        <v>46534</v>
      </c>
      <c r="K19" s="2">
        <v>328</v>
      </c>
      <c r="L19" s="2">
        <v>670</v>
      </c>
      <c r="M19" s="2"/>
      <c r="N19" s="2"/>
      <c r="O19" s="2"/>
      <c r="P19" s="2">
        <f t="shared" si="1"/>
        <v>2091</v>
      </c>
      <c r="Q19" s="2">
        <f>IFERROR(VLOOKUP(D19,'Cp Conv.'!$A$2:$D$112,4,0),"0")</f>
        <v>3</v>
      </c>
    </row>
    <row r="20" spans="1:17" x14ac:dyDescent="0.35">
      <c r="A20" s="2">
        <v>18</v>
      </c>
      <c r="B20" s="56" t="s">
        <v>11</v>
      </c>
      <c r="C20" s="52" t="s">
        <v>601</v>
      </c>
      <c r="D20" s="95">
        <v>92798</v>
      </c>
      <c r="E20" s="17" t="s">
        <v>149</v>
      </c>
      <c r="F20" s="56" t="s">
        <v>152</v>
      </c>
      <c r="G20" s="57"/>
      <c r="H20" s="58">
        <v>467</v>
      </c>
      <c r="I20" s="52" t="s">
        <v>595</v>
      </c>
      <c r="J20" s="77">
        <v>46565</v>
      </c>
      <c r="K20" s="2"/>
      <c r="L20" s="2">
        <v>163</v>
      </c>
      <c r="M20" s="2"/>
      <c r="N20" s="2"/>
      <c r="O20" s="2" t="s">
        <v>599</v>
      </c>
      <c r="P20" s="2">
        <f t="shared" si="1"/>
        <v>5604</v>
      </c>
      <c r="Q20" s="2">
        <f>IFERROR(VLOOKUP(D20,'Cp Conv.'!$A$2:$D$112,4,0),"0")</f>
        <v>12</v>
      </c>
    </row>
    <row r="21" spans="1:17" x14ac:dyDescent="0.35">
      <c r="A21" s="2">
        <v>19</v>
      </c>
      <c r="B21" s="56" t="s">
        <v>11</v>
      </c>
      <c r="C21" s="52" t="s">
        <v>601</v>
      </c>
      <c r="D21" s="1">
        <v>16238</v>
      </c>
      <c r="E21" s="17" t="s">
        <v>149</v>
      </c>
      <c r="F21" s="56" t="s">
        <v>148</v>
      </c>
      <c r="G21" s="57">
        <v>408</v>
      </c>
      <c r="H21" s="58">
        <v>271</v>
      </c>
      <c r="I21" s="52" t="s">
        <v>534</v>
      </c>
      <c r="J21" s="77">
        <v>46504</v>
      </c>
      <c r="K21" s="2">
        <v>0</v>
      </c>
      <c r="L21" s="2">
        <v>246</v>
      </c>
      <c r="M21" s="2"/>
      <c r="N21" s="2"/>
      <c r="O21" s="2"/>
      <c r="P21" s="2">
        <f t="shared" si="1"/>
        <v>1355</v>
      </c>
      <c r="Q21" s="2">
        <f>IFERROR(VLOOKUP(D21,'Cp Conv.'!$A$2:$D$112,4,0),"0")</f>
        <v>5</v>
      </c>
    </row>
    <row r="22" spans="1:17" x14ac:dyDescent="0.35">
      <c r="A22" s="2">
        <v>20</v>
      </c>
      <c r="B22" s="56" t="s">
        <v>11</v>
      </c>
      <c r="C22" s="52" t="s">
        <v>601</v>
      </c>
      <c r="D22" s="17">
        <v>52537</v>
      </c>
      <c r="E22" s="70" t="s">
        <v>625</v>
      </c>
      <c r="F22" s="63" t="s">
        <v>536</v>
      </c>
      <c r="G22" s="57">
        <v>0</v>
      </c>
      <c r="H22" s="58">
        <v>368</v>
      </c>
      <c r="I22" s="52" t="s">
        <v>596</v>
      </c>
      <c r="J22" s="76">
        <v>46565</v>
      </c>
      <c r="K22" s="2">
        <v>0</v>
      </c>
      <c r="L22" s="2">
        <v>246</v>
      </c>
      <c r="M22" s="2"/>
      <c r="N22" s="2"/>
      <c r="O22" s="2"/>
      <c r="P22" s="2">
        <f t="shared" si="1"/>
        <v>1840</v>
      </c>
      <c r="Q22" s="2">
        <f>IFERROR(VLOOKUP(D22,'Cp Conv.'!$A$2:$D$112,4,0),"0")</f>
        <v>5</v>
      </c>
    </row>
    <row r="23" spans="1:17" x14ac:dyDescent="0.35">
      <c r="A23" s="2">
        <v>21</v>
      </c>
      <c r="B23" s="56" t="s">
        <v>13</v>
      </c>
      <c r="C23" s="52" t="s">
        <v>601</v>
      </c>
      <c r="D23" s="1">
        <v>85250</v>
      </c>
      <c r="E23" s="17" t="s">
        <v>608</v>
      </c>
      <c r="F23" s="56" t="s">
        <v>97</v>
      </c>
      <c r="G23" s="57">
        <v>162</v>
      </c>
      <c r="H23" s="58">
        <v>162</v>
      </c>
      <c r="I23" s="52" t="s">
        <v>543</v>
      </c>
      <c r="J23" s="76">
        <v>46504</v>
      </c>
      <c r="K23" s="2">
        <v>0</v>
      </c>
      <c r="L23" s="2">
        <v>162</v>
      </c>
      <c r="M23" s="2"/>
      <c r="N23" s="2"/>
      <c r="O23" s="2"/>
      <c r="P23" s="2">
        <f t="shared" si="1"/>
        <v>324</v>
      </c>
      <c r="Q23" s="2">
        <f>IFERROR(VLOOKUP(D23,'Cp Conv.'!$A$2:$D$112,4,0),"0")</f>
        <v>2</v>
      </c>
    </row>
    <row r="24" spans="1:17" x14ac:dyDescent="0.35">
      <c r="A24" s="2">
        <v>22</v>
      </c>
      <c r="B24" s="56" t="s">
        <v>13</v>
      </c>
      <c r="C24" s="52" t="s">
        <v>601</v>
      </c>
      <c r="D24" s="17">
        <v>87221</v>
      </c>
      <c r="E24" s="17" t="s">
        <v>600</v>
      </c>
      <c r="F24" s="56" t="s">
        <v>609</v>
      </c>
      <c r="G24" s="57">
        <v>238</v>
      </c>
      <c r="H24" s="58">
        <v>935</v>
      </c>
      <c r="I24" s="52" t="s">
        <v>561</v>
      </c>
      <c r="J24" s="76">
        <v>46534</v>
      </c>
      <c r="K24" s="2">
        <v>29</v>
      </c>
      <c r="L24" s="2">
        <v>751</v>
      </c>
      <c r="M24" s="2"/>
      <c r="N24" s="2"/>
      <c r="O24" s="2"/>
      <c r="P24" s="2">
        <f t="shared" si="1"/>
        <v>1122</v>
      </c>
      <c r="Q24" s="2">
        <f>IFERROR(VLOOKUP(D24,'Cp Conv.'!$A$2:$D$112,4,0),"0")</f>
        <v>1.2</v>
      </c>
    </row>
    <row r="25" spans="1:17" x14ac:dyDescent="0.35">
      <c r="A25" s="2">
        <v>23</v>
      </c>
      <c r="B25" s="56" t="s">
        <v>13</v>
      </c>
      <c r="C25" s="52" t="s">
        <v>601</v>
      </c>
      <c r="D25" s="17">
        <v>87224</v>
      </c>
      <c r="E25" s="56" t="s">
        <v>145</v>
      </c>
      <c r="F25" s="56" t="s">
        <v>607</v>
      </c>
      <c r="G25" s="57">
        <v>238</v>
      </c>
      <c r="H25" s="58">
        <v>65</v>
      </c>
      <c r="I25" s="52" t="s">
        <v>518</v>
      </c>
      <c r="J25" s="76">
        <v>46473</v>
      </c>
      <c r="K25" s="2">
        <v>4</v>
      </c>
      <c r="L25" s="2">
        <v>65</v>
      </c>
      <c r="M25" s="2"/>
      <c r="N25" s="2"/>
      <c r="O25" s="2"/>
      <c r="P25" s="2">
        <f t="shared" si="1"/>
        <v>31.2</v>
      </c>
      <c r="Q25" s="2">
        <f>IFERROR(VLOOKUP(D25,'Cp Conv.'!$A$2:$D$112,4,0),"0")</f>
        <v>0.48</v>
      </c>
    </row>
    <row r="26" spans="1:17" x14ac:dyDescent="0.35">
      <c r="A26" s="2">
        <v>24</v>
      </c>
      <c r="B26" s="56" t="s">
        <v>13</v>
      </c>
      <c r="C26" s="52" t="s">
        <v>601</v>
      </c>
      <c r="D26" s="17">
        <v>55458</v>
      </c>
      <c r="E26" s="56" t="s">
        <v>86</v>
      </c>
      <c r="F26" s="56" t="s">
        <v>567</v>
      </c>
      <c r="G26" s="57">
        <v>18</v>
      </c>
      <c r="H26" s="58">
        <v>18</v>
      </c>
      <c r="I26" s="52" t="s">
        <v>519</v>
      </c>
      <c r="J26" s="77">
        <v>46471</v>
      </c>
      <c r="K26" s="2">
        <v>0</v>
      </c>
      <c r="L26" s="2">
        <v>869</v>
      </c>
      <c r="M26" s="2"/>
      <c r="N26" s="2"/>
      <c r="O26" s="2"/>
      <c r="P26" s="2">
        <f t="shared" si="1"/>
        <v>18</v>
      </c>
      <c r="Q26" s="2">
        <f>IFERROR(VLOOKUP(D26,'Cp Conv.'!$A$2:$D$112,4,0),"0")</f>
        <v>1</v>
      </c>
    </row>
    <row r="27" spans="1:17" x14ac:dyDescent="0.35">
      <c r="A27" s="2">
        <v>25</v>
      </c>
      <c r="B27" s="2" t="s">
        <v>13</v>
      </c>
      <c r="C27" s="52" t="s">
        <v>601</v>
      </c>
      <c r="D27" s="17">
        <v>43868</v>
      </c>
      <c r="E27" s="56" t="s">
        <v>562</v>
      </c>
      <c r="F27" s="56" t="s">
        <v>621</v>
      </c>
      <c r="G27" s="57">
        <v>1879</v>
      </c>
      <c r="H27" s="58">
        <v>1325</v>
      </c>
      <c r="I27" s="52" t="s">
        <v>568</v>
      </c>
      <c r="J27" s="77">
        <v>46534</v>
      </c>
      <c r="K27" s="2">
        <v>34</v>
      </c>
      <c r="L27" s="2">
        <v>1325</v>
      </c>
      <c r="M27" s="2"/>
      <c r="N27" s="2"/>
      <c r="O27" s="2"/>
      <c r="P27" s="2">
        <f t="shared" si="1"/>
        <v>3975</v>
      </c>
      <c r="Q27" s="2">
        <f>IFERROR(VLOOKUP(D27,'Cp Conv.'!$A$2:$D$112,4,0),"0")</f>
        <v>3</v>
      </c>
    </row>
    <row r="28" spans="1:17" x14ac:dyDescent="0.35">
      <c r="A28" s="2">
        <v>26</v>
      </c>
      <c r="B28" s="2" t="s">
        <v>13</v>
      </c>
      <c r="C28" s="52" t="s">
        <v>601</v>
      </c>
      <c r="D28" s="17">
        <v>80927</v>
      </c>
      <c r="E28" s="54" t="s">
        <v>569</v>
      </c>
      <c r="F28" s="56" t="s">
        <v>570</v>
      </c>
      <c r="G28" s="57">
        <v>6428</v>
      </c>
      <c r="H28" s="58">
        <v>6427</v>
      </c>
      <c r="I28" s="52" t="s">
        <v>571</v>
      </c>
      <c r="J28" s="77">
        <v>46534</v>
      </c>
      <c r="K28" s="2">
        <v>1</v>
      </c>
      <c r="L28" s="2">
        <v>6427</v>
      </c>
      <c r="M28" s="2"/>
      <c r="N28" s="2"/>
      <c r="O28" s="2"/>
      <c r="P28" s="2">
        <f t="shared" si="1"/>
        <v>6427</v>
      </c>
      <c r="Q28" s="2">
        <f>IFERROR(VLOOKUP(D28,'Cp Conv.'!$A$2:$D$112,4,0),"0")</f>
        <v>1</v>
      </c>
    </row>
    <row r="29" spans="1:17" x14ac:dyDescent="0.35">
      <c r="A29" s="2">
        <v>27</v>
      </c>
      <c r="B29" s="2" t="s">
        <v>13</v>
      </c>
      <c r="C29" s="52" t="s">
        <v>601</v>
      </c>
      <c r="D29" s="17">
        <v>81359</v>
      </c>
      <c r="E29" s="54" t="s">
        <v>569</v>
      </c>
      <c r="F29" s="56" t="s">
        <v>97</v>
      </c>
      <c r="G29" s="57">
        <v>0</v>
      </c>
      <c r="H29" s="58">
        <v>442</v>
      </c>
      <c r="I29" s="52" t="s">
        <v>592</v>
      </c>
      <c r="J29" s="77">
        <v>46565</v>
      </c>
      <c r="K29" s="2">
        <v>0</v>
      </c>
      <c r="L29" s="2">
        <v>442</v>
      </c>
      <c r="M29" s="2"/>
      <c r="N29" s="2"/>
      <c r="O29" s="2"/>
      <c r="P29" s="2">
        <f t="shared" si="0"/>
        <v>884</v>
      </c>
      <c r="Q29" s="2">
        <f>IFERROR(VLOOKUP(D29,'Cp Conv.'!$A$2:$D$112,4,0),"0")</f>
        <v>2</v>
      </c>
    </row>
    <row r="30" spans="1:17" x14ac:dyDescent="0.35">
      <c r="A30" s="2">
        <v>28</v>
      </c>
      <c r="B30" s="2" t="s">
        <v>13</v>
      </c>
      <c r="C30" s="52" t="s">
        <v>601</v>
      </c>
      <c r="D30" s="17">
        <v>61124</v>
      </c>
      <c r="E30" s="54" t="s">
        <v>128</v>
      </c>
      <c r="F30" s="56" t="s">
        <v>97</v>
      </c>
      <c r="G30" s="57">
        <v>410</v>
      </c>
      <c r="H30" s="58">
        <v>15</v>
      </c>
      <c r="I30" s="52" t="s">
        <v>535</v>
      </c>
      <c r="J30" s="77">
        <v>46504</v>
      </c>
      <c r="K30" s="2">
        <v>100</v>
      </c>
      <c r="L30" s="2">
        <v>15</v>
      </c>
      <c r="M30" s="2"/>
      <c r="N30" s="2"/>
      <c r="O30" s="2"/>
      <c r="P30" s="2">
        <f t="shared" si="0"/>
        <v>30</v>
      </c>
      <c r="Q30" s="2">
        <f>IFERROR(VLOOKUP(D30,'Cp Conv.'!$A$2:$D$112,4,0),"0")</f>
        <v>2</v>
      </c>
    </row>
    <row r="31" spans="1:17" x14ac:dyDescent="0.35">
      <c r="A31" s="2">
        <v>29</v>
      </c>
      <c r="B31" s="2" t="s">
        <v>16</v>
      </c>
      <c r="C31" s="52" t="s">
        <v>601</v>
      </c>
      <c r="D31" s="17">
        <v>87199</v>
      </c>
      <c r="E31" s="54" t="s">
        <v>594</v>
      </c>
      <c r="F31" s="56" t="s">
        <v>572</v>
      </c>
      <c r="G31" s="55">
        <v>0</v>
      </c>
      <c r="H31" s="58">
        <v>165</v>
      </c>
      <c r="I31" s="52" t="s">
        <v>520</v>
      </c>
      <c r="J31" s="77">
        <v>46473</v>
      </c>
      <c r="K31" s="2"/>
      <c r="L31" s="2">
        <v>672</v>
      </c>
      <c r="M31" s="2"/>
      <c r="N31" s="2"/>
      <c r="O31" s="2"/>
      <c r="P31" s="2">
        <f t="shared" si="0"/>
        <v>79.2</v>
      </c>
      <c r="Q31" s="2">
        <f>IFERROR(VLOOKUP(D31,'Cp Conv.'!$A$2:$D$112,4,0),"0")</f>
        <v>0.48</v>
      </c>
    </row>
    <row r="32" spans="1:17" x14ac:dyDescent="0.35">
      <c r="A32" s="2">
        <v>30</v>
      </c>
      <c r="B32" s="2" t="s">
        <v>13</v>
      </c>
      <c r="C32" s="52" t="s">
        <v>601</v>
      </c>
      <c r="D32" s="17">
        <v>87199</v>
      </c>
      <c r="E32" s="54" t="s">
        <v>594</v>
      </c>
      <c r="F32" s="56" t="s">
        <v>572</v>
      </c>
      <c r="G32" s="55">
        <v>228</v>
      </c>
      <c r="H32" s="58">
        <v>691</v>
      </c>
      <c r="I32" s="52" t="s">
        <v>522</v>
      </c>
      <c r="J32" s="77">
        <v>46473</v>
      </c>
      <c r="K32" s="2">
        <v>9</v>
      </c>
      <c r="L32" s="2">
        <v>691</v>
      </c>
      <c r="M32" s="2"/>
      <c r="N32" s="2"/>
      <c r="O32" s="2"/>
      <c r="P32" s="2">
        <f t="shared" si="0"/>
        <v>331.68</v>
      </c>
      <c r="Q32" s="2">
        <f>IFERROR(VLOOKUP(D32,'Cp Conv.'!$A$2:$D$112,4,0),"0")</f>
        <v>0.48</v>
      </c>
    </row>
    <row r="33" spans="1:17" x14ac:dyDescent="0.35">
      <c r="A33" s="2">
        <v>31</v>
      </c>
      <c r="B33" s="2" t="s">
        <v>13</v>
      </c>
      <c r="C33" s="52" t="s">
        <v>601</v>
      </c>
      <c r="D33" s="17">
        <v>70897</v>
      </c>
      <c r="E33" s="54" t="s">
        <v>594</v>
      </c>
      <c r="F33" s="56" t="s">
        <v>523</v>
      </c>
      <c r="G33" s="55">
        <v>0</v>
      </c>
      <c r="H33" s="58">
        <v>550</v>
      </c>
      <c r="I33" s="52" t="s">
        <v>602</v>
      </c>
      <c r="J33" s="77">
        <v>46473</v>
      </c>
      <c r="K33" s="2"/>
      <c r="L33" s="2">
        <v>550</v>
      </c>
      <c r="M33" s="2"/>
      <c r="N33" s="2"/>
      <c r="O33" s="2"/>
      <c r="P33" s="2">
        <f t="shared" si="0"/>
        <v>330</v>
      </c>
      <c r="Q33" s="2">
        <f>IFERROR(VLOOKUP(D33,'Cp Conv.'!$A$2:$D$112,4,0),"0")</f>
        <v>0.6</v>
      </c>
    </row>
    <row r="34" spans="1:17" x14ac:dyDescent="0.35">
      <c r="A34" s="2">
        <v>32</v>
      </c>
      <c r="B34" s="2" t="s">
        <v>13</v>
      </c>
      <c r="C34" s="52" t="s">
        <v>601</v>
      </c>
      <c r="D34" s="1">
        <v>58513</v>
      </c>
      <c r="E34" s="17" t="s">
        <v>92</v>
      </c>
      <c r="F34" s="56" t="s">
        <v>567</v>
      </c>
      <c r="G34" s="55">
        <v>434</v>
      </c>
      <c r="H34" s="58">
        <v>230</v>
      </c>
      <c r="I34" s="52" t="s">
        <v>521</v>
      </c>
      <c r="J34" s="77">
        <v>46473</v>
      </c>
      <c r="K34" s="2">
        <v>72</v>
      </c>
      <c r="L34" s="2">
        <v>230</v>
      </c>
      <c r="M34" s="2"/>
      <c r="N34" s="2"/>
      <c r="O34" s="2"/>
      <c r="P34" s="2">
        <f t="shared" si="0"/>
        <v>230</v>
      </c>
      <c r="Q34" s="2">
        <f>IFERROR(VLOOKUP(D34,'Cp Conv.'!$A$2:$D$112,4,0),"0")</f>
        <v>1</v>
      </c>
    </row>
    <row r="35" spans="1:17" x14ac:dyDescent="0.35">
      <c r="A35" s="2">
        <v>33</v>
      </c>
      <c r="B35" s="2" t="s">
        <v>13</v>
      </c>
      <c r="C35" s="52" t="s">
        <v>601</v>
      </c>
      <c r="D35" s="17">
        <v>38775</v>
      </c>
      <c r="E35" s="56" t="s">
        <v>573</v>
      </c>
      <c r="F35" s="56" t="s">
        <v>580</v>
      </c>
      <c r="G35" s="55">
        <v>772</v>
      </c>
      <c r="H35" s="58">
        <v>405</v>
      </c>
      <c r="I35" s="52" t="s">
        <v>565</v>
      </c>
      <c r="J35" s="77">
        <v>46534</v>
      </c>
      <c r="K35" s="2">
        <v>188</v>
      </c>
      <c r="L35" s="2">
        <v>405</v>
      </c>
      <c r="M35" s="2"/>
      <c r="N35" s="2"/>
      <c r="O35" s="2"/>
      <c r="P35" s="2">
        <f t="shared" si="0"/>
        <v>1215</v>
      </c>
      <c r="Q35" s="2">
        <f>IFERROR(VLOOKUP(D35,'Cp Conv.'!$A$2:$D$112,4,0),"0")</f>
        <v>3</v>
      </c>
    </row>
    <row r="36" spans="1:17" x14ac:dyDescent="0.35">
      <c r="A36" s="2">
        <v>34</v>
      </c>
      <c r="B36" s="2" t="s">
        <v>13</v>
      </c>
      <c r="C36" s="52" t="s">
        <v>601</v>
      </c>
      <c r="D36" s="17">
        <v>38776</v>
      </c>
      <c r="E36" s="56" t="s">
        <v>573</v>
      </c>
      <c r="F36" s="56" t="s">
        <v>610</v>
      </c>
      <c r="G36" s="55">
        <v>683</v>
      </c>
      <c r="H36" s="58">
        <v>73</v>
      </c>
      <c r="I36" s="52" t="s">
        <v>565</v>
      </c>
      <c r="J36" s="77">
        <v>46534</v>
      </c>
      <c r="K36" s="2">
        <v>2</v>
      </c>
      <c r="L36" s="2">
        <v>73</v>
      </c>
      <c r="M36" s="2"/>
      <c r="N36" s="2"/>
      <c r="O36" s="2"/>
      <c r="P36" s="2">
        <f t="shared" ref="P36" si="2">H36*Q36</f>
        <v>365</v>
      </c>
      <c r="Q36" s="2">
        <f>IFERROR(VLOOKUP(D36,'Cp Conv.'!$A$2:$D$112,4,0),"0")</f>
        <v>5</v>
      </c>
    </row>
    <row r="37" spans="1:17" x14ac:dyDescent="0.35">
      <c r="A37" s="2">
        <v>35</v>
      </c>
      <c r="B37" s="2" t="s">
        <v>13</v>
      </c>
      <c r="C37" s="52" t="s">
        <v>601</v>
      </c>
      <c r="D37" s="95">
        <v>92798</v>
      </c>
      <c r="E37" s="17" t="s">
        <v>149</v>
      </c>
      <c r="F37" s="56" t="s">
        <v>152</v>
      </c>
      <c r="G37" s="55">
        <v>0</v>
      </c>
      <c r="H37" s="58">
        <v>182</v>
      </c>
      <c r="I37" s="52" t="s">
        <v>603</v>
      </c>
      <c r="J37" s="77">
        <v>46565</v>
      </c>
      <c r="K37" s="2"/>
      <c r="L37" s="2">
        <v>12</v>
      </c>
      <c r="M37" s="2"/>
      <c r="N37" s="2"/>
      <c r="O37" s="2"/>
      <c r="P37" s="2">
        <f t="shared" ref="P37:P46" si="3">H37*Q37</f>
        <v>2184</v>
      </c>
      <c r="Q37" s="2">
        <f>IFERROR(VLOOKUP(D37,'Cp Conv.'!$A$2:$D$112,4,0),"0")</f>
        <v>12</v>
      </c>
    </row>
    <row r="38" spans="1:17" x14ac:dyDescent="0.35">
      <c r="A38" s="2">
        <v>36</v>
      </c>
      <c r="B38" s="2" t="s">
        <v>13</v>
      </c>
      <c r="C38" s="52" t="s">
        <v>601</v>
      </c>
      <c r="D38" s="1">
        <v>43978</v>
      </c>
      <c r="E38" s="17" t="s">
        <v>121</v>
      </c>
      <c r="F38" s="56" t="s">
        <v>96</v>
      </c>
      <c r="G38" s="55">
        <v>0</v>
      </c>
      <c r="H38" s="58">
        <v>465</v>
      </c>
      <c r="I38" s="52" t="s">
        <v>604</v>
      </c>
      <c r="J38" s="77">
        <v>46565</v>
      </c>
      <c r="K38" s="2"/>
      <c r="L38" s="2">
        <v>1772</v>
      </c>
      <c r="M38" s="2"/>
      <c r="N38" s="2"/>
      <c r="O38" s="2"/>
      <c r="P38" s="2">
        <f t="shared" si="3"/>
        <v>465</v>
      </c>
      <c r="Q38" s="2">
        <f>IFERROR(VLOOKUP(D38,'Cp Conv.'!$A$2:$D$112,4,0),"0")</f>
        <v>1</v>
      </c>
    </row>
    <row r="39" spans="1:17" x14ac:dyDescent="0.35">
      <c r="A39" s="2">
        <v>37</v>
      </c>
      <c r="B39" s="2" t="s">
        <v>545</v>
      </c>
      <c r="C39" s="52" t="s">
        <v>601</v>
      </c>
      <c r="D39" s="17">
        <v>53924</v>
      </c>
      <c r="E39" s="17" t="s">
        <v>92</v>
      </c>
      <c r="F39" s="56" t="s">
        <v>538</v>
      </c>
      <c r="G39" s="55">
        <v>26</v>
      </c>
      <c r="H39" s="58">
        <v>20</v>
      </c>
      <c r="I39" s="52" t="s">
        <v>74</v>
      </c>
      <c r="J39" s="76">
        <v>46229</v>
      </c>
      <c r="K39" s="2">
        <v>-112</v>
      </c>
      <c r="L39" s="2">
        <v>20</v>
      </c>
      <c r="M39" s="2"/>
      <c r="N39" s="2"/>
      <c r="O39" s="2"/>
      <c r="P39" s="2">
        <f t="shared" si="3"/>
        <v>100</v>
      </c>
      <c r="Q39" s="2">
        <f>IFERROR(VLOOKUP(D39,'Cp Conv.'!$A$2:$D$112,4,0),"0")</f>
        <v>5</v>
      </c>
    </row>
    <row r="40" spans="1:17" x14ac:dyDescent="0.35">
      <c r="A40" s="2">
        <v>38</v>
      </c>
      <c r="B40" s="2" t="s">
        <v>545</v>
      </c>
      <c r="C40" s="52" t="s">
        <v>601</v>
      </c>
      <c r="D40" s="1">
        <v>85803</v>
      </c>
      <c r="E40" s="17" t="s">
        <v>17</v>
      </c>
      <c r="F40" s="56" t="s">
        <v>84</v>
      </c>
      <c r="G40" s="55">
        <v>351</v>
      </c>
      <c r="H40" s="58">
        <v>351</v>
      </c>
      <c r="I40" s="52" t="s">
        <v>73</v>
      </c>
      <c r="J40" s="76">
        <v>46260</v>
      </c>
      <c r="K40" s="2">
        <v>176</v>
      </c>
      <c r="L40" s="2">
        <v>351</v>
      </c>
      <c r="M40" s="2"/>
      <c r="N40" s="2"/>
      <c r="O40" s="2" t="s">
        <v>585</v>
      </c>
      <c r="P40" s="2">
        <f t="shared" si="3"/>
        <v>737.1</v>
      </c>
      <c r="Q40" s="2">
        <f>IFERROR(VLOOKUP(D40,'Cp Conv.'!$A$2:$D$112,4,0),"0")</f>
        <v>2.1</v>
      </c>
    </row>
    <row r="41" spans="1:17" x14ac:dyDescent="0.35">
      <c r="A41" s="2">
        <v>39</v>
      </c>
      <c r="B41" s="2" t="s">
        <v>545</v>
      </c>
      <c r="C41" s="52" t="s">
        <v>601</v>
      </c>
      <c r="D41" s="1">
        <v>53508</v>
      </c>
      <c r="E41" s="17" t="s">
        <v>92</v>
      </c>
      <c r="F41" s="56" t="s">
        <v>450</v>
      </c>
      <c r="G41" s="55">
        <v>420</v>
      </c>
      <c r="H41" s="58">
        <v>6</v>
      </c>
      <c r="I41" s="52" t="s">
        <v>471</v>
      </c>
      <c r="J41" s="77">
        <v>46414</v>
      </c>
      <c r="K41" s="2">
        <v>54</v>
      </c>
      <c r="L41" s="2">
        <v>4</v>
      </c>
      <c r="M41" s="2"/>
      <c r="N41" s="2"/>
      <c r="O41" s="2"/>
      <c r="P41" s="2">
        <f t="shared" si="3"/>
        <v>12</v>
      </c>
      <c r="Q41" s="2">
        <f>IFERROR(VLOOKUP(D41,'Cp Conv.'!$A$2:$D$112,4,0),"0")</f>
        <v>2</v>
      </c>
    </row>
    <row r="42" spans="1:17" x14ac:dyDescent="0.35">
      <c r="A42" s="2">
        <v>40</v>
      </c>
      <c r="B42" s="2" t="s">
        <v>545</v>
      </c>
      <c r="C42" s="52" t="s">
        <v>601</v>
      </c>
      <c r="D42" s="1">
        <v>87224</v>
      </c>
      <c r="E42" s="56" t="s">
        <v>145</v>
      </c>
      <c r="F42" s="56" t="s">
        <v>607</v>
      </c>
      <c r="G42" s="55">
        <v>263</v>
      </c>
      <c r="H42" s="58">
        <v>149</v>
      </c>
      <c r="I42" s="52" t="s">
        <v>518</v>
      </c>
      <c r="J42" s="76">
        <v>46473</v>
      </c>
      <c r="K42" s="2">
        <v>23</v>
      </c>
      <c r="L42" s="2">
        <v>149</v>
      </c>
      <c r="M42" s="2"/>
      <c r="N42" s="2"/>
      <c r="O42" s="2"/>
      <c r="P42" s="2">
        <f t="shared" si="3"/>
        <v>71.52</v>
      </c>
      <c r="Q42" s="2">
        <f>IFERROR(VLOOKUP(D42,'Cp Conv.'!$A$2:$D$112,4,0),"0")</f>
        <v>0.48</v>
      </c>
    </row>
    <row r="43" spans="1:17" x14ac:dyDescent="0.35">
      <c r="A43" s="2">
        <v>41</v>
      </c>
      <c r="B43" s="2" t="s">
        <v>545</v>
      </c>
      <c r="C43" s="52" t="s">
        <v>601</v>
      </c>
      <c r="D43" s="17">
        <v>55458</v>
      </c>
      <c r="E43" s="56" t="s">
        <v>86</v>
      </c>
      <c r="F43" s="56" t="s">
        <v>567</v>
      </c>
      <c r="G43" s="55">
        <v>273</v>
      </c>
      <c r="H43" s="58">
        <v>589</v>
      </c>
      <c r="I43" s="52" t="s">
        <v>544</v>
      </c>
      <c r="J43" s="77">
        <v>46471</v>
      </c>
      <c r="K43" s="2">
        <v>47</v>
      </c>
      <c r="L43" s="2">
        <v>1057</v>
      </c>
      <c r="M43" s="2"/>
      <c r="N43" s="2"/>
      <c r="O43" s="2"/>
      <c r="P43" s="2">
        <f t="shared" si="3"/>
        <v>589</v>
      </c>
      <c r="Q43" s="2">
        <f>IFERROR(VLOOKUP(D43,'Cp Conv.'!$A$2:$D$112,4,0),"0")</f>
        <v>1</v>
      </c>
    </row>
    <row r="44" spans="1:17" x14ac:dyDescent="0.35">
      <c r="A44" s="2">
        <v>42</v>
      </c>
      <c r="B44" s="2" t="s">
        <v>545</v>
      </c>
      <c r="C44" s="52" t="s">
        <v>601</v>
      </c>
      <c r="D44" s="17">
        <v>87199</v>
      </c>
      <c r="E44" s="54" t="s">
        <v>594</v>
      </c>
      <c r="F44" s="56" t="s">
        <v>572</v>
      </c>
      <c r="G44" s="55">
        <v>384</v>
      </c>
      <c r="H44" s="58">
        <v>496</v>
      </c>
      <c r="I44" s="52" t="s">
        <v>520</v>
      </c>
      <c r="J44" s="77">
        <v>46473</v>
      </c>
      <c r="K44" s="2">
        <v>75</v>
      </c>
      <c r="L44" s="2">
        <v>496</v>
      </c>
      <c r="M44" s="2"/>
      <c r="N44" s="2"/>
      <c r="O44" s="2"/>
      <c r="P44" s="2">
        <f t="shared" si="3"/>
        <v>238.07999999999998</v>
      </c>
      <c r="Q44" s="2">
        <f>IFERROR(VLOOKUP(D44,'Cp Conv.'!$A$2:$D$112,4,0),"0")</f>
        <v>0.48</v>
      </c>
    </row>
    <row r="45" spans="1:17" x14ac:dyDescent="0.35">
      <c r="A45" s="2">
        <v>43</v>
      </c>
      <c r="B45" s="2" t="s">
        <v>545</v>
      </c>
      <c r="C45" s="52" t="s">
        <v>601</v>
      </c>
      <c r="D45" s="1">
        <v>70897</v>
      </c>
      <c r="E45" s="54" t="s">
        <v>594</v>
      </c>
      <c r="F45" s="56" t="s">
        <v>523</v>
      </c>
      <c r="G45" s="55">
        <v>0</v>
      </c>
      <c r="H45" s="58">
        <v>454</v>
      </c>
      <c r="I45" s="52" t="s">
        <v>520</v>
      </c>
      <c r="J45" s="77">
        <v>46473</v>
      </c>
      <c r="K45" s="2">
        <v>180</v>
      </c>
      <c r="L45" s="2">
        <v>454</v>
      </c>
      <c r="M45" s="2"/>
      <c r="N45" s="2"/>
      <c r="O45" s="2"/>
      <c r="P45" s="2">
        <f t="shared" si="3"/>
        <v>272.39999999999998</v>
      </c>
      <c r="Q45" s="2">
        <f>IFERROR(VLOOKUP(D45,'Cp Conv.'!$A$2:$D$112,4,0),"0")</f>
        <v>0.6</v>
      </c>
    </row>
    <row r="46" spans="1:17" x14ac:dyDescent="0.35">
      <c r="A46" s="2">
        <v>44</v>
      </c>
      <c r="B46" s="2" t="s">
        <v>545</v>
      </c>
      <c r="C46" s="52" t="s">
        <v>601</v>
      </c>
      <c r="D46" s="1">
        <v>58513</v>
      </c>
      <c r="E46" s="17" t="s">
        <v>92</v>
      </c>
      <c r="F46" s="56" t="s">
        <v>567</v>
      </c>
      <c r="G46" s="55">
        <v>847</v>
      </c>
      <c r="H46" s="58">
        <v>118</v>
      </c>
      <c r="I46" s="52" t="s">
        <v>525</v>
      </c>
      <c r="J46" s="77">
        <v>46473</v>
      </c>
      <c r="K46" s="2">
        <v>694</v>
      </c>
      <c r="L46" s="2">
        <v>166</v>
      </c>
      <c r="M46" s="2"/>
      <c r="N46" s="2"/>
      <c r="O46" s="2"/>
      <c r="P46" s="2">
        <f t="shared" si="3"/>
        <v>118</v>
      </c>
      <c r="Q46" s="2">
        <f>IFERROR(VLOOKUP(D46,'Cp Conv.'!$A$2:$D$112,4,0),"0")</f>
        <v>1</v>
      </c>
    </row>
    <row r="47" spans="1:17" x14ac:dyDescent="0.35">
      <c r="A47" s="2">
        <v>45</v>
      </c>
      <c r="B47" s="2" t="s">
        <v>545</v>
      </c>
      <c r="C47" s="52" t="s">
        <v>601</v>
      </c>
      <c r="D47" s="1">
        <v>85250</v>
      </c>
      <c r="E47" s="17" t="s">
        <v>608</v>
      </c>
      <c r="F47" s="56" t="s">
        <v>97</v>
      </c>
      <c r="G47" s="55">
        <v>249</v>
      </c>
      <c r="H47" s="58">
        <v>249</v>
      </c>
      <c r="I47" s="52" t="s">
        <v>543</v>
      </c>
      <c r="J47" s="76">
        <v>46504</v>
      </c>
      <c r="K47" s="2">
        <v>0</v>
      </c>
      <c r="L47" s="2">
        <v>249</v>
      </c>
      <c r="M47" s="2"/>
      <c r="N47" s="2"/>
      <c r="O47" s="2"/>
      <c r="P47" s="2">
        <f t="shared" ref="P47:P58" si="4">H47*Q47</f>
        <v>498</v>
      </c>
      <c r="Q47" s="2">
        <f>IFERROR(VLOOKUP(D47,'Cp Conv.'!$A$2:$D$112,4,0),"0")</f>
        <v>2</v>
      </c>
    </row>
    <row r="48" spans="1:17" x14ac:dyDescent="0.35">
      <c r="A48" s="2">
        <v>46</v>
      </c>
      <c r="B48" s="2" t="s">
        <v>545</v>
      </c>
      <c r="C48" s="52" t="s">
        <v>601</v>
      </c>
      <c r="D48" s="95">
        <v>92798</v>
      </c>
      <c r="E48" s="17" t="s">
        <v>149</v>
      </c>
      <c r="F48" s="56" t="s">
        <v>152</v>
      </c>
      <c r="G48" s="55">
        <v>596</v>
      </c>
      <c r="H48" s="58">
        <v>688</v>
      </c>
      <c r="I48" s="52" t="s">
        <v>595</v>
      </c>
      <c r="J48" s="77">
        <v>46565</v>
      </c>
      <c r="K48" s="2">
        <v>1</v>
      </c>
      <c r="L48" s="2">
        <v>4477</v>
      </c>
      <c r="M48" s="2"/>
      <c r="N48" s="2"/>
      <c r="O48" s="2"/>
      <c r="P48" s="2">
        <f t="shared" si="4"/>
        <v>8256</v>
      </c>
      <c r="Q48" s="2">
        <f>IFERROR(VLOOKUP(D48,'Cp Conv.'!$A$2:$D$112,4,0),"0")</f>
        <v>12</v>
      </c>
    </row>
    <row r="49" spans="1:17" x14ac:dyDescent="0.35">
      <c r="A49" s="2">
        <v>47</v>
      </c>
      <c r="B49" s="2" t="s">
        <v>545</v>
      </c>
      <c r="C49" s="52" t="s">
        <v>601</v>
      </c>
      <c r="D49" s="1">
        <v>87221</v>
      </c>
      <c r="E49" s="17" t="s">
        <v>600</v>
      </c>
      <c r="F49" s="56" t="s">
        <v>609</v>
      </c>
      <c r="G49" s="55">
        <v>286</v>
      </c>
      <c r="H49" s="58">
        <v>170</v>
      </c>
      <c r="I49" s="52" t="s">
        <v>561</v>
      </c>
      <c r="J49" s="76">
        <v>46534</v>
      </c>
      <c r="K49" s="2">
        <v>0</v>
      </c>
      <c r="L49" s="2">
        <v>319</v>
      </c>
      <c r="M49" s="2"/>
      <c r="N49" s="2"/>
      <c r="O49" s="2"/>
      <c r="P49" s="2">
        <f t="shared" si="4"/>
        <v>204</v>
      </c>
      <c r="Q49" s="2">
        <f>IFERROR(VLOOKUP(D49,'Cp Conv.'!$A$2:$D$112,4,0),"0")</f>
        <v>1.2</v>
      </c>
    </row>
    <row r="50" spans="1:17" x14ac:dyDescent="0.35">
      <c r="A50" s="2">
        <v>48</v>
      </c>
      <c r="B50" s="2" t="s">
        <v>545</v>
      </c>
      <c r="C50" s="52" t="s">
        <v>601</v>
      </c>
      <c r="D50" s="1">
        <v>43868</v>
      </c>
      <c r="E50" s="56" t="s">
        <v>562</v>
      </c>
      <c r="F50" s="56" t="s">
        <v>621</v>
      </c>
      <c r="G50" s="55">
        <v>937</v>
      </c>
      <c r="H50" s="58">
        <v>254</v>
      </c>
      <c r="I50" s="52" t="s">
        <v>589</v>
      </c>
      <c r="J50" s="77">
        <v>46534</v>
      </c>
      <c r="K50" s="2">
        <v>87</v>
      </c>
      <c r="L50" s="2">
        <v>1249</v>
      </c>
      <c r="M50" s="2"/>
      <c r="N50" s="2"/>
      <c r="O50" s="2"/>
      <c r="P50" s="2">
        <f t="shared" si="4"/>
        <v>762</v>
      </c>
      <c r="Q50" s="2">
        <f>IFERROR(VLOOKUP(D50,'Cp Conv.'!$A$2:$D$112,4,0),"0")</f>
        <v>3</v>
      </c>
    </row>
    <row r="51" spans="1:17" x14ac:dyDescent="0.35">
      <c r="A51" s="2">
        <v>49</v>
      </c>
      <c r="B51" s="2" t="s">
        <v>545</v>
      </c>
      <c r="C51" s="52" t="s">
        <v>601</v>
      </c>
      <c r="D51" s="1">
        <v>80927</v>
      </c>
      <c r="E51" s="54" t="s">
        <v>569</v>
      </c>
      <c r="F51" s="56" t="s">
        <v>570</v>
      </c>
      <c r="G51" s="55">
        <v>10687</v>
      </c>
      <c r="H51" s="58">
        <v>10789</v>
      </c>
      <c r="I51" s="52" t="s">
        <v>587</v>
      </c>
      <c r="J51" s="77">
        <v>46534</v>
      </c>
      <c r="K51" s="2">
        <v>415</v>
      </c>
      <c r="L51" s="2">
        <v>13160</v>
      </c>
      <c r="M51" s="2"/>
      <c r="N51" s="2"/>
      <c r="O51" s="2" t="s">
        <v>588</v>
      </c>
      <c r="P51" s="2">
        <f t="shared" si="4"/>
        <v>10789</v>
      </c>
      <c r="Q51" s="2">
        <f>IFERROR(VLOOKUP(D51,'Cp Conv.'!$A$2:$D$112,4,0),"0")</f>
        <v>1</v>
      </c>
    </row>
    <row r="52" spans="1:17" x14ac:dyDescent="0.35">
      <c r="A52" s="2">
        <v>50</v>
      </c>
      <c r="B52" s="2" t="s">
        <v>545</v>
      </c>
      <c r="C52" s="52" t="s">
        <v>601</v>
      </c>
      <c r="D52" s="1">
        <v>38776</v>
      </c>
      <c r="E52" s="56" t="s">
        <v>573</v>
      </c>
      <c r="F52" s="56" t="s">
        <v>610</v>
      </c>
      <c r="G52" s="55">
        <v>804</v>
      </c>
      <c r="H52" s="58">
        <v>391</v>
      </c>
      <c r="I52" s="52" t="s">
        <v>586</v>
      </c>
      <c r="J52" s="77">
        <v>46534</v>
      </c>
      <c r="K52" s="2">
        <v>180</v>
      </c>
      <c r="L52" s="2">
        <v>391</v>
      </c>
      <c r="M52" s="2"/>
      <c r="N52" s="2"/>
      <c r="O52" s="2"/>
      <c r="P52" s="2">
        <f t="shared" si="4"/>
        <v>1955</v>
      </c>
      <c r="Q52" s="2">
        <f>IFERROR(VLOOKUP(D52,'Cp Conv.'!$A$2:$D$112,4,0),"0")</f>
        <v>5</v>
      </c>
    </row>
    <row r="53" spans="1:17" x14ac:dyDescent="0.35">
      <c r="A53" s="2">
        <v>51</v>
      </c>
      <c r="B53" s="2" t="s">
        <v>545</v>
      </c>
      <c r="C53" s="52" t="s">
        <v>601</v>
      </c>
      <c r="D53" s="1">
        <v>38775</v>
      </c>
      <c r="E53" s="56" t="s">
        <v>573</v>
      </c>
      <c r="F53" s="56" t="s">
        <v>580</v>
      </c>
      <c r="G53" s="55">
        <v>3042</v>
      </c>
      <c r="H53" s="58">
        <v>619</v>
      </c>
      <c r="I53" s="52" t="s">
        <v>566</v>
      </c>
      <c r="J53" s="77">
        <v>46534</v>
      </c>
      <c r="K53" s="2">
        <v>-112</v>
      </c>
      <c r="L53" s="2">
        <v>796</v>
      </c>
      <c r="M53" s="2"/>
      <c r="N53" s="2"/>
      <c r="O53" s="2"/>
      <c r="P53" s="2">
        <f t="shared" si="4"/>
        <v>1857</v>
      </c>
      <c r="Q53" s="2">
        <f>IFERROR(VLOOKUP(D53,'Cp Conv.'!$A$2:$D$112,4,0),"0")</f>
        <v>3</v>
      </c>
    </row>
    <row r="54" spans="1:17" x14ac:dyDescent="0.35">
      <c r="A54" s="2">
        <v>52</v>
      </c>
      <c r="B54" s="2" t="s">
        <v>545</v>
      </c>
      <c r="C54" s="52" t="s">
        <v>601</v>
      </c>
      <c r="D54" s="1">
        <v>43868</v>
      </c>
      <c r="E54" s="56" t="s">
        <v>562</v>
      </c>
      <c r="F54" s="56" t="s">
        <v>621</v>
      </c>
      <c r="G54" s="55">
        <v>0</v>
      </c>
      <c r="H54" s="58">
        <v>1000</v>
      </c>
      <c r="I54" s="52" t="s">
        <v>611</v>
      </c>
      <c r="J54" s="77">
        <v>46544</v>
      </c>
      <c r="K54" s="2">
        <v>37</v>
      </c>
      <c r="L54" s="2">
        <v>1249</v>
      </c>
      <c r="M54" s="2"/>
      <c r="N54" s="2"/>
      <c r="O54" s="2"/>
      <c r="P54" s="2">
        <f t="shared" si="4"/>
        <v>3000</v>
      </c>
      <c r="Q54" s="2">
        <f>IFERROR(VLOOKUP(D54,'Cp Conv.'!$A$2:$D$112,4,0),"0")</f>
        <v>3</v>
      </c>
    </row>
    <row r="55" spans="1:17" x14ac:dyDescent="0.35">
      <c r="A55" s="2">
        <v>53</v>
      </c>
      <c r="B55" s="2" t="s">
        <v>545</v>
      </c>
      <c r="C55" s="52" t="s">
        <v>601</v>
      </c>
      <c r="D55" s="1">
        <v>80927</v>
      </c>
      <c r="E55" s="54" t="s">
        <v>569</v>
      </c>
      <c r="F55" s="56" t="s">
        <v>570</v>
      </c>
      <c r="G55" s="55">
        <v>0</v>
      </c>
      <c r="H55" s="58">
        <v>2371</v>
      </c>
      <c r="I55" s="52" t="s">
        <v>612</v>
      </c>
      <c r="J55" s="77">
        <v>46565</v>
      </c>
      <c r="K55" s="2">
        <v>0</v>
      </c>
      <c r="L55" s="2">
        <v>13160</v>
      </c>
      <c r="M55" s="2"/>
      <c r="N55" s="2"/>
      <c r="O55" s="2"/>
      <c r="P55" s="2">
        <f t="shared" si="4"/>
        <v>2371</v>
      </c>
      <c r="Q55" s="2">
        <f>IFERROR(VLOOKUP(D55,'Cp Conv.'!$A$2:$D$112,4,0),"0")</f>
        <v>1</v>
      </c>
    </row>
    <row r="56" spans="1:17" x14ac:dyDescent="0.35">
      <c r="A56" s="2">
        <v>54</v>
      </c>
      <c r="B56" s="2" t="s">
        <v>545</v>
      </c>
      <c r="C56" s="52" t="s">
        <v>601</v>
      </c>
      <c r="D56" s="1">
        <v>81359</v>
      </c>
      <c r="E56" s="54" t="s">
        <v>569</v>
      </c>
      <c r="F56" s="56" t="s">
        <v>97</v>
      </c>
      <c r="G56" s="55">
        <v>0</v>
      </c>
      <c r="H56" s="58">
        <v>418</v>
      </c>
      <c r="I56" s="52" t="s">
        <v>592</v>
      </c>
      <c r="J56" s="77">
        <v>46565</v>
      </c>
      <c r="K56" s="2">
        <v>0</v>
      </c>
      <c r="L56" s="2">
        <v>418</v>
      </c>
      <c r="M56" s="2"/>
      <c r="N56" s="2"/>
      <c r="O56" s="2"/>
      <c r="P56" s="2">
        <f t="shared" si="4"/>
        <v>836</v>
      </c>
      <c r="Q56" s="2">
        <f>IFERROR(VLOOKUP(D56,'Cp Conv.'!$A$2:$D$112,4,0),"0")</f>
        <v>2</v>
      </c>
    </row>
    <row r="57" spans="1:17" x14ac:dyDescent="0.35">
      <c r="A57" s="2">
        <v>55</v>
      </c>
      <c r="B57" s="2" t="s">
        <v>7</v>
      </c>
      <c r="C57" s="52" t="s">
        <v>601</v>
      </c>
      <c r="D57" s="1">
        <v>87221</v>
      </c>
      <c r="E57" s="17" t="s">
        <v>600</v>
      </c>
      <c r="F57" s="56" t="s">
        <v>609</v>
      </c>
      <c r="G57" s="55">
        <v>238</v>
      </c>
      <c r="H57" s="58">
        <v>586</v>
      </c>
      <c r="I57" s="52" t="s">
        <v>561</v>
      </c>
      <c r="J57" s="76">
        <v>46534</v>
      </c>
      <c r="K57" s="2">
        <v>194</v>
      </c>
      <c r="L57" s="2">
        <v>586</v>
      </c>
      <c r="M57" s="2"/>
      <c r="N57" s="2"/>
      <c r="O57" s="2"/>
      <c r="P57" s="2">
        <f t="shared" si="4"/>
        <v>703.19999999999993</v>
      </c>
      <c r="Q57" s="2">
        <f>IFERROR(VLOOKUP(D57,'Cp Conv.'!$A$2:$D$112,4,0),"0")</f>
        <v>1.2</v>
      </c>
    </row>
    <row r="58" spans="1:17" x14ac:dyDescent="0.35">
      <c r="A58" s="2">
        <v>56</v>
      </c>
      <c r="B58" s="2" t="s">
        <v>7</v>
      </c>
      <c r="C58" s="52" t="s">
        <v>601</v>
      </c>
      <c r="D58" s="1">
        <v>85250</v>
      </c>
      <c r="E58" s="17" t="s">
        <v>608</v>
      </c>
      <c r="F58" s="56" t="s">
        <v>97</v>
      </c>
      <c r="G58" s="55">
        <v>171</v>
      </c>
      <c r="H58" s="58">
        <v>141</v>
      </c>
      <c r="I58" s="52" t="s">
        <v>543</v>
      </c>
      <c r="J58" s="76">
        <v>46504</v>
      </c>
      <c r="K58" s="2">
        <v>30</v>
      </c>
      <c r="L58" s="2">
        <v>141</v>
      </c>
      <c r="M58" s="2"/>
      <c r="N58" s="2"/>
      <c r="O58" s="2"/>
      <c r="P58" s="2">
        <f t="shared" si="4"/>
        <v>282</v>
      </c>
      <c r="Q58" s="2">
        <f>IFERROR(VLOOKUP(D58,'Cp Conv.'!$A$2:$D$112,4,0),"0")</f>
        <v>2</v>
      </c>
    </row>
    <row r="59" spans="1:17" x14ac:dyDescent="0.35">
      <c r="A59" s="2">
        <v>57</v>
      </c>
      <c r="B59" s="2" t="s">
        <v>7</v>
      </c>
      <c r="C59" s="52" t="s">
        <v>601</v>
      </c>
      <c r="D59" s="1">
        <v>85803</v>
      </c>
      <c r="E59" s="17" t="s">
        <v>17</v>
      </c>
      <c r="F59" s="56" t="s">
        <v>84</v>
      </c>
      <c r="G59" s="55">
        <v>197</v>
      </c>
      <c r="H59" s="58">
        <v>196</v>
      </c>
      <c r="I59" s="52" t="s">
        <v>73</v>
      </c>
      <c r="J59" s="76">
        <v>46260</v>
      </c>
      <c r="K59" s="2">
        <v>1</v>
      </c>
      <c r="L59" s="2">
        <v>196</v>
      </c>
      <c r="M59" s="2"/>
      <c r="N59" s="2"/>
      <c r="O59" s="2"/>
      <c r="P59" s="2">
        <f t="shared" ref="P59:P68" si="5">H59*Q59</f>
        <v>411.6</v>
      </c>
      <c r="Q59" s="2">
        <f>IFERROR(VLOOKUP(D59,'Cp Conv.'!$A$2:$D$112,4,0),"0")</f>
        <v>2.1</v>
      </c>
    </row>
    <row r="60" spans="1:17" x14ac:dyDescent="0.35">
      <c r="A60" s="2">
        <v>58</v>
      </c>
      <c r="B60" s="2" t="s">
        <v>7</v>
      </c>
      <c r="C60" s="52" t="s">
        <v>601</v>
      </c>
      <c r="D60" s="1">
        <v>87224</v>
      </c>
      <c r="E60" s="56" t="s">
        <v>145</v>
      </c>
      <c r="F60" s="56" t="s">
        <v>607</v>
      </c>
      <c r="G60" s="55">
        <v>144</v>
      </c>
      <c r="H60" s="58">
        <v>57</v>
      </c>
      <c r="I60" s="52" t="s">
        <v>518</v>
      </c>
      <c r="J60" s="76">
        <v>46473</v>
      </c>
      <c r="K60" s="2">
        <v>187</v>
      </c>
      <c r="L60" s="2">
        <v>7</v>
      </c>
      <c r="M60" s="2"/>
      <c r="N60" s="2"/>
      <c r="O60" s="2"/>
      <c r="P60" s="2">
        <f t="shared" si="5"/>
        <v>27.36</v>
      </c>
      <c r="Q60" s="2">
        <f>IFERROR(VLOOKUP(D60,'Cp Conv.'!$A$2:$D$112,4,0),"0")</f>
        <v>0.48</v>
      </c>
    </row>
    <row r="61" spans="1:17" x14ac:dyDescent="0.35">
      <c r="A61" s="2">
        <v>59</v>
      </c>
      <c r="B61" s="2" t="s">
        <v>7</v>
      </c>
      <c r="C61" s="52" t="s">
        <v>601</v>
      </c>
      <c r="D61" s="1">
        <v>55458</v>
      </c>
      <c r="E61" s="56" t="s">
        <v>86</v>
      </c>
      <c r="F61" s="56" t="s">
        <v>567</v>
      </c>
      <c r="G61" s="55">
        <v>667</v>
      </c>
      <c r="H61" s="58">
        <v>235</v>
      </c>
      <c r="I61" s="52" t="s">
        <v>579</v>
      </c>
      <c r="J61" s="77">
        <v>46471</v>
      </c>
      <c r="K61" s="2">
        <v>132</v>
      </c>
      <c r="L61" s="2">
        <v>475</v>
      </c>
      <c r="M61" s="2"/>
      <c r="N61" s="2"/>
      <c r="O61" s="2"/>
      <c r="P61" s="2">
        <f t="shared" si="5"/>
        <v>235</v>
      </c>
      <c r="Q61" s="2">
        <f>IFERROR(VLOOKUP(D61,'Cp Conv.'!$A$2:$D$112,4,0),"0")</f>
        <v>1</v>
      </c>
    </row>
    <row r="62" spans="1:17" x14ac:dyDescent="0.35">
      <c r="A62" s="2">
        <v>60</v>
      </c>
      <c r="B62" s="2" t="s">
        <v>7</v>
      </c>
      <c r="C62" s="52" t="s">
        <v>601</v>
      </c>
      <c r="D62" s="1">
        <v>43868</v>
      </c>
      <c r="E62" s="56" t="s">
        <v>562</v>
      </c>
      <c r="F62" s="56" t="s">
        <v>621</v>
      </c>
      <c r="G62" s="55">
        <v>1106</v>
      </c>
      <c r="H62" s="58">
        <v>674</v>
      </c>
      <c r="I62" s="52" t="s">
        <v>622</v>
      </c>
      <c r="J62" s="77">
        <v>46544</v>
      </c>
      <c r="K62" s="2">
        <v>562</v>
      </c>
      <c r="L62" s="2">
        <v>594</v>
      </c>
      <c r="M62" s="2"/>
      <c r="N62" s="2"/>
      <c r="O62" s="2"/>
      <c r="P62" s="2">
        <f t="shared" si="5"/>
        <v>2022</v>
      </c>
      <c r="Q62" s="2">
        <f>IFERROR(VLOOKUP(D62,'Cp Conv.'!$A$2:$D$112,4,0),"0")</f>
        <v>3</v>
      </c>
    </row>
    <row r="63" spans="1:17" x14ac:dyDescent="0.35">
      <c r="A63" s="2">
        <v>61</v>
      </c>
      <c r="B63" s="2" t="s">
        <v>7</v>
      </c>
      <c r="C63" s="52" t="s">
        <v>601</v>
      </c>
      <c r="D63" s="1">
        <v>80927</v>
      </c>
      <c r="E63" s="54" t="s">
        <v>569</v>
      </c>
      <c r="F63" s="56" t="s">
        <v>570</v>
      </c>
      <c r="G63" s="55">
        <v>7180</v>
      </c>
      <c r="H63" s="58">
        <v>4428</v>
      </c>
      <c r="I63" s="52" t="s">
        <v>564</v>
      </c>
      <c r="J63" s="77">
        <v>46534</v>
      </c>
      <c r="K63" s="2">
        <v>33</v>
      </c>
      <c r="L63" s="2">
        <v>6811</v>
      </c>
      <c r="M63" s="2"/>
      <c r="N63" s="2"/>
      <c r="O63" s="2"/>
      <c r="P63" s="2">
        <f t="shared" si="5"/>
        <v>4428</v>
      </c>
      <c r="Q63" s="2">
        <f>IFERROR(VLOOKUP(D63,'Cp Conv.'!$A$2:$D$112,4,0),"0")</f>
        <v>1</v>
      </c>
    </row>
    <row r="64" spans="1:17" x14ac:dyDescent="0.35">
      <c r="A64" s="2">
        <v>62</v>
      </c>
      <c r="B64" s="2" t="s">
        <v>7</v>
      </c>
      <c r="C64" s="52" t="s">
        <v>601</v>
      </c>
      <c r="D64" s="1">
        <v>80927</v>
      </c>
      <c r="E64" s="54" t="s">
        <v>569</v>
      </c>
      <c r="F64" s="56" t="s">
        <v>570</v>
      </c>
      <c r="G64" s="55"/>
      <c r="H64" s="58">
        <v>2383</v>
      </c>
      <c r="I64" s="52" t="s">
        <v>592</v>
      </c>
      <c r="J64" s="77">
        <v>46565</v>
      </c>
      <c r="K64" s="2">
        <v>0</v>
      </c>
      <c r="L64" s="2">
        <v>0</v>
      </c>
      <c r="M64" s="2"/>
      <c r="N64" s="2"/>
      <c r="O64" s="2"/>
      <c r="P64" s="2">
        <f t="shared" si="5"/>
        <v>2383</v>
      </c>
      <c r="Q64" s="2">
        <f>IFERROR(VLOOKUP(D64,'Cp Conv.'!$A$2:$D$112,4,0),"0")</f>
        <v>1</v>
      </c>
    </row>
    <row r="65" spans="1:17" x14ac:dyDescent="0.35">
      <c r="A65" s="2">
        <v>63</v>
      </c>
      <c r="B65" s="2" t="s">
        <v>7</v>
      </c>
      <c r="C65" s="52" t="s">
        <v>601</v>
      </c>
      <c r="D65" s="1">
        <v>81359</v>
      </c>
      <c r="E65" s="54" t="s">
        <v>569</v>
      </c>
      <c r="F65" s="56" t="s">
        <v>97</v>
      </c>
      <c r="G65" s="55"/>
      <c r="H65" s="58">
        <v>166</v>
      </c>
      <c r="I65" s="52" t="s">
        <v>592</v>
      </c>
      <c r="J65" s="77">
        <v>46565</v>
      </c>
      <c r="K65" s="2">
        <v>32</v>
      </c>
      <c r="L65" s="2">
        <v>166</v>
      </c>
      <c r="M65" s="2"/>
      <c r="N65" s="2"/>
      <c r="O65" s="2"/>
      <c r="P65" s="2">
        <f t="shared" si="5"/>
        <v>332</v>
      </c>
      <c r="Q65" s="2">
        <f>IFERROR(VLOOKUP(D65,'Cp Conv.'!$A$2:$D$112,4,0),"0")</f>
        <v>2</v>
      </c>
    </row>
    <row r="66" spans="1:17" x14ac:dyDescent="0.35">
      <c r="A66" s="2">
        <v>64</v>
      </c>
      <c r="B66" s="2" t="s">
        <v>7</v>
      </c>
      <c r="C66" s="52" t="s">
        <v>601</v>
      </c>
      <c r="D66" s="1">
        <v>61124</v>
      </c>
      <c r="E66" s="54" t="s">
        <v>128</v>
      </c>
      <c r="F66" s="56" t="s">
        <v>97</v>
      </c>
      <c r="G66" s="55">
        <v>228</v>
      </c>
      <c r="H66" s="58">
        <v>8</v>
      </c>
      <c r="I66" s="52" t="s">
        <v>535</v>
      </c>
      <c r="J66" s="77">
        <v>46504</v>
      </c>
      <c r="K66" s="2">
        <v>380</v>
      </c>
      <c r="L66" s="2">
        <v>8</v>
      </c>
      <c r="M66" s="2"/>
      <c r="N66" s="2"/>
      <c r="O66" s="2"/>
      <c r="P66" s="2">
        <f t="shared" si="5"/>
        <v>16</v>
      </c>
      <c r="Q66" s="2">
        <f>IFERROR(VLOOKUP(D66,'Cp Conv.'!$A$2:$D$112,4,0),"0")</f>
        <v>2</v>
      </c>
    </row>
    <row r="67" spans="1:17" x14ac:dyDescent="0.35">
      <c r="A67" s="2">
        <v>65</v>
      </c>
      <c r="B67" s="2" t="s">
        <v>7</v>
      </c>
      <c r="C67" s="52" t="s">
        <v>601</v>
      </c>
      <c r="D67" s="1">
        <v>70897</v>
      </c>
      <c r="E67" s="54" t="s">
        <v>594</v>
      </c>
      <c r="F67" s="56" t="s">
        <v>523</v>
      </c>
      <c r="G67" s="55">
        <v>8</v>
      </c>
      <c r="H67" s="58">
        <v>464</v>
      </c>
      <c r="I67" s="52" t="s">
        <v>623</v>
      </c>
      <c r="J67" s="77">
        <v>46473</v>
      </c>
      <c r="K67" s="2">
        <v>112</v>
      </c>
      <c r="L67" s="2">
        <v>563</v>
      </c>
      <c r="M67" s="2"/>
      <c r="N67" s="2"/>
      <c r="O67" s="2"/>
      <c r="P67" s="2">
        <f t="shared" si="5"/>
        <v>278.39999999999998</v>
      </c>
      <c r="Q67" s="2">
        <f>IFERROR(VLOOKUP(D67,'Cp Conv.'!$A$2:$D$112,4,0),"0")</f>
        <v>0.6</v>
      </c>
    </row>
    <row r="68" spans="1:17" x14ac:dyDescent="0.35">
      <c r="A68" s="2">
        <v>66</v>
      </c>
      <c r="B68" s="2" t="s">
        <v>7</v>
      </c>
      <c r="C68" s="52" t="s">
        <v>601</v>
      </c>
      <c r="D68" s="1">
        <v>87199</v>
      </c>
      <c r="E68" s="54" t="s">
        <v>594</v>
      </c>
      <c r="F68" s="56" t="s">
        <v>572</v>
      </c>
      <c r="G68" s="55">
        <v>221</v>
      </c>
      <c r="H68" s="58">
        <v>672</v>
      </c>
      <c r="I68" s="52" t="s">
        <v>520</v>
      </c>
      <c r="J68" s="77">
        <v>46473</v>
      </c>
      <c r="K68" s="2">
        <v>509</v>
      </c>
      <c r="L68" s="2">
        <v>672</v>
      </c>
      <c r="M68" s="2"/>
      <c r="N68" s="2"/>
      <c r="O68" s="2"/>
      <c r="P68" s="2">
        <f t="shared" si="5"/>
        <v>322.56</v>
      </c>
      <c r="Q68" s="2">
        <f>IFERROR(VLOOKUP(D68,'Cp Conv.'!$A$2:$D$112,4,0),"0")</f>
        <v>0.48</v>
      </c>
    </row>
    <row r="69" spans="1:17" x14ac:dyDescent="0.35">
      <c r="A69" s="2">
        <v>67</v>
      </c>
      <c r="B69" s="2" t="s">
        <v>7</v>
      </c>
      <c r="C69" s="52" t="s">
        <v>601</v>
      </c>
      <c r="D69" s="1">
        <v>53924</v>
      </c>
      <c r="E69" s="17" t="s">
        <v>92</v>
      </c>
      <c r="F69" s="56" t="s">
        <v>538</v>
      </c>
      <c r="G69" s="55">
        <v>24</v>
      </c>
      <c r="H69" s="58">
        <v>14</v>
      </c>
      <c r="I69" s="52" t="s">
        <v>74</v>
      </c>
      <c r="J69" s="76">
        <v>46229</v>
      </c>
      <c r="K69" s="2">
        <v>10</v>
      </c>
      <c r="L69" s="2">
        <v>14</v>
      </c>
      <c r="M69" s="2"/>
      <c r="N69" s="2"/>
      <c r="O69" s="2"/>
      <c r="P69" s="2">
        <f t="shared" ref="P69:P70" si="6">H69*Q69</f>
        <v>70</v>
      </c>
      <c r="Q69" s="2">
        <f>IFERROR(VLOOKUP(D69,'Cp Conv.'!$A$2:$D$112,4,0),"0")</f>
        <v>5</v>
      </c>
    </row>
    <row r="70" spans="1:17" x14ac:dyDescent="0.35">
      <c r="A70" s="2">
        <v>68</v>
      </c>
      <c r="B70" s="2" t="s">
        <v>7</v>
      </c>
      <c r="C70" s="52" t="s">
        <v>601</v>
      </c>
      <c r="D70" s="1">
        <v>58513</v>
      </c>
      <c r="E70" s="17" t="s">
        <v>92</v>
      </c>
      <c r="F70" s="56" t="s">
        <v>567</v>
      </c>
      <c r="G70" s="55">
        <v>456</v>
      </c>
      <c r="H70" s="58">
        <v>223</v>
      </c>
      <c r="I70" s="52" t="s">
        <v>524</v>
      </c>
      <c r="J70" s="77">
        <v>46473</v>
      </c>
      <c r="K70" s="2">
        <v>644</v>
      </c>
      <c r="L70" s="2">
        <v>294</v>
      </c>
      <c r="M70" s="2"/>
      <c r="N70" s="2"/>
      <c r="O70" s="2"/>
      <c r="P70" s="2">
        <f t="shared" si="6"/>
        <v>223</v>
      </c>
      <c r="Q70" s="2">
        <f>IFERROR(VLOOKUP(D70,'Cp Conv.'!$A$2:$D$112,4,0),"0")</f>
        <v>1</v>
      </c>
    </row>
    <row r="71" spans="1:17" x14ac:dyDescent="0.35">
      <c r="A71" s="2">
        <v>69</v>
      </c>
      <c r="B71" s="2" t="s">
        <v>7</v>
      </c>
      <c r="C71" s="52" t="s">
        <v>601</v>
      </c>
      <c r="D71" s="1">
        <v>38776</v>
      </c>
      <c r="E71" s="56" t="s">
        <v>573</v>
      </c>
      <c r="F71" s="56" t="s">
        <v>610</v>
      </c>
      <c r="G71" s="55"/>
      <c r="H71" s="58">
        <v>81</v>
      </c>
      <c r="I71" s="52" t="s">
        <v>586</v>
      </c>
      <c r="J71" s="77">
        <v>46534</v>
      </c>
      <c r="K71" s="2">
        <v>425</v>
      </c>
      <c r="L71" s="2">
        <v>81</v>
      </c>
      <c r="M71" s="2"/>
      <c r="N71" s="2"/>
      <c r="O71" s="2"/>
      <c r="P71" s="2">
        <f t="shared" ref="P71:P74" si="7">H71*Q71</f>
        <v>405</v>
      </c>
      <c r="Q71" s="2">
        <f>IFERROR(VLOOKUP(D71,'Cp Conv.'!$A$2:$D$112,4,0),"0")</f>
        <v>5</v>
      </c>
    </row>
    <row r="72" spans="1:17" x14ac:dyDescent="0.35">
      <c r="A72" s="2">
        <v>70</v>
      </c>
      <c r="B72" s="2" t="s">
        <v>7</v>
      </c>
      <c r="C72" s="52" t="s">
        <v>601</v>
      </c>
      <c r="D72" s="1">
        <v>38775</v>
      </c>
      <c r="E72" s="56" t="s">
        <v>573</v>
      </c>
      <c r="F72" s="56" t="s">
        <v>580</v>
      </c>
      <c r="G72" s="55">
        <v>1062</v>
      </c>
      <c r="H72" s="58">
        <v>126</v>
      </c>
      <c r="I72" s="52" t="s">
        <v>624</v>
      </c>
      <c r="J72" s="77">
        <v>46534</v>
      </c>
      <c r="K72" s="2">
        <v>1652</v>
      </c>
      <c r="L72" s="2">
        <v>126</v>
      </c>
      <c r="M72" s="2"/>
      <c r="N72" s="2"/>
      <c r="O72" s="2"/>
      <c r="P72" s="2">
        <f t="shared" si="7"/>
        <v>378</v>
      </c>
      <c r="Q72" s="2">
        <f>IFERROR(VLOOKUP(D72,'Cp Conv.'!$A$2:$D$112,4,0),"0")</f>
        <v>3</v>
      </c>
    </row>
    <row r="73" spans="1:17" x14ac:dyDescent="0.35">
      <c r="A73" s="2">
        <v>71</v>
      </c>
      <c r="B73" s="2" t="s">
        <v>7</v>
      </c>
      <c r="C73" s="52" t="s">
        <v>601</v>
      </c>
      <c r="D73" s="1">
        <v>16238</v>
      </c>
      <c r="E73" s="17" t="s">
        <v>149</v>
      </c>
      <c r="F73" s="56" t="s">
        <v>148</v>
      </c>
      <c r="G73" s="55">
        <v>278</v>
      </c>
      <c r="H73" s="58">
        <v>61</v>
      </c>
      <c r="I73" s="52" t="s">
        <v>537</v>
      </c>
      <c r="J73" s="77">
        <v>46504</v>
      </c>
      <c r="K73" s="2">
        <v>231</v>
      </c>
      <c r="L73" s="2">
        <v>65</v>
      </c>
      <c r="M73" s="2">
        <v>65</v>
      </c>
      <c r="N73" s="2"/>
      <c r="O73" s="2"/>
      <c r="P73" s="2">
        <f t="shared" si="7"/>
        <v>305</v>
      </c>
      <c r="Q73" s="2">
        <f>IFERROR(VLOOKUP(D73,'Cp Conv.'!$A$2:$D$112,4,0),"0")</f>
        <v>5</v>
      </c>
    </row>
    <row r="74" spans="1:17" x14ac:dyDescent="0.35">
      <c r="A74" s="2">
        <v>72</v>
      </c>
      <c r="B74" s="2" t="s">
        <v>7</v>
      </c>
      <c r="C74" s="52" t="s">
        <v>601</v>
      </c>
      <c r="D74" s="1">
        <v>52537</v>
      </c>
      <c r="E74" s="70" t="s">
        <v>625</v>
      </c>
      <c r="F74" s="63" t="s">
        <v>536</v>
      </c>
      <c r="G74" s="55"/>
      <c r="H74" s="58">
        <v>413</v>
      </c>
      <c r="I74" s="52" t="s">
        <v>596</v>
      </c>
      <c r="J74" s="76">
        <v>46565</v>
      </c>
      <c r="K74" s="2">
        <v>191</v>
      </c>
      <c r="L74" s="2">
        <v>713</v>
      </c>
      <c r="M74" s="2"/>
      <c r="N74" s="2"/>
      <c r="O74" s="2" t="s">
        <v>626</v>
      </c>
      <c r="P74" s="2">
        <f t="shared" si="7"/>
        <v>2065</v>
      </c>
      <c r="Q74" s="2">
        <f>IFERROR(VLOOKUP(D74,'Cp Conv.'!$A$2:$D$112,4,0),"0")</f>
        <v>5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84C1-468C-47A5-984C-F0A97F37B347}">
  <sheetPr codeName="Sheet7" filterMode="1"/>
  <dimension ref="C2:F92"/>
  <sheetViews>
    <sheetView workbookViewId="0">
      <selection activeCell="I83" sqref="I83"/>
    </sheetView>
  </sheetViews>
  <sheetFormatPr defaultRowHeight="14.5" x14ac:dyDescent="0.35"/>
  <cols>
    <col min="3" max="3" width="20.54296875" bestFit="1" customWidth="1"/>
    <col min="4" max="4" width="10.1796875" bestFit="1" customWidth="1"/>
    <col min="5" max="5" width="5.81640625" bestFit="1" customWidth="1"/>
  </cols>
  <sheetData>
    <row r="2" spans="3:6" x14ac:dyDescent="0.35">
      <c r="C2" t="s">
        <v>1</v>
      </c>
      <c r="D2" t="s">
        <v>2</v>
      </c>
      <c r="E2" t="s">
        <v>6</v>
      </c>
      <c r="F2" t="s">
        <v>466</v>
      </c>
    </row>
    <row r="3" spans="3:6" hidden="1" x14ac:dyDescent="0.35">
      <c r="C3" t="s">
        <v>54</v>
      </c>
      <c r="D3" t="s">
        <v>55</v>
      </c>
      <c r="E3">
        <v>40</v>
      </c>
      <c r="F3" s="50">
        <v>45287</v>
      </c>
    </row>
    <row r="4" spans="3:6" x14ac:dyDescent="0.35">
      <c r="C4" t="s">
        <v>50</v>
      </c>
      <c r="D4" t="s">
        <v>214</v>
      </c>
      <c r="E4">
        <v>152</v>
      </c>
      <c r="F4" s="50">
        <v>45377</v>
      </c>
    </row>
    <row r="5" spans="3:6" hidden="1" x14ac:dyDescent="0.35">
      <c r="C5" t="s">
        <v>61</v>
      </c>
      <c r="D5" t="s">
        <v>214</v>
      </c>
      <c r="E5">
        <v>0</v>
      </c>
      <c r="F5" s="50">
        <v>45468</v>
      </c>
    </row>
    <row r="6" spans="3:6" x14ac:dyDescent="0.35">
      <c r="C6" t="s">
        <v>45</v>
      </c>
      <c r="D6" t="s">
        <v>214</v>
      </c>
      <c r="E6">
        <v>9</v>
      </c>
      <c r="F6" s="50">
        <v>45469</v>
      </c>
    </row>
    <row r="7" spans="3:6" hidden="1" x14ac:dyDescent="0.35">
      <c r="C7" t="s">
        <v>8</v>
      </c>
      <c r="D7" t="s">
        <v>44</v>
      </c>
      <c r="E7">
        <v>1740</v>
      </c>
      <c r="F7" s="50">
        <v>45562</v>
      </c>
    </row>
    <row r="8" spans="3:6" x14ac:dyDescent="0.35">
      <c r="C8" t="s">
        <v>49</v>
      </c>
      <c r="D8" t="s">
        <v>31</v>
      </c>
      <c r="E8">
        <v>31.1</v>
      </c>
      <c r="F8" s="50">
        <v>45622</v>
      </c>
    </row>
    <row r="9" spans="3:6" x14ac:dyDescent="0.35">
      <c r="C9" t="s">
        <v>57</v>
      </c>
      <c r="D9" t="s">
        <v>31</v>
      </c>
      <c r="E9">
        <v>7</v>
      </c>
      <c r="F9" s="50">
        <v>45623</v>
      </c>
    </row>
    <row r="10" spans="3:6" x14ac:dyDescent="0.35">
      <c r="C10" t="s">
        <v>57</v>
      </c>
      <c r="D10" t="s">
        <v>39</v>
      </c>
      <c r="E10">
        <v>4.95</v>
      </c>
      <c r="F10" s="50">
        <v>45654</v>
      </c>
    </row>
    <row r="11" spans="3:6" hidden="1" x14ac:dyDescent="0.35">
      <c r="C11" t="s">
        <v>63</v>
      </c>
      <c r="D11" t="s">
        <v>47</v>
      </c>
      <c r="E11">
        <v>0</v>
      </c>
      <c r="F11" s="50">
        <v>45772</v>
      </c>
    </row>
    <row r="12" spans="3:6" hidden="1" x14ac:dyDescent="0.35">
      <c r="C12" t="s">
        <v>58</v>
      </c>
      <c r="D12" t="s">
        <v>229</v>
      </c>
      <c r="E12">
        <v>11430</v>
      </c>
      <c r="F12" s="50">
        <v>45774</v>
      </c>
    </row>
    <row r="13" spans="3:6" x14ac:dyDescent="0.35">
      <c r="C13" t="s">
        <v>231</v>
      </c>
      <c r="D13" t="s">
        <v>31</v>
      </c>
      <c r="E13">
        <v>9.7000000000000011</v>
      </c>
      <c r="F13" s="50">
        <v>45777</v>
      </c>
    </row>
    <row r="14" spans="3:6" hidden="1" x14ac:dyDescent="0.35">
      <c r="C14" t="s">
        <v>50</v>
      </c>
      <c r="D14" t="s">
        <v>214</v>
      </c>
      <c r="E14">
        <v>0</v>
      </c>
      <c r="F14" s="50">
        <v>45804</v>
      </c>
    </row>
    <row r="15" spans="3:6" x14ac:dyDescent="0.35">
      <c r="C15" t="s">
        <v>231</v>
      </c>
      <c r="D15" t="s">
        <v>31</v>
      </c>
      <c r="E15">
        <v>5</v>
      </c>
      <c r="F15" s="50">
        <v>45809</v>
      </c>
    </row>
    <row r="16" spans="3:6" hidden="1" x14ac:dyDescent="0.35">
      <c r="C16" t="s">
        <v>56</v>
      </c>
      <c r="D16" t="s">
        <v>214</v>
      </c>
      <c r="E16">
        <v>0</v>
      </c>
      <c r="F16" s="50">
        <v>45834</v>
      </c>
    </row>
    <row r="17" spans="3:6" hidden="1" x14ac:dyDescent="0.35">
      <c r="C17" t="s">
        <v>54</v>
      </c>
      <c r="D17" t="s">
        <v>229</v>
      </c>
      <c r="E17">
        <v>0</v>
      </c>
      <c r="F17" s="50">
        <v>45897</v>
      </c>
    </row>
    <row r="18" spans="3:6" x14ac:dyDescent="0.35">
      <c r="C18" t="s">
        <v>48</v>
      </c>
      <c r="D18" t="s">
        <v>31</v>
      </c>
      <c r="E18">
        <v>14.3</v>
      </c>
      <c r="F18" s="50">
        <v>45988</v>
      </c>
    </row>
    <row r="19" spans="3:6" hidden="1" x14ac:dyDescent="0.35">
      <c r="C19" t="s">
        <v>58</v>
      </c>
      <c r="D19" t="s">
        <v>229</v>
      </c>
      <c r="E19">
        <v>7110</v>
      </c>
      <c r="F19" s="50">
        <v>45989</v>
      </c>
    </row>
    <row r="20" spans="3:6" hidden="1" x14ac:dyDescent="0.35">
      <c r="C20" t="s">
        <v>62</v>
      </c>
      <c r="D20" t="s">
        <v>31</v>
      </c>
      <c r="E20">
        <v>0</v>
      </c>
      <c r="F20" s="50">
        <v>46016</v>
      </c>
    </row>
    <row r="21" spans="3:6" hidden="1" x14ac:dyDescent="0.35">
      <c r="C21" t="s">
        <v>57</v>
      </c>
      <c r="D21" t="s">
        <v>31</v>
      </c>
      <c r="E21">
        <v>0</v>
      </c>
      <c r="F21" s="50">
        <v>46017</v>
      </c>
    </row>
    <row r="22" spans="3:6" hidden="1" x14ac:dyDescent="0.35">
      <c r="C22" t="s">
        <v>59</v>
      </c>
      <c r="D22" t="s">
        <v>229</v>
      </c>
      <c r="E22">
        <v>0</v>
      </c>
      <c r="F22" s="50">
        <v>46017</v>
      </c>
    </row>
    <row r="23" spans="3:6" x14ac:dyDescent="0.35">
      <c r="C23" t="s">
        <v>41</v>
      </c>
      <c r="D23" t="s">
        <v>31</v>
      </c>
      <c r="E23">
        <v>30.5</v>
      </c>
      <c r="F23" s="50">
        <v>46018</v>
      </c>
    </row>
    <row r="24" spans="3:6" x14ac:dyDescent="0.35">
      <c r="C24" t="s">
        <v>57</v>
      </c>
      <c r="D24" t="s">
        <v>39</v>
      </c>
      <c r="E24">
        <v>15.600000000000001</v>
      </c>
      <c r="F24" s="50">
        <v>46020</v>
      </c>
    </row>
    <row r="25" spans="3:6" x14ac:dyDescent="0.35">
      <c r="C25" t="s">
        <v>51</v>
      </c>
      <c r="D25" t="s">
        <v>31</v>
      </c>
      <c r="E25">
        <v>1.1000000000000001</v>
      </c>
      <c r="F25" s="50">
        <v>46047</v>
      </c>
    </row>
    <row r="26" spans="3:6" hidden="1" x14ac:dyDescent="0.35">
      <c r="C26" t="s">
        <v>221</v>
      </c>
      <c r="D26" t="s">
        <v>31</v>
      </c>
      <c r="E26">
        <v>0</v>
      </c>
      <c r="F26" s="50">
        <v>46047</v>
      </c>
    </row>
    <row r="27" spans="3:6" hidden="1" x14ac:dyDescent="0.35">
      <c r="C27" t="s">
        <v>230</v>
      </c>
      <c r="D27" t="s">
        <v>33</v>
      </c>
      <c r="E27">
        <v>0</v>
      </c>
      <c r="F27" s="50">
        <v>46047</v>
      </c>
    </row>
    <row r="28" spans="3:6" hidden="1" x14ac:dyDescent="0.35">
      <c r="C28" t="s">
        <v>49</v>
      </c>
      <c r="D28" t="s">
        <v>31</v>
      </c>
      <c r="E28">
        <v>0</v>
      </c>
      <c r="F28" s="50">
        <v>46047</v>
      </c>
    </row>
    <row r="29" spans="3:6" hidden="1" x14ac:dyDescent="0.35">
      <c r="C29" t="s">
        <v>222</v>
      </c>
      <c r="D29" t="s">
        <v>47</v>
      </c>
      <c r="E29">
        <v>0</v>
      </c>
      <c r="F29" s="50">
        <v>46047</v>
      </c>
    </row>
    <row r="30" spans="3:6" hidden="1" x14ac:dyDescent="0.35">
      <c r="C30" t="s">
        <v>228</v>
      </c>
      <c r="D30" t="s">
        <v>47</v>
      </c>
      <c r="E30">
        <v>4770</v>
      </c>
      <c r="F30" s="50">
        <v>46079</v>
      </c>
    </row>
    <row r="31" spans="3:6" hidden="1" x14ac:dyDescent="0.35">
      <c r="C31" t="s">
        <v>52</v>
      </c>
      <c r="D31" t="s">
        <v>224</v>
      </c>
      <c r="E31">
        <v>0</v>
      </c>
      <c r="F31" s="50">
        <v>46079</v>
      </c>
    </row>
    <row r="32" spans="3:6" hidden="1" x14ac:dyDescent="0.35">
      <c r="C32" t="s">
        <v>54</v>
      </c>
      <c r="D32" t="s">
        <v>229</v>
      </c>
      <c r="E32">
        <v>0</v>
      </c>
      <c r="F32" s="50">
        <v>46079</v>
      </c>
    </row>
    <row r="33" spans="3:6" hidden="1" x14ac:dyDescent="0.35">
      <c r="C33" t="s">
        <v>51</v>
      </c>
      <c r="D33" t="s">
        <v>31</v>
      </c>
      <c r="E33">
        <v>0</v>
      </c>
      <c r="F33" s="50">
        <v>46106</v>
      </c>
    </row>
    <row r="34" spans="3:6" x14ac:dyDescent="0.35">
      <c r="C34" t="s">
        <v>45</v>
      </c>
      <c r="D34" t="s">
        <v>214</v>
      </c>
      <c r="E34">
        <v>1207</v>
      </c>
      <c r="F34" s="50">
        <v>46107</v>
      </c>
    </row>
    <row r="35" spans="3:6" x14ac:dyDescent="0.35">
      <c r="C35" t="s">
        <v>46</v>
      </c>
      <c r="D35" t="s">
        <v>33</v>
      </c>
      <c r="E35">
        <v>366</v>
      </c>
      <c r="F35" s="50">
        <v>46107</v>
      </c>
    </row>
    <row r="36" spans="3:6" hidden="1" x14ac:dyDescent="0.35">
      <c r="C36" t="s">
        <v>59</v>
      </c>
      <c r="D36" t="s">
        <v>229</v>
      </c>
      <c r="E36">
        <v>21660</v>
      </c>
      <c r="F36" s="50">
        <v>46107</v>
      </c>
    </row>
    <row r="37" spans="3:6" hidden="1" x14ac:dyDescent="0.35">
      <c r="C37" t="s">
        <v>64</v>
      </c>
      <c r="D37" t="s">
        <v>233</v>
      </c>
      <c r="E37">
        <v>44880</v>
      </c>
      <c r="F37" s="50">
        <v>46107</v>
      </c>
    </row>
    <row r="38" spans="3:6" x14ac:dyDescent="0.35">
      <c r="C38" t="s">
        <v>35</v>
      </c>
      <c r="D38" t="s">
        <v>33</v>
      </c>
      <c r="E38">
        <v>60</v>
      </c>
      <c r="F38" s="50">
        <v>46137</v>
      </c>
    </row>
    <row r="39" spans="3:6" hidden="1" x14ac:dyDescent="0.35">
      <c r="C39" t="s">
        <v>46</v>
      </c>
      <c r="D39" t="s">
        <v>33</v>
      </c>
      <c r="E39">
        <v>0</v>
      </c>
      <c r="F39" s="50">
        <v>46138</v>
      </c>
    </row>
    <row r="40" spans="3:6" hidden="1" x14ac:dyDescent="0.35">
      <c r="C40" t="s">
        <v>215</v>
      </c>
      <c r="D40" t="s">
        <v>33</v>
      </c>
      <c r="E40">
        <v>0</v>
      </c>
      <c r="F40" s="50">
        <v>46138</v>
      </c>
    </row>
    <row r="41" spans="3:6" hidden="1" x14ac:dyDescent="0.35">
      <c r="C41" t="s">
        <v>61</v>
      </c>
      <c r="D41" t="s">
        <v>214</v>
      </c>
      <c r="E41">
        <v>0</v>
      </c>
      <c r="F41" s="50">
        <v>46167</v>
      </c>
    </row>
    <row r="42" spans="3:6" x14ac:dyDescent="0.35">
      <c r="C42" t="s">
        <v>32</v>
      </c>
      <c r="D42" t="s">
        <v>31</v>
      </c>
      <c r="E42">
        <v>18.7</v>
      </c>
      <c r="F42" s="50">
        <v>46167</v>
      </c>
    </row>
    <row r="43" spans="3:6" hidden="1" x14ac:dyDescent="0.35">
      <c r="C43" t="s">
        <v>56</v>
      </c>
      <c r="D43" t="s">
        <v>214</v>
      </c>
      <c r="E43">
        <v>0</v>
      </c>
      <c r="F43" s="50">
        <v>46167</v>
      </c>
    </row>
    <row r="44" spans="3:6" hidden="1" x14ac:dyDescent="0.35">
      <c r="C44" t="s">
        <v>230</v>
      </c>
      <c r="D44" t="s">
        <v>33</v>
      </c>
      <c r="E44">
        <v>0</v>
      </c>
      <c r="F44" s="50">
        <v>46167</v>
      </c>
    </row>
    <row r="45" spans="3:6" hidden="1" x14ac:dyDescent="0.35">
      <c r="C45" t="s">
        <v>60</v>
      </c>
      <c r="D45" t="s">
        <v>229</v>
      </c>
      <c r="E45">
        <v>2070</v>
      </c>
      <c r="F45" s="50">
        <v>46167</v>
      </c>
    </row>
    <row r="46" spans="3:6" hidden="1" x14ac:dyDescent="0.35">
      <c r="C46" t="s">
        <v>217</v>
      </c>
      <c r="D46" t="s">
        <v>33</v>
      </c>
      <c r="E46">
        <v>0</v>
      </c>
      <c r="F46" s="50">
        <v>46167</v>
      </c>
    </row>
    <row r="47" spans="3:6" hidden="1" x14ac:dyDescent="0.35">
      <c r="C47" t="s">
        <v>218</v>
      </c>
      <c r="D47" t="s">
        <v>31</v>
      </c>
      <c r="E47">
        <v>0</v>
      </c>
      <c r="F47" s="50">
        <v>46168</v>
      </c>
    </row>
    <row r="48" spans="3:6" hidden="1" x14ac:dyDescent="0.35">
      <c r="C48" t="s">
        <v>64</v>
      </c>
      <c r="D48" t="s">
        <v>233</v>
      </c>
      <c r="E48">
        <v>3270</v>
      </c>
      <c r="F48" s="50">
        <v>46168</v>
      </c>
    </row>
    <row r="49" spans="3:6" x14ac:dyDescent="0.35">
      <c r="C49" t="s">
        <v>34</v>
      </c>
      <c r="D49" t="s">
        <v>33</v>
      </c>
      <c r="E49">
        <v>3</v>
      </c>
      <c r="F49" s="50">
        <v>46198</v>
      </c>
    </row>
    <row r="50" spans="3:6" hidden="1" x14ac:dyDescent="0.35">
      <c r="C50" t="s">
        <v>9</v>
      </c>
      <c r="D50" t="s">
        <v>224</v>
      </c>
      <c r="E50">
        <v>240</v>
      </c>
      <c r="F50" s="50">
        <v>46198</v>
      </c>
    </row>
    <row r="51" spans="3:6" hidden="1" x14ac:dyDescent="0.35">
      <c r="C51" t="s">
        <v>8</v>
      </c>
      <c r="D51" t="s">
        <v>219</v>
      </c>
      <c r="E51">
        <v>725</v>
      </c>
      <c r="F51" s="50">
        <v>46198</v>
      </c>
    </row>
    <row r="52" spans="3:6" hidden="1" x14ac:dyDescent="0.35">
      <c r="C52" t="s">
        <v>8</v>
      </c>
      <c r="D52" t="s">
        <v>219</v>
      </c>
      <c r="E52">
        <v>50</v>
      </c>
      <c r="F52" s="50">
        <v>46199</v>
      </c>
    </row>
    <row r="53" spans="3:6" hidden="1" x14ac:dyDescent="0.35">
      <c r="C53" t="s">
        <v>53</v>
      </c>
      <c r="D53" t="s">
        <v>224</v>
      </c>
      <c r="E53">
        <v>33300</v>
      </c>
      <c r="F53" s="50">
        <v>46199</v>
      </c>
    </row>
    <row r="54" spans="3:6" x14ac:dyDescent="0.35">
      <c r="C54" t="s">
        <v>40</v>
      </c>
      <c r="D54" t="s">
        <v>31</v>
      </c>
      <c r="E54">
        <v>1.2000000000000002</v>
      </c>
      <c r="F54" s="50">
        <v>46228</v>
      </c>
    </row>
    <row r="55" spans="3:6" x14ac:dyDescent="0.35">
      <c r="C55" t="s">
        <v>41</v>
      </c>
      <c r="D55" t="s">
        <v>31</v>
      </c>
      <c r="E55">
        <v>0.30000000000000004</v>
      </c>
      <c r="F55" s="50">
        <v>46228</v>
      </c>
    </row>
    <row r="56" spans="3:6" x14ac:dyDescent="0.35">
      <c r="C56" t="s">
        <v>32</v>
      </c>
      <c r="D56" t="s">
        <v>31</v>
      </c>
      <c r="E56">
        <v>0.2</v>
      </c>
      <c r="F56" s="50">
        <v>46259</v>
      </c>
    </row>
    <row r="57" spans="3:6" x14ac:dyDescent="0.35">
      <c r="C57" t="s">
        <v>40</v>
      </c>
      <c r="D57" t="s">
        <v>31</v>
      </c>
      <c r="E57">
        <v>12.9</v>
      </c>
      <c r="F57" s="50">
        <v>46259</v>
      </c>
    </row>
    <row r="58" spans="3:6" x14ac:dyDescent="0.35">
      <c r="C58" t="s">
        <v>79</v>
      </c>
      <c r="D58" t="s">
        <v>31</v>
      </c>
      <c r="E58">
        <v>2</v>
      </c>
      <c r="F58" s="50">
        <v>46259</v>
      </c>
    </row>
    <row r="59" spans="3:6" x14ac:dyDescent="0.35">
      <c r="C59" t="s">
        <v>10</v>
      </c>
      <c r="D59" t="s">
        <v>31</v>
      </c>
      <c r="E59">
        <v>2.3000000000000003</v>
      </c>
      <c r="F59" s="50">
        <v>46259</v>
      </c>
    </row>
    <row r="60" spans="3:6" x14ac:dyDescent="0.35">
      <c r="C60" t="s">
        <v>38</v>
      </c>
      <c r="D60" t="s">
        <v>39</v>
      </c>
      <c r="E60">
        <v>3.3500000000000005</v>
      </c>
      <c r="F60" s="50">
        <v>46259</v>
      </c>
    </row>
    <row r="61" spans="3:6" x14ac:dyDescent="0.35">
      <c r="C61" t="s">
        <v>223</v>
      </c>
      <c r="D61" t="s">
        <v>31</v>
      </c>
      <c r="E61">
        <v>476.6</v>
      </c>
      <c r="F61" s="50">
        <v>46260</v>
      </c>
    </row>
    <row r="62" spans="3:6" x14ac:dyDescent="0.35">
      <c r="C62" t="s">
        <v>225</v>
      </c>
      <c r="D62" t="s">
        <v>31</v>
      </c>
      <c r="E62">
        <v>6.6000000000000005</v>
      </c>
      <c r="F62" s="50">
        <v>46260</v>
      </c>
    </row>
    <row r="63" spans="3:6" x14ac:dyDescent="0.35">
      <c r="C63" t="s">
        <v>208</v>
      </c>
      <c r="D63" t="s">
        <v>209</v>
      </c>
      <c r="E63">
        <v>310</v>
      </c>
      <c r="F63" s="50">
        <v>46290</v>
      </c>
    </row>
    <row r="64" spans="3:6" x14ac:dyDescent="0.35">
      <c r="C64" t="s">
        <v>43</v>
      </c>
      <c r="D64" t="s">
        <v>31</v>
      </c>
      <c r="E64">
        <v>0.30000000000000004</v>
      </c>
      <c r="F64" s="50">
        <v>46290</v>
      </c>
    </row>
    <row r="65" spans="3:6" x14ac:dyDescent="0.35">
      <c r="C65" t="s">
        <v>42</v>
      </c>
      <c r="D65" t="s">
        <v>31</v>
      </c>
      <c r="E65">
        <v>6.3000000000000007</v>
      </c>
      <c r="F65" s="50">
        <v>46290</v>
      </c>
    </row>
    <row r="66" spans="3:6" x14ac:dyDescent="0.35">
      <c r="C66" t="s">
        <v>77</v>
      </c>
      <c r="D66" t="s">
        <v>31</v>
      </c>
      <c r="E66">
        <v>2.5</v>
      </c>
      <c r="F66" s="50">
        <v>46290</v>
      </c>
    </row>
    <row r="67" spans="3:6" x14ac:dyDescent="0.35">
      <c r="C67" t="s">
        <v>37</v>
      </c>
      <c r="D67" t="s">
        <v>31</v>
      </c>
      <c r="E67">
        <v>2.5</v>
      </c>
      <c r="F67" s="50">
        <v>46290</v>
      </c>
    </row>
    <row r="68" spans="3:6" x14ac:dyDescent="0.35">
      <c r="C68" t="s">
        <v>37</v>
      </c>
      <c r="D68" t="s">
        <v>39</v>
      </c>
      <c r="E68">
        <v>2</v>
      </c>
      <c r="F68" s="50">
        <v>46290</v>
      </c>
    </row>
    <row r="69" spans="3:6" x14ac:dyDescent="0.35">
      <c r="C69" t="s">
        <v>36</v>
      </c>
      <c r="D69" t="s">
        <v>31</v>
      </c>
      <c r="E69">
        <v>14.5</v>
      </c>
      <c r="F69" s="50">
        <v>46290</v>
      </c>
    </row>
    <row r="70" spans="3:6" x14ac:dyDescent="0.35">
      <c r="C70" t="s">
        <v>10</v>
      </c>
      <c r="D70" t="s">
        <v>39</v>
      </c>
      <c r="E70">
        <v>2.0500000000000003</v>
      </c>
      <c r="F70" s="50">
        <v>46290</v>
      </c>
    </row>
    <row r="71" spans="3:6" x14ac:dyDescent="0.35">
      <c r="C71" t="s">
        <v>37</v>
      </c>
      <c r="D71" t="s">
        <v>39</v>
      </c>
      <c r="E71">
        <v>1.5</v>
      </c>
      <c r="F71" s="50">
        <v>46290</v>
      </c>
    </row>
    <row r="72" spans="3:6" x14ac:dyDescent="0.35">
      <c r="C72" t="s">
        <v>231</v>
      </c>
      <c r="D72" t="s">
        <v>31</v>
      </c>
      <c r="E72">
        <v>3.5</v>
      </c>
      <c r="F72" s="50">
        <v>46291</v>
      </c>
    </row>
    <row r="73" spans="3:6" x14ac:dyDescent="0.35">
      <c r="C73" t="s">
        <v>36</v>
      </c>
      <c r="D73" t="s">
        <v>31</v>
      </c>
      <c r="E73">
        <v>51.1</v>
      </c>
      <c r="F73" s="50">
        <v>46291</v>
      </c>
    </row>
    <row r="74" spans="3:6" x14ac:dyDescent="0.35">
      <c r="C74" t="s">
        <v>237</v>
      </c>
      <c r="D74" t="s">
        <v>39</v>
      </c>
      <c r="E74">
        <v>15.25</v>
      </c>
      <c r="F74" s="50">
        <v>46291</v>
      </c>
    </row>
    <row r="75" spans="3:6" x14ac:dyDescent="0.35">
      <c r="C75" t="s">
        <v>197</v>
      </c>
      <c r="D75" t="s">
        <v>31</v>
      </c>
      <c r="E75">
        <v>5.2</v>
      </c>
      <c r="F75" s="50">
        <v>46320</v>
      </c>
    </row>
    <row r="76" spans="3:6" x14ac:dyDescent="0.35">
      <c r="C76" t="s">
        <v>78</v>
      </c>
      <c r="D76" t="s">
        <v>39</v>
      </c>
      <c r="E76">
        <v>1.1500000000000001</v>
      </c>
      <c r="F76" s="50">
        <v>46320</v>
      </c>
    </row>
    <row r="77" spans="3:6" hidden="1" x14ac:dyDescent="0.35">
      <c r="C77" t="s">
        <v>226</v>
      </c>
      <c r="D77" t="s">
        <v>227</v>
      </c>
      <c r="E77">
        <v>10350</v>
      </c>
      <c r="F77" s="50">
        <v>46321</v>
      </c>
    </row>
    <row r="78" spans="3:6" x14ac:dyDescent="0.35">
      <c r="C78" t="s">
        <v>202</v>
      </c>
      <c r="D78" t="s">
        <v>31</v>
      </c>
      <c r="E78">
        <v>1.2000000000000002</v>
      </c>
      <c r="F78" s="50">
        <v>46351</v>
      </c>
    </row>
    <row r="79" spans="3:6" x14ac:dyDescent="0.35">
      <c r="C79" t="s">
        <v>197</v>
      </c>
      <c r="D79" t="s">
        <v>31</v>
      </c>
      <c r="E79">
        <v>18.600000000000001</v>
      </c>
      <c r="F79" s="50">
        <v>46351</v>
      </c>
    </row>
    <row r="80" spans="3:6" x14ac:dyDescent="0.35">
      <c r="C80" t="s">
        <v>200</v>
      </c>
      <c r="D80" t="s">
        <v>39</v>
      </c>
      <c r="E80">
        <v>1</v>
      </c>
      <c r="F80" s="50">
        <v>46351</v>
      </c>
    </row>
    <row r="81" spans="3:6" x14ac:dyDescent="0.35">
      <c r="C81" t="s">
        <v>213</v>
      </c>
      <c r="D81" t="s">
        <v>214</v>
      </c>
      <c r="E81">
        <v>34</v>
      </c>
      <c r="F81" s="50">
        <v>46351</v>
      </c>
    </row>
    <row r="82" spans="3:6" x14ac:dyDescent="0.35">
      <c r="C82" t="s">
        <v>41</v>
      </c>
      <c r="D82" t="s">
        <v>31</v>
      </c>
      <c r="E82">
        <v>2</v>
      </c>
      <c r="F82" s="50">
        <v>46351</v>
      </c>
    </row>
    <row r="83" spans="3:6" x14ac:dyDescent="0.35">
      <c r="C83" t="s">
        <v>206</v>
      </c>
      <c r="D83" t="s">
        <v>31</v>
      </c>
      <c r="E83">
        <v>7.1</v>
      </c>
      <c r="F83" s="50">
        <v>46351</v>
      </c>
    </row>
    <row r="84" spans="3:6" x14ac:dyDescent="0.35">
      <c r="C84" t="s">
        <v>197</v>
      </c>
      <c r="D84" t="s">
        <v>31</v>
      </c>
      <c r="E84">
        <v>72.5</v>
      </c>
      <c r="F84" s="50">
        <v>46352</v>
      </c>
    </row>
    <row r="85" spans="3:6" x14ac:dyDescent="0.35">
      <c r="C85" t="s">
        <v>223</v>
      </c>
      <c r="D85" t="s">
        <v>31</v>
      </c>
      <c r="E85">
        <v>182.9</v>
      </c>
      <c r="F85" s="50">
        <v>46352</v>
      </c>
    </row>
    <row r="86" spans="3:6" hidden="1" x14ac:dyDescent="0.35">
      <c r="C86" t="s">
        <v>58</v>
      </c>
      <c r="D86" t="s">
        <v>229</v>
      </c>
      <c r="E86">
        <v>45330</v>
      </c>
      <c r="F86" s="50">
        <v>46352</v>
      </c>
    </row>
    <row r="87" spans="3:6" x14ac:dyDescent="0.35">
      <c r="C87" t="s">
        <v>225</v>
      </c>
      <c r="D87" t="s">
        <v>31</v>
      </c>
      <c r="E87">
        <v>19.700000000000003</v>
      </c>
      <c r="F87" s="50">
        <v>46352</v>
      </c>
    </row>
    <row r="88" spans="3:6" hidden="1" x14ac:dyDescent="0.35">
      <c r="C88" t="s">
        <v>232</v>
      </c>
      <c r="D88" t="s">
        <v>47</v>
      </c>
      <c r="E88">
        <v>26220</v>
      </c>
      <c r="F88" s="50">
        <v>46352</v>
      </c>
    </row>
    <row r="89" spans="3:6" hidden="1" x14ac:dyDescent="0.35">
      <c r="C89" t="s">
        <v>63</v>
      </c>
      <c r="D89" t="s">
        <v>47</v>
      </c>
      <c r="E89">
        <v>0</v>
      </c>
      <c r="F89" s="50">
        <v>46352</v>
      </c>
    </row>
    <row r="90" spans="3:6" x14ac:dyDescent="0.35">
      <c r="C90" t="s">
        <v>213</v>
      </c>
      <c r="D90" t="s">
        <v>214</v>
      </c>
      <c r="E90">
        <v>83</v>
      </c>
      <c r="F90" s="50">
        <v>46381</v>
      </c>
    </row>
    <row r="91" spans="3:6" x14ac:dyDescent="0.35">
      <c r="C91" t="s">
        <v>35</v>
      </c>
      <c r="D91" t="s">
        <v>33</v>
      </c>
      <c r="E91">
        <v>163</v>
      </c>
      <c r="F91" s="50">
        <v>46381</v>
      </c>
    </row>
    <row r="92" spans="3:6" hidden="1" x14ac:dyDescent="0.35">
      <c r="C92" t="s">
        <v>197</v>
      </c>
      <c r="D92" t="s">
        <v>39</v>
      </c>
      <c r="E92">
        <v>0</v>
      </c>
      <c r="F92" s="50">
        <v>46412</v>
      </c>
    </row>
  </sheetData>
  <autoFilter ref="C2:F92" xr:uid="{3C8884C1-468C-47A5-984C-F0A97F37B347}">
    <filterColumn colId="1">
      <filters>
        <filter val="10 x 100 gm"/>
        <filter val="10x100 gm"/>
        <filter val="10x100gm"/>
        <filter val="10x10gm"/>
        <filter val="10X5gm"/>
      </filters>
    </filterColumn>
    <filterColumn colId="2">
      <filters>
        <filter val="0.2"/>
        <filter val="0.3"/>
        <filter val="1"/>
        <filter val="1.1"/>
        <filter val="1.15"/>
        <filter val="1.2"/>
        <filter val="1.5"/>
        <filter val="10350"/>
        <filter val="11430"/>
        <filter val="12.9"/>
        <filter val="1207"/>
        <filter val="14.3"/>
        <filter val="14.5"/>
        <filter val="15.25"/>
        <filter val="15.6"/>
        <filter val="152"/>
        <filter val="163"/>
        <filter val="1740"/>
        <filter val="18.6"/>
        <filter val="18.7"/>
        <filter val="182.9"/>
        <filter val="19.7"/>
        <filter val="2"/>
        <filter val="2.05"/>
        <filter val="2.3"/>
        <filter val="2.5"/>
        <filter val="2070"/>
        <filter val="21660"/>
        <filter val="240"/>
        <filter val="26220"/>
        <filter val="3"/>
        <filter val="3.35"/>
        <filter val="3.5"/>
        <filter val="30.5"/>
        <filter val="31.1"/>
        <filter val="310"/>
        <filter val="3270"/>
        <filter val="33300"/>
        <filter val="34"/>
        <filter val="366"/>
        <filter val="4.95"/>
        <filter val="40"/>
        <filter val="44880"/>
        <filter val="45330"/>
        <filter val="476.6"/>
        <filter val="4770"/>
        <filter val="5"/>
        <filter val="5.2"/>
        <filter val="50"/>
        <filter val="51.1"/>
        <filter val="6.3"/>
        <filter val="6.6"/>
        <filter val="60"/>
        <filter val="7"/>
        <filter val="7.1"/>
        <filter val="7110"/>
        <filter val="72.5"/>
        <filter val="725"/>
        <filter val="83"/>
        <filter val="9"/>
        <filter val="9.7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3E45-86FC-45AB-B36A-43A101078B66}">
  <dimension ref="A3:F73"/>
  <sheetViews>
    <sheetView workbookViewId="0">
      <selection activeCell="F52" sqref="F52"/>
    </sheetView>
  </sheetViews>
  <sheetFormatPr defaultRowHeight="14.5" x14ac:dyDescent="0.35"/>
  <cols>
    <col min="1" max="1" width="20" bestFit="1" customWidth="1"/>
    <col min="2" max="2" width="10.7265625" bestFit="1" customWidth="1"/>
    <col min="3" max="3" width="20.1796875" bestFit="1" customWidth="1"/>
    <col min="4" max="4" width="10.81640625" bestFit="1" customWidth="1"/>
    <col min="5" max="5" width="19.90625" bestFit="1" customWidth="1"/>
    <col min="6" max="6" width="11.453125" bestFit="1" customWidth="1"/>
  </cols>
  <sheetData>
    <row r="3" spans="1:6" x14ac:dyDescent="0.35">
      <c r="E3" s="3" t="s">
        <v>516</v>
      </c>
    </row>
    <row r="4" spans="1:6" x14ac:dyDescent="0.35">
      <c r="A4" s="3" t="s">
        <v>3</v>
      </c>
      <c r="B4" s="3" t="s">
        <v>0</v>
      </c>
      <c r="C4" s="3" t="s">
        <v>1</v>
      </c>
      <c r="D4" s="3" t="s">
        <v>554</v>
      </c>
      <c r="E4" t="s">
        <v>515</v>
      </c>
      <c r="F4" t="s">
        <v>517</v>
      </c>
    </row>
    <row r="5" spans="1:6" x14ac:dyDescent="0.35">
      <c r="A5" s="50">
        <v>45271</v>
      </c>
      <c r="B5">
        <v>4137319</v>
      </c>
      <c r="C5" t="s">
        <v>54</v>
      </c>
      <c r="D5" t="s">
        <v>55</v>
      </c>
      <c r="E5">
        <v>2</v>
      </c>
      <c r="F5">
        <v>40</v>
      </c>
    </row>
    <row r="6" spans="1:6" x14ac:dyDescent="0.35">
      <c r="A6" s="50">
        <v>45355</v>
      </c>
      <c r="B6">
        <v>4101765</v>
      </c>
      <c r="C6" t="s">
        <v>50</v>
      </c>
      <c r="D6" t="s">
        <v>214</v>
      </c>
      <c r="E6">
        <v>150</v>
      </c>
      <c r="F6">
        <v>150</v>
      </c>
    </row>
    <row r="7" spans="1:6" x14ac:dyDescent="0.35">
      <c r="A7" s="50">
        <v>45546</v>
      </c>
      <c r="B7">
        <v>4144176</v>
      </c>
      <c r="C7" t="s">
        <v>8</v>
      </c>
      <c r="D7" t="s">
        <v>44</v>
      </c>
      <c r="E7">
        <v>174</v>
      </c>
      <c r="F7">
        <v>1740</v>
      </c>
    </row>
    <row r="8" spans="1:6" x14ac:dyDescent="0.35">
      <c r="A8" s="50">
        <v>45716</v>
      </c>
      <c r="B8">
        <v>4181094</v>
      </c>
      <c r="C8" t="s">
        <v>53</v>
      </c>
      <c r="D8" t="s">
        <v>224</v>
      </c>
      <c r="E8">
        <v>202</v>
      </c>
      <c r="F8">
        <v>6060</v>
      </c>
    </row>
    <row r="9" spans="1:6" x14ac:dyDescent="0.35">
      <c r="A9" s="50">
        <v>45750</v>
      </c>
      <c r="B9">
        <v>4160722</v>
      </c>
      <c r="C9" t="s">
        <v>63</v>
      </c>
      <c r="D9" t="s">
        <v>47</v>
      </c>
      <c r="E9">
        <v>172</v>
      </c>
      <c r="F9">
        <v>5160</v>
      </c>
    </row>
    <row r="10" spans="1:6" x14ac:dyDescent="0.35">
      <c r="A10" s="50">
        <v>45750</v>
      </c>
      <c r="B10">
        <v>4165682</v>
      </c>
      <c r="C10" t="s">
        <v>547</v>
      </c>
      <c r="D10" t="s">
        <v>229</v>
      </c>
      <c r="E10">
        <v>172</v>
      </c>
      <c r="F10">
        <v>5160</v>
      </c>
    </row>
    <row r="11" spans="1:6" x14ac:dyDescent="0.35">
      <c r="A11" s="50">
        <v>45839</v>
      </c>
      <c r="B11">
        <v>4118665</v>
      </c>
      <c r="C11" t="s">
        <v>231</v>
      </c>
      <c r="D11" t="s">
        <v>234</v>
      </c>
      <c r="E11">
        <v>50</v>
      </c>
      <c r="F11">
        <v>5</v>
      </c>
    </row>
    <row r="12" spans="1:6" x14ac:dyDescent="0.35">
      <c r="A12" s="50">
        <v>45966</v>
      </c>
      <c r="B12">
        <v>254871</v>
      </c>
      <c r="C12" t="s">
        <v>48</v>
      </c>
      <c r="D12" t="s">
        <v>203</v>
      </c>
      <c r="E12">
        <v>143</v>
      </c>
      <c r="F12">
        <v>14.3</v>
      </c>
    </row>
    <row r="13" spans="1:6" x14ac:dyDescent="0.35">
      <c r="A13" s="50">
        <v>45966</v>
      </c>
      <c r="B13">
        <v>4165670</v>
      </c>
      <c r="C13" t="s">
        <v>548</v>
      </c>
      <c r="D13" t="s">
        <v>229</v>
      </c>
      <c r="E13">
        <v>211</v>
      </c>
      <c r="F13">
        <v>6330</v>
      </c>
    </row>
    <row r="14" spans="1:6" x14ac:dyDescent="0.35">
      <c r="A14" s="50">
        <v>46089</v>
      </c>
      <c r="B14">
        <v>351343</v>
      </c>
      <c r="C14" t="s">
        <v>45</v>
      </c>
      <c r="D14" t="s">
        <v>214</v>
      </c>
      <c r="E14">
        <v>938</v>
      </c>
      <c r="F14">
        <v>938</v>
      </c>
    </row>
    <row r="15" spans="1:6" x14ac:dyDescent="0.35">
      <c r="A15" s="50">
        <v>46089</v>
      </c>
      <c r="B15">
        <v>4132141</v>
      </c>
      <c r="C15" t="s">
        <v>46</v>
      </c>
      <c r="D15" t="s">
        <v>216</v>
      </c>
      <c r="E15">
        <v>234</v>
      </c>
      <c r="F15">
        <v>234</v>
      </c>
    </row>
    <row r="16" spans="1:6" x14ac:dyDescent="0.35">
      <c r="A16" s="50">
        <v>46089</v>
      </c>
      <c r="B16">
        <v>4165680</v>
      </c>
      <c r="C16" t="s">
        <v>549</v>
      </c>
      <c r="D16" t="s">
        <v>229</v>
      </c>
      <c r="E16">
        <v>722</v>
      </c>
      <c r="F16">
        <v>21660</v>
      </c>
    </row>
    <row r="17" spans="1:6" x14ac:dyDescent="0.35">
      <c r="A17" s="50">
        <v>46145</v>
      </c>
      <c r="B17">
        <v>4165668</v>
      </c>
      <c r="C17" t="s">
        <v>60</v>
      </c>
      <c r="D17" t="s">
        <v>229</v>
      </c>
      <c r="E17">
        <v>69</v>
      </c>
      <c r="F17">
        <v>2070</v>
      </c>
    </row>
    <row r="18" spans="1:6" x14ac:dyDescent="0.35">
      <c r="A18" s="50">
        <v>46167</v>
      </c>
      <c r="B18">
        <v>4170972</v>
      </c>
      <c r="C18" t="s">
        <v>64</v>
      </c>
      <c r="D18" t="s">
        <v>233</v>
      </c>
      <c r="E18">
        <v>109</v>
      </c>
      <c r="F18">
        <v>3270</v>
      </c>
    </row>
    <row r="19" spans="1:6" x14ac:dyDescent="0.35">
      <c r="A19" s="50">
        <v>46179</v>
      </c>
      <c r="B19">
        <v>4181094</v>
      </c>
      <c r="C19" t="s">
        <v>53</v>
      </c>
      <c r="D19" t="s">
        <v>224</v>
      </c>
      <c r="E19">
        <v>59</v>
      </c>
      <c r="F19">
        <v>1770</v>
      </c>
    </row>
    <row r="20" spans="1:6" x14ac:dyDescent="0.35">
      <c r="A20" s="50">
        <v>46208</v>
      </c>
      <c r="B20">
        <v>4226245</v>
      </c>
      <c r="C20" t="s">
        <v>358</v>
      </c>
      <c r="D20" t="s">
        <v>229</v>
      </c>
      <c r="E20">
        <v>1</v>
      </c>
      <c r="F20">
        <v>30</v>
      </c>
    </row>
    <row r="21" spans="1:6" x14ac:dyDescent="0.35">
      <c r="A21" s="50">
        <v>46289</v>
      </c>
      <c r="B21">
        <v>4118665</v>
      </c>
      <c r="C21" t="s">
        <v>231</v>
      </c>
      <c r="D21" t="s">
        <v>234</v>
      </c>
      <c r="E21">
        <v>60</v>
      </c>
      <c r="F21">
        <v>6</v>
      </c>
    </row>
    <row r="22" spans="1:6" x14ac:dyDescent="0.35">
      <c r="A22" s="50">
        <v>46309</v>
      </c>
      <c r="B22">
        <v>4158231</v>
      </c>
      <c r="C22" t="s">
        <v>212</v>
      </c>
      <c r="D22" t="s">
        <v>39</v>
      </c>
      <c r="E22">
        <v>352</v>
      </c>
      <c r="F22">
        <v>35.200000000000003</v>
      </c>
    </row>
    <row r="23" spans="1:6" x14ac:dyDescent="0.35">
      <c r="A23" s="50">
        <v>46337</v>
      </c>
      <c r="B23">
        <v>4160722</v>
      </c>
      <c r="C23" t="s">
        <v>63</v>
      </c>
      <c r="D23" t="s">
        <v>47</v>
      </c>
      <c r="E23">
        <v>21</v>
      </c>
      <c r="F23">
        <v>630</v>
      </c>
    </row>
    <row r="24" spans="1:6" x14ac:dyDescent="0.35">
      <c r="A24" s="50">
        <v>46347</v>
      </c>
      <c r="B24">
        <v>4165670</v>
      </c>
      <c r="C24" t="s">
        <v>548</v>
      </c>
      <c r="D24" t="s">
        <v>229</v>
      </c>
      <c r="E24">
        <v>1095</v>
      </c>
      <c r="F24">
        <v>32850</v>
      </c>
    </row>
    <row r="25" spans="1:6" x14ac:dyDescent="0.35">
      <c r="A25" s="50">
        <v>46348</v>
      </c>
      <c r="B25">
        <v>4187261</v>
      </c>
      <c r="C25" t="s">
        <v>232</v>
      </c>
      <c r="D25" t="s">
        <v>47</v>
      </c>
      <c r="E25">
        <v>1287</v>
      </c>
      <c r="F25">
        <v>38610</v>
      </c>
    </row>
    <row r="26" spans="1:6" x14ac:dyDescent="0.35">
      <c r="A26" s="50">
        <v>46352</v>
      </c>
      <c r="B26">
        <v>4165670</v>
      </c>
      <c r="C26" t="s">
        <v>414</v>
      </c>
      <c r="D26" t="s">
        <v>224</v>
      </c>
      <c r="E26">
        <v>225</v>
      </c>
      <c r="F26">
        <v>6750</v>
      </c>
    </row>
    <row r="27" spans="1:6" x14ac:dyDescent="0.35">
      <c r="A27" s="50">
        <v>46366</v>
      </c>
      <c r="B27">
        <v>4178643</v>
      </c>
      <c r="C27" t="s">
        <v>228</v>
      </c>
      <c r="D27" t="s">
        <v>47</v>
      </c>
      <c r="E27">
        <v>1280</v>
      </c>
      <c r="F27">
        <v>38400</v>
      </c>
    </row>
    <row r="28" spans="1:6" x14ac:dyDescent="0.35">
      <c r="A28" s="50">
        <v>46368</v>
      </c>
      <c r="B28">
        <v>4135823</v>
      </c>
      <c r="C28" t="s">
        <v>62</v>
      </c>
      <c r="D28" t="s">
        <v>207</v>
      </c>
      <c r="E28">
        <v>288</v>
      </c>
      <c r="F28">
        <v>14.4</v>
      </c>
    </row>
    <row r="29" spans="1:6" x14ac:dyDescent="0.35">
      <c r="A29" s="50">
        <v>46368</v>
      </c>
      <c r="B29">
        <v>4135831</v>
      </c>
      <c r="C29" t="s">
        <v>62</v>
      </c>
      <c r="D29" t="s">
        <v>203</v>
      </c>
      <c r="E29">
        <v>187</v>
      </c>
      <c r="F29">
        <v>18.7</v>
      </c>
    </row>
    <row r="30" spans="1:6" x14ac:dyDescent="0.35">
      <c r="A30" s="50">
        <v>46368</v>
      </c>
      <c r="B30">
        <v>4165680</v>
      </c>
      <c r="C30" t="s">
        <v>549</v>
      </c>
      <c r="D30" t="s">
        <v>229</v>
      </c>
      <c r="E30">
        <v>4316</v>
      </c>
      <c r="F30">
        <v>129480</v>
      </c>
    </row>
    <row r="31" spans="1:6" x14ac:dyDescent="0.35">
      <c r="A31" s="50">
        <v>46368</v>
      </c>
      <c r="B31">
        <v>4181098</v>
      </c>
      <c r="C31" t="s">
        <v>508</v>
      </c>
      <c r="D31" t="s">
        <v>431</v>
      </c>
      <c r="E31">
        <v>176</v>
      </c>
      <c r="F31">
        <v>5280</v>
      </c>
    </row>
    <row r="32" spans="1:6" x14ac:dyDescent="0.35">
      <c r="A32" s="50">
        <v>46388</v>
      </c>
      <c r="B32">
        <v>4114197</v>
      </c>
      <c r="C32" t="s">
        <v>221</v>
      </c>
      <c r="D32" t="s">
        <v>205</v>
      </c>
      <c r="E32">
        <v>29</v>
      </c>
      <c r="F32">
        <v>2.9000000000000004</v>
      </c>
    </row>
    <row r="33" spans="1:6" x14ac:dyDescent="0.35">
      <c r="A33" s="50">
        <v>46388</v>
      </c>
      <c r="B33">
        <v>4144723</v>
      </c>
      <c r="C33" t="s">
        <v>57</v>
      </c>
      <c r="D33" t="s">
        <v>207</v>
      </c>
      <c r="E33">
        <v>223</v>
      </c>
      <c r="F33">
        <v>11.15</v>
      </c>
    </row>
    <row r="34" spans="1:6" x14ac:dyDescent="0.35">
      <c r="A34" s="50">
        <v>46388</v>
      </c>
      <c r="B34">
        <v>4181083</v>
      </c>
      <c r="C34" t="s">
        <v>52</v>
      </c>
      <c r="D34" t="s">
        <v>224</v>
      </c>
      <c r="E34">
        <v>4715</v>
      </c>
      <c r="F34">
        <v>141450</v>
      </c>
    </row>
    <row r="35" spans="1:6" x14ac:dyDescent="0.35">
      <c r="A35" s="50">
        <v>46393</v>
      </c>
      <c r="B35">
        <v>254853</v>
      </c>
      <c r="C35" t="s">
        <v>490</v>
      </c>
      <c r="D35" t="s">
        <v>203</v>
      </c>
      <c r="E35">
        <v>374</v>
      </c>
      <c r="F35">
        <v>37.4</v>
      </c>
    </row>
    <row r="36" spans="1:6" x14ac:dyDescent="0.35">
      <c r="A36" s="50">
        <v>46393</v>
      </c>
      <c r="B36">
        <v>4075565</v>
      </c>
      <c r="C36" t="s">
        <v>511</v>
      </c>
      <c r="D36" t="s">
        <v>203</v>
      </c>
      <c r="E36">
        <v>110</v>
      </c>
      <c r="F36">
        <v>11</v>
      </c>
    </row>
    <row r="37" spans="1:6" x14ac:dyDescent="0.35">
      <c r="A37" s="50">
        <v>46393</v>
      </c>
      <c r="B37">
        <v>4102903</v>
      </c>
      <c r="C37" t="s">
        <v>511</v>
      </c>
      <c r="D37" t="s">
        <v>207</v>
      </c>
      <c r="E37">
        <v>200</v>
      </c>
      <c r="F37">
        <v>10</v>
      </c>
    </row>
    <row r="38" spans="1:6" x14ac:dyDescent="0.35">
      <c r="A38" s="50">
        <v>46393</v>
      </c>
      <c r="B38">
        <v>4135874</v>
      </c>
      <c r="C38" t="s">
        <v>420</v>
      </c>
      <c r="D38" t="s">
        <v>203</v>
      </c>
      <c r="E38">
        <v>59</v>
      </c>
      <c r="F38">
        <v>5.9</v>
      </c>
    </row>
    <row r="39" spans="1:6" x14ac:dyDescent="0.35">
      <c r="A39" s="50">
        <v>46395</v>
      </c>
      <c r="B39">
        <v>4181097</v>
      </c>
      <c r="C39" t="s">
        <v>526</v>
      </c>
      <c r="D39" t="s">
        <v>527</v>
      </c>
      <c r="E39">
        <v>269</v>
      </c>
      <c r="F39">
        <v>8070</v>
      </c>
    </row>
    <row r="40" spans="1:6" x14ac:dyDescent="0.35">
      <c r="A40" s="50">
        <v>46408</v>
      </c>
      <c r="B40">
        <v>4211861</v>
      </c>
      <c r="C40" t="s">
        <v>311</v>
      </c>
      <c r="D40" t="s">
        <v>47</v>
      </c>
      <c r="E40">
        <v>1502</v>
      </c>
      <c r="F40">
        <v>45060</v>
      </c>
    </row>
    <row r="41" spans="1:6" x14ac:dyDescent="0.35">
      <c r="A41" s="50">
        <v>46410</v>
      </c>
      <c r="B41">
        <v>4171593</v>
      </c>
      <c r="C41" t="s">
        <v>222</v>
      </c>
      <c r="D41" t="s">
        <v>47</v>
      </c>
      <c r="E41">
        <v>1737</v>
      </c>
      <c r="F41">
        <v>52110</v>
      </c>
    </row>
    <row r="42" spans="1:6" x14ac:dyDescent="0.35">
      <c r="A42" s="50">
        <v>46415</v>
      </c>
      <c r="B42">
        <v>4165668</v>
      </c>
      <c r="C42" t="s">
        <v>60</v>
      </c>
      <c r="D42" t="s">
        <v>229</v>
      </c>
      <c r="E42">
        <v>6252</v>
      </c>
      <c r="F42">
        <v>187560</v>
      </c>
    </row>
    <row r="43" spans="1:6" x14ac:dyDescent="0.35">
      <c r="A43" s="50">
        <v>46415</v>
      </c>
      <c r="B43">
        <v>4181092</v>
      </c>
      <c r="C43" t="s">
        <v>54</v>
      </c>
      <c r="D43" t="s">
        <v>229</v>
      </c>
      <c r="E43">
        <v>1577</v>
      </c>
      <c r="F43">
        <v>47310</v>
      </c>
    </row>
    <row r="44" spans="1:6" x14ac:dyDescent="0.35">
      <c r="A44" s="50">
        <v>46417</v>
      </c>
      <c r="B44">
        <v>4181098</v>
      </c>
      <c r="C44" t="s">
        <v>508</v>
      </c>
      <c r="D44" t="s">
        <v>431</v>
      </c>
      <c r="E44">
        <v>213</v>
      </c>
      <c r="F44">
        <v>6390</v>
      </c>
    </row>
    <row r="45" spans="1:6" x14ac:dyDescent="0.35">
      <c r="A45" s="50">
        <v>46419</v>
      </c>
      <c r="B45">
        <v>4165679</v>
      </c>
      <c r="C45" t="s">
        <v>550</v>
      </c>
      <c r="D45" t="s">
        <v>229</v>
      </c>
      <c r="E45">
        <v>1180</v>
      </c>
      <c r="F45">
        <v>35400</v>
      </c>
    </row>
    <row r="46" spans="1:6" x14ac:dyDescent="0.35">
      <c r="A46" s="50">
        <v>46420</v>
      </c>
      <c r="B46">
        <v>311461</v>
      </c>
      <c r="C46" t="s">
        <v>51</v>
      </c>
      <c r="D46" t="s">
        <v>203</v>
      </c>
      <c r="E46">
        <v>11</v>
      </c>
      <c r="F46">
        <v>1.1000000000000001</v>
      </c>
    </row>
    <row r="47" spans="1:6" x14ac:dyDescent="0.35">
      <c r="A47" s="50">
        <v>46420</v>
      </c>
      <c r="B47">
        <v>4101765</v>
      </c>
      <c r="C47" t="s">
        <v>50</v>
      </c>
      <c r="D47" t="s">
        <v>214</v>
      </c>
      <c r="E47">
        <v>75.5</v>
      </c>
      <c r="F47">
        <v>75.5</v>
      </c>
    </row>
    <row r="48" spans="1:6" x14ac:dyDescent="0.35">
      <c r="A48" s="50">
        <v>46420</v>
      </c>
      <c r="B48">
        <v>4132141</v>
      </c>
      <c r="C48" t="s">
        <v>46</v>
      </c>
      <c r="D48" t="s">
        <v>216</v>
      </c>
      <c r="E48">
        <v>239.6</v>
      </c>
      <c r="F48">
        <v>239.6</v>
      </c>
    </row>
    <row r="49" spans="1:6" x14ac:dyDescent="0.35">
      <c r="A49" s="50">
        <v>46432</v>
      </c>
      <c r="B49">
        <v>4012925</v>
      </c>
      <c r="C49" t="s">
        <v>498</v>
      </c>
      <c r="D49" t="s">
        <v>203</v>
      </c>
      <c r="E49">
        <v>15</v>
      </c>
      <c r="F49">
        <v>1.5</v>
      </c>
    </row>
    <row r="50" spans="1:6" x14ac:dyDescent="0.35">
      <c r="A50" s="50">
        <v>46432</v>
      </c>
      <c r="B50">
        <v>4040520</v>
      </c>
      <c r="C50" t="s">
        <v>501</v>
      </c>
      <c r="D50" t="s">
        <v>234</v>
      </c>
      <c r="E50">
        <v>134</v>
      </c>
      <c r="F50">
        <v>13.4</v>
      </c>
    </row>
    <row r="51" spans="1:6" x14ac:dyDescent="0.35">
      <c r="A51" s="50">
        <v>46448</v>
      </c>
      <c r="B51">
        <v>4216815</v>
      </c>
      <c r="C51" t="s">
        <v>529</v>
      </c>
      <c r="D51" t="s">
        <v>233</v>
      </c>
      <c r="E51">
        <v>775</v>
      </c>
      <c r="F51">
        <v>23250</v>
      </c>
    </row>
    <row r="52" spans="1:6" x14ac:dyDescent="0.35">
      <c r="A52" s="50">
        <v>46449</v>
      </c>
      <c r="B52">
        <v>4165684</v>
      </c>
      <c r="C52" t="s">
        <v>551</v>
      </c>
      <c r="D52" t="s">
        <v>229</v>
      </c>
      <c r="E52">
        <v>79</v>
      </c>
      <c r="F52">
        <v>2370</v>
      </c>
    </row>
    <row r="53" spans="1:6" x14ac:dyDescent="0.35">
      <c r="A53" s="50">
        <v>46449</v>
      </c>
      <c r="B53">
        <v>4165685</v>
      </c>
      <c r="C53" t="s">
        <v>619</v>
      </c>
      <c r="D53" t="s">
        <v>229</v>
      </c>
      <c r="E53">
        <v>629</v>
      </c>
      <c r="F53">
        <v>18870</v>
      </c>
    </row>
    <row r="54" spans="1:6" x14ac:dyDescent="0.35">
      <c r="A54" s="50">
        <v>46449</v>
      </c>
      <c r="B54">
        <v>4170972</v>
      </c>
      <c r="C54" t="s">
        <v>64</v>
      </c>
      <c r="D54" t="s">
        <v>233</v>
      </c>
      <c r="E54">
        <v>2208</v>
      </c>
      <c r="F54">
        <v>66240</v>
      </c>
    </row>
    <row r="55" spans="1:6" x14ac:dyDescent="0.35">
      <c r="A55" s="50">
        <v>46465</v>
      </c>
      <c r="B55">
        <v>4170977</v>
      </c>
      <c r="C55" t="s">
        <v>41</v>
      </c>
      <c r="D55" t="s">
        <v>234</v>
      </c>
      <c r="E55">
        <v>54</v>
      </c>
      <c r="F55">
        <v>5.4</v>
      </c>
    </row>
    <row r="56" spans="1:6" x14ac:dyDescent="0.35">
      <c r="A56" s="50">
        <v>46497</v>
      </c>
      <c r="B56">
        <v>4181094</v>
      </c>
      <c r="C56" t="s">
        <v>53</v>
      </c>
      <c r="D56" t="s">
        <v>224</v>
      </c>
      <c r="E56">
        <v>520</v>
      </c>
      <c r="F56">
        <v>15600</v>
      </c>
    </row>
    <row r="57" spans="1:6" x14ac:dyDescent="0.35">
      <c r="A57" s="50">
        <v>46499</v>
      </c>
      <c r="B57">
        <v>4012001</v>
      </c>
      <c r="C57" t="s">
        <v>546</v>
      </c>
      <c r="D57" t="s">
        <v>209</v>
      </c>
      <c r="E57">
        <v>1</v>
      </c>
      <c r="F57">
        <v>1</v>
      </c>
    </row>
    <row r="58" spans="1:6" x14ac:dyDescent="0.35">
      <c r="A58" s="50">
        <v>46502</v>
      </c>
      <c r="B58">
        <v>4011999</v>
      </c>
      <c r="C58" t="s">
        <v>581</v>
      </c>
      <c r="D58" t="s">
        <v>234</v>
      </c>
      <c r="E58">
        <v>85</v>
      </c>
      <c r="F58">
        <v>8.5</v>
      </c>
    </row>
    <row r="59" spans="1:6" x14ac:dyDescent="0.35">
      <c r="A59" s="50">
        <v>46502</v>
      </c>
      <c r="B59">
        <v>4217472</v>
      </c>
      <c r="C59" t="s">
        <v>211</v>
      </c>
      <c r="D59" t="s">
        <v>605</v>
      </c>
      <c r="E59">
        <v>7</v>
      </c>
      <c r="F59">
        <v>0.70000000000000007</v>
      </c>
    </row>
    <row r="60" spans="1:6" x14ac:dyDescent="0.35">
      <c r="A60" s="50">
        <v>46504</v>
      </c>
      <c r="B60">
        <v>4220685</v>
      </c>
      <c r="C60" t="s">
        <v>8</v>
      </c>
      <c r="D60" t="s">
        <v>219</v>
      </c>
      <c r="E60">
        <v>442</v>
      </c>
      <c r="F60">
        <v>11050</v>
      </c>
    </row>
    <row r="61" spans="1:6" x14ac:dyDescent="0.35">
      <c r="A61" s="50">
        <v>46504</v>
      </c>
      <c r="B61">
        <v>4114194</v>
      </c>
      <c r="C61" t="s">
        <v>541</v>
      </c>
      <c r="D61" t="s">
        <v>234</v>
      </c>
      <c r="E61">
        <v>17</v>
      </c>
      <c r="F61">
        <v>1.7000000000000002</v>
      </c>
    </row>
    <row r="62" spans="1:6" x14ac:dyDescent="0.35">
      <c r="A62" s="50">
        <v>46534</v>
      </c>
      <c r="B62">
        <v>4132140</v>
      </c>
      <c r="C62" t="s">
        <v>364</v>
      </c>
      <c r="D62" t="s">
        <v>214</v>
      </c>
      <c r="E62">
        <v>29</v>
      </c>
      <c r="F62">
        <v>2.9000000000000004</v>
      </c>
    </row>
    <row r="63" spans="1:6" x14ac:dyDescent="0.35">
      <c r="A63" s="50">
        <v>46538</v>
      </c>
      <c r="B63">
        <v>4165682</v>
      </c>
      <c r="C63" t="s">
        <v>547</v>
      </c>
      <c r="D63" t="s">
        <v>229</v>
      </c>
      <c r="E63">
        <v>15</v>
      </c>
      <c r="F63">
        <v>450</v>
      </c>
    </row>
    <row r="64" spans="1:6" x14ac:dyDescent="0.35">
      <c r="A64" s="50">
        <v>46532</v>
      </c>
      <c r="B64">
        <v>4217472</v>
      </c>
      <c r="C64" t="s">
        <v>211</v>
      </c>
      <c r="D64" t="s">
        <v>605</v>
      </c>
      <c r="E64">
        <v>16</v>
      </c>
      <c r="F64">
        <v>1.6</v>
      </c>
    </row>
    <row r="65" spans="1:6" x14ac:dyDescent="0.35">
      <c r="A65" s="50">
        <v>46532</v>
      </c>
      <c r="B65">
        <v>4227101</v>
      </c>
      <c r="C65" t="s">
        <v>211</v>
      </c>
      <c r="D65" t="s">
        <v>606</v>
      </c>
      <c r="E65">
        <v>33</v>
      </c>
      <c r="F65">
        <v>1.6500000000000001</v>
      </c>
    </row>
    <row r="66" spans="1:6" x14ac:dyDescent="0.35">
      <c r="A66" s="50">
        <v>46414</v>
      </c>
      <c r="B66">
        <v>4165679</v>
      </c>
      <c r="C66" t="s">
        <v>550</v>
      </c>
      <c r="D66" t="s">
        <v>229</v>
      </c>
      <c r="E66">
        <v>31</v>
      </c>
      <c r="F66">
        <v>930</v>
      </c>
    </row>
    <row r="67" spans="1:6" x14ac:dyDescent="0.35">
      <c r="A67" s="50">
        <v>46550</v>
      </c>
      <c r="B67">
        <v>4188392</v>
      </c>
      <c r="C67" t="s">
        <v>629</v>
      </c>
      <c r="D67" t="s">
        <v>214</v>
      </c>
      <c r="E67">
        <v>9</v>
      </c>
      <c r="F67">
        <v>9</v>
      </c>
    </row>
    <row r="68" spans="1:6" x14ac:dyDescent="0.35">
      <c r="A68" s="50">
        <v>46528</v>
      </c>
      <c r="B68">
        <v>4188393</v>
      </c>
      <c r="C68" t="s">
        <v>217</v>
      </c>
      <c r="D68" t="s">
        <v>216</v>
      </c>
      <c r="E68">
        <v>79</v>
      </c>
      <c r="F68">
        <v>79</v>
      </c>
    </row>
    <row r="69" spans="1:6" x14ac:dyDescent="0.35">
      <c r="A69" s="50">
        <v>45700</v>
      </c>
      <c r="B69">
        <v>4170977</v>
      </c>
      <c r="C69" t="s">
        <v>41</v>
      </c>
      <c r="D69" t="s">
        <v>234</v>
      </c>
      <c r="E69">
        <v>305</v>
      </c>
      <c r="F69">
        <v>30.5</v>
      </c>
    </row>
    <row r="70" spans="1:6" x14ac:dyDescent="0.35">
      <c r="A70" s="50">
        <v>45964</v>
      </c>
      <c r="B70">
        <v>4118665</v>
      </c>
      <c r="C70" t="s">
        <v>231</v>
      </c>
      <c r="D70" t="s">
        <v>234</v>
      </c>
      <c r="E70">
        <v>87</v>
      </c>
      <c r="F70">
        <v>8.7000000000000011</v>
      </c>
    </row>
    <row r="71" spans="1:6" x14ac:dyDescent="0.35">
      <c r="A71" s="50">
        <v>45982</v>
      </c>
      <c r="B71">
        <v>4165682</v>
      </c>
      <c r="C71" t="s">
        <v>547</v>
      </c>
      <c r="D71" t="s">
        <v>229</v>
      </c>
      <c r="E71">
        <v>132</v>
      </c>
      <c r="F71">
        <v>3960</v>
      </c>
    </row>
    <row r="72" spans="1:6" x14ac:dyDescent="0.35">
      <c r="A72" s="50">
        <v>46513</v>
      </c>
      <c r="B72">
        <v>351343</v>
      </c>
      <c r="C72" t="s">
        <v>45</v>
      </c>
      <c r="D72" t="s">
        <v>214</v>
      </c>
      <c r="E72">
        <v>40</v>
      </c>
      <c r="F72">
        <v>40</v>
      </c>
    </row>
    <row r="73" spans="1:6" x14ac:dyDescent="0.35">
      <c r="A73" s="50" t="s">
        <v>65</v>
      </c>
      <c r="E73">
        <v>37203.1</v>
      </c>
      <c r="F73">
        <v>973375.7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9509-F5E3-4E89-AB6A-E279F2567BE4}">
  <sheetPr codeName="Sheet8"/>
  <dimension ref="A2:Q75"/>
  <sheetViews>
    <sheetView topLeftCell="H1" workbookViewId="0">
      <selection activeCell="R5" sqref="R5"/>
    </sheetView>
  </sheetViews>
  <sheetFormatPr defaultRowHeight="14.5" x14ac:dyDescent="0.35"/>
  <cols>
    <col min="1" max="1" width="9.90625" bestFit="1" customWidth="1"/>
    <col min="2" max="2" width="13.453125" bestFit="1" customWidth="1"/>
    <col min="3" max="3" width="9.36328125" bestFit="1" customWidth="1"/>
    <col min="4" max="4" width="10.54296875" bestFit="1" customWidth="1"/>
    <col min="5" max="5" width="20.1796875" bestFit="1" customWidth="1"/>
    <col min="6" max="6" width="10.6328125" bestFit="1" customWidth="1"/>
    <col min="7" max="7" width="15.1796875" bestFit="1" customWidth="1"/>
    <col min="8" max="8" width="15.54296875" bestFit="1" customWidth="1"/>
    <col min="9" max="9" width="18.26953125" bestFit="1" customWidth="1"/>
    <col min="10" max="10" width="19.81640625" bestFit="1" customWidth="1"/>
    <col min="11" max="11" width="11.26953125" bestFit="1" customWidth="1"/>
    <col min="12" max="12" width="10.26953125" bestFit="1" customWidth="1"/>
    <col min="13" max="13" width="10.6328125" bestFit="1" customWidth="1"/>
    <col min="14" max="14" width="11" bestFit="1" customWidth="1"/>
    <col min="15" max="15" width="25.54296875" bestFit="1" customWidth="1"/>
    <col min="16" max="16" width="6.81640625" bestFit="1" customWidth="1"/>
    <col min="17" max="17" width="8.81640625" bestFit="1" customWidth="1"/>
  </cols>
  <sheetData>
    <row r="2" spans="1:17" x14ac:dyDescent="0.35">
      <c r="A2" s="80" t="s">
        <v>18</v>
      </c>
      <c r="B2" s="80" t="s">
        <v>19</v>
      </c>
      <c r="C2" s="80" t="s">
        <v>20</v>
      </c>
      <c r="D2" s="80" t="s">
        <v>0</v>
      </c>
      <c r="E2" s="80" t="s">
        <v>1</v>
      </c>
      <c r="F2" s="80" t="s">
        <v>554</v>
      </c>
      <c r="G2" s="80" t="s">
        <v>21</v>
      </c>
      <c r="H2" s="80" t="s">
        <v>22</v>
      </c>
      <c r="I2" s="80" t="s">
        <v>23</v>
      </c>
      <c r="J2" s="80" t="s">
        <v>3</v>
      </c>
      <c r="K2" s="80" t="s">
        <v>24</v>
      </c>
      <c r="L2" s="80" t="s">
        <v>25</v>
      </c>
      <c r="M2" s="80" t="s">
        <v>26</v>
      </c>
      <c r="N2" s="80" t="s">
        <v>27</v>
      </c>
      <c r="O2" s="80" t="s">
        <v>28</v>
      </c>
      <c r="P2" s="81" t="s">
        <v>29</v>
      </c>
      <c r="Q2" s="80" t="s">
        <v>30</v>
      </c>
    </row>
    <row r="3" spans="1:17" ht="16" x14ac:dyDescent="0.35">
      <c r="A3" s="2">
        <v>1</v>
      </c>
      <c r="B3" s="56" t="s">
        <v>13</v>
      </c>
      <c r="C3" s="2" t="s">
        <v>601</v>
      </c>
      <c r="D3" s="2">
        <v>4011999</v>
      </c>
      <c r="E3" s="2" t="s">
        <v>581</v>
      </c>
      <c r="F3" s="2" t="s">
        <v>234</v>
      </c>
      <c r="G3" s="71">
        <v>37</v>
      </c>
      <c r="H3" s="71">
        <v>18</v>
      </c>
      <c r="I3" s="85" t="s">
        <v>539</v>
      </c>
      <c r="J3" s="86">
        <v>46502</v>
      </c>
      <c r="K3" s="87">
        <f>IFERROR(VLOOKUP(D3,'[2]Sales(CP &amp; Seeds)'!$A$2:$C$186,3,0),"0")</f>
        <v>20</v>
      </c>
      <c r="L3" s="87">
        <f>IFERROR(VLOOKUP(D3,'[2]Seeds Stock'!$A$2:$G$133,3,0),"0")</f>
        <v>53</v>
      </c>
      <c r="M3" s="87"/>
      <c r="N3" s="2"/>
      <c r="O3" s="2"/>
      <c r="P3" s="2">
        <f t="shared" ref="P3:P66" si="0">H3*Q3</f>
        <v>1.8</v>
      </c>
      <c r="Q3" s="1">
        <f>IFERROR(VLOOKUP(D3,'Seed conv.'!$A$2:$D$188,4,0),"0")</f>
        <v>0.1</v>
      </c>
    </row>
    <row r="4" spans="1:17" ht="16" x14ac:dyDescent="0.35">
      <c r="A4" s="2">
        <v>2</v>
      </c>
      <c r="B4" s="56" t="s">
        <v>13</v>
      </c>
      <c r="C4" s="2" t="s">
        <v>601</v>
      </c>
      <c r="D4" s="61">
        <v>4217472</v>
      </c>
      <c r="E4" s="83" t="s">
        <v>211</v>
      </c>
      <c r="F4" s="84" t="s">
        <v>605</v>
      </c>
      <c r="G4" s="71">
        <v>7</v>
      </c>
      <c r="H4" s="71">
        <v>7</v>
      </c>
      <c r="I4" s="85" t="s">
        <v>540</v>
      </c>
      <c r="J4" s="86">
        <v>46502</v>
      </c>
      <c r="K4" s="87" t="str">
        <f>IFERROR(VLOOKUP(D4,'[2]Sales(CP &amp; Seeds)'!$A$2:$C$186,3,0),"0")</f>
        <v>0</v>
      </c>
      <c r="L4" s="87">
        <f>IFERROR(VLOOKUP(D4,'[2]Seeds Stock'!$A$2:$G$133,3,0),"0")</f>
        <v>45</v>
      </c>
      <c r="M4" s="87"/>
      <c r="N4" s="2"/>
      <c r="O4" s="2"/>
      <c r="P4" s="2">
        <f t="shared" si="0"/>
        <v>0.70000000000000007</v>
      </c>
      <c r="Q4" s="1">
        <f>IFERROR(VLOOKUP(D4,'Seed conv.'!$A$2:$D$188,4,0),"0")</f>
        <v>0.1</v>
      </c>
    </row>
    <row r="5" spans="1:17" ht="16" x14ac:dyDescent="0.35">
      <c r="A5" s="2">
        <v>3</v>
      </c>
      <c r="B5" s="56" t="s">
        <v>13</v>
      </c>
      <c r="C5" s="2" t="s">
        <v>601</v>
      </c>
      <c r="D5" s="61">
        <v>4217472</v>
      </c>
      <c r="E5" s="83" t="s">
        <v>211</v>
      </c>
      <c r="F5" s="84" t="s">
        <v>605</v>
      </c>
      <c r="G5" s="71">
        <v>16</v>
      </c>
      <c r="H5" s="71">
        <v>16</v>
      </c>
      <c r="I5" s="85" t="s">
        <v>574</v>
      </c>
      <c r="J5" s="86">
        <v>46532</v>
      </c>
      <c r="K5" s="87" t="str">
        <f>IFERROR(VLOOKUP(D5,'[2]Sales(CP &amp; Seeds)'!$A$2:$C$186,3,0),"0")</f>
        <v>0</v>
      </c>
      <c r="L5" s="87">
        <f>IFERROR(VLOOKUP(D5,'[2]Seeds Stock'!$A$2:$G$133,3,0),"0")</f>
        <v>45</v>
      </c>
      <c r="M5" s="87"/>
      <c r="N5" s="2"/>
      <c r="O5" s="2"/>
      <c r="P5" s="2">
        <f t="shared" si="0"/>
        <v>1.6</v>
      </c>
      <c r="Q5" s="1">
        <f>IFERROR(VLOOKUP(D5,'Seed conv.'!$A$2:$D$188,4,0),"0")</f>
        <v>0.1</v>
      </c>
    </row>
    <row r="6" spans="1:17" ht="16" x14ac:dyDescent="0.35">
      <c r="A6" s="2">
        <v>4</v>
      </c>
      <c r="B6" s="56" t="s">
        <v>13</v>
      </c>
      <c r="C6" s="2" t="s">
        <v>601</v>
      </c>
      <c r="D6" s="61">
        <v>4227101</v>
      </c>
      <c r="E6" s="83" t="s">
        <v>211</v>
      </c>
      <c r="F6" s="84" t="s">
        <v>606</v>
      </c>
      <c r="G6" s="71">
        <v>33</v>
      </c>
      <c r="H6" s="71">
        <v>33</v>
      </c>
      <c r="I6" s="85" t="s">
        <v>574</v>
      </c>
      <c r="J6" s="86">
        <v>46532</v>
      </c>
      <c r="K6" s="87" t="str">
        <f>IFERROR(VLOOKUP(D6,'[2]Sales(CP &amp; Seeds)'!$A$2:$C$186,3,0),"0")</f>
        <v>0</v>
      </c>
      <c r="L6" s="87">
        <f>IFERROR(VLOOKUP(D6,'[2]Seeds Stock'!$A$2:$G$133,3,0),"0")</f>
        <v>63</v>
      </c>
      <c r="M6" s="87"/>
      <c r="N6" s="2"/>
      <c r="O6" s="2"/>
      <c r="P6" s="2">
        <f t="shared" si="0"/>
        <v>1.6500000000000001</v>
      </c>
      <c r="Q6" s="1">
        <f>IFERROR(VLOOKUP(D6,'Seed conv.'!$A$2:$D$188,4,0),"0")</f>
        <v>0.05</v>
      </c>
    </row>
    <row r="7" spans="1:17" x14ac:dyDescent="0.35">
      <c r="A7" s="2">
        <v>5</v>
      </c>
      <c r="B7" s="2" t="s">
        <v>478</v>
      </c>
      <c r="C7" s="2" t="s">
        <v>601</v>
      </c>
      <c r="D7" s="2">
        <v>4137319</v>
      </c>
      <c r="E7" s="2" t="s">
        <v>54</v>
      </c>
      <c r="F7" s="2" t="s">
        <v>55</v>
      </c>
      <c r="G7" s="55">
        <v>2</v>
      </c>
      <c r="H7" s="55">
        <v>2</v>
      </c>
      <c r="I7" s="92">
        <v>17727595</v>
      </c>
      <c r="J7" s="89">
        <v>45271</v>
      </c>
      <c r="K7" s="88">
        <v>0</v>
      </c>
      <c r="L7" s="88">
        <v>2</v>
      </c>
      <c r="M7" s="4"/>
      <c r="N7" s="2"/>
      <c r="O7" s="2" t="s">
        <v>492</v>
      </c>
      <c r="P7" s="2">
        <f t="shared" si="0"/>
        <v>40</v>
      </c>
      <c r="Q7" s="1">
        <f>IFERROR(VLOOKUP(D7,'Seed conv.'!$A$2:$D$188,4,0),"0")</f>
        <v>20</v>
      </c>
    </row>
    <row r="8" spans="1:17" x14ac:dyDescent="0.35">
      <c r="A8" s="2">
        <v>6</v>
      </c>
      <c r="B8" s="2" t="s">
        <v>478</v>
      </c>
      <c r="C8" s="2" t="s">
        <v>601</v>
      </c>
      <c r="D8" s="2">
        <v>4101765</v>
      </c>
      <c r="E8" s="2" t="s">
        <v>50</v>
      </c>
      <c r="F8" s="2" t="s">
        <v>214</v>
      </c>
      <c r="G8" s="55">
        <v>152</v>
      </c>
      <c r="H8" s="55">
        <v>150</v>
      </c>
      <c r="I8" s="92" t="s">
        <v>493</v>
      </c>
      <c r="J8" s="89">
        <v>45355</v>
      </c>
      <c r="K8" s="88">
        <v>0</v>
      </c>
      <c r="L8" s="88">
        <v>145.5</v>
      </c>
      <c r="M8" s="4"/>
      <c r="N8" s="2"/>
      <c r="O8" s="2" t="s">
        <v>494</v>
      </c>
      <c r="P8" s="2">
        <f t="shared" si="0"/>
        <v>150</v>
      </c>
      <c r="Q8" s="1">
        <f>IFERROR(VLOOKUP(D8,'Seed conv.'!$A$2:$D$188,4,0),"0")</f>
        <v>1</v>
      </c>
    </row>
    <row r="9" spans="1:17" x14ac:dyDescent="0.35">
      <c r="A9" s="2">
        <v>7</v>
      </c>
      <c r="B9" s="2" t="s">
        <v>478</v>
      </c>
      <c r="C9" s="2" t="s">
        <v>601</v>
      </c>
      <c r="D9" s="2">
        <v>4144176</v>
      </c>
      <c r="E9" s="2" t="s">
        <v>8</v>
      </c>
      <c r="F9" s="2" t="s">
        <v>44</v>
      </c>
      <c r="G9" s="55">
        <v>174</v>
      </c>
      <c r="H9" s="55">
        <v>174</v>
      </c>
      <c r="I9" s="92" t="s">
        <v>480</v>
      </c>
      <c r="J9" s="89">
        <v>45546</v>
      </c>
      <c r="K9" s="88">
        <v>0</v>
      </c>
      <c r="L9" s="88">
        <v>174</v>
      </c>
      <c r="M9" s="4"/>
      <c r="N9" s="2"/>
      <c r="O9" s="2" t="s">
        <v>481</v>
      </c>
      <c r="P9" s="2">
        <f t="shared" si="0"/>
        <v>1740</v>
      </c>
      <c r="Q9" s="1">
        <f>IFERROR(VLOOKUP(D9,'Seed conv.'!$A$2:$D$188,4,0),"0")</f>
        <v>10</v>
      </c>
    </row>
    <row r="10" spans="1:17" x14ac:dyDescent="0.35">
      <c r="A10" s="2">
        <v>8</v>
      </c>
      <c r="B10" s="2" t="s">
        <v>478</v>
      </c>
      <c r="C10" s="2" t="s">
        <v>601</v>
      </c>
      <c r="D10" s="2">
        <v>4170977</v>
      </c>
      <c r="E10" s="2" t="s">
        <v>41</v>
      </c>
      <c r="F10" s="2" t="s">
        <v>198</v>
      </c>
      <c r="G10" s="55">
        <v>305</v>
      </c>
      <c r="H10" s="55">
        <v>305</v>
      </c>
      <c r="I10" s="92" t="s">
        <v>496</v>
      </c>
      <c r="J10" s="89">
        <v>45700</v>
      </c>
      <c r="K10" s="88">
        <v>62</v>
      </c>
      <c r="L10" s="88">
        <v>205</v>
      </c>
      <c r="M10" s="4"/>
      <c r="N10" s="2"/>
      <c r="O10" s="2"/>
      <c r="P10" s="2">
        <f t="shared" si="0"/>
        <v>30.5</v>
      </c>
      <c r="Q10" s="1">
        <f>IFERROR(VLOOKUP(D10,'Seed conv.'!$A$2:$D$188,4,0),"0")</f>
        <v>0.1</v>
      </c>
    </row>
    <row r="11" spans="1:17" x14ac:dyDescent="0.35">
      <c r="A11" s="2">
        <v>9</v>
      </c>
      <c r="B11" s="2" t="s">
        <v>478</v>
      </c>
      <c r="C11" s="2" t="s">
        <v>601</v>
      </c>
      <c r="D11" s="2">
        <v>4181094</v>
      </c>
      <c r="E11" s="2" t="s">
        <v>53</v>
      </c>
      <c r="F11" s="2" t="s">
        <v>224</v>
      </c>
      <c r="G11" s="71">
        <v>202</v>
      </c>
      <c r="H11" s="55">
        <v>202</v>
      </c>
      <c r="I11" s="92">
        <v>18815390</v>
      </c>
      <c r="J11" s="89">
        <v>45716</v>
      </c>
      <c r="K11" s="88">
        <v>0</v>
      </c>
      <c r="L11" s="88">
        <v>780</v>
      </c>
      <c r="M11" s="2"/>
      <c r="N11" s="2"/>
      <c r="O11" s="2" t="s">
        <v>494</v>
      </c>
      <c r="P11" s="2">
        <f t="shared" si="0"/>
        <v>6060</v>
      </c>
      <c r="Q11" s="1">
        <f>IFERROR(VLOOKUP(D11,'Seed conv.'!$A$2:$D$188,4,0),"0")</f>
        <v>30</v>
      </c>
    </row>
    <row r="12" spans="1:17" x14ac:dyDescent="0.35">
      <c r="A12" s="2">
        <v>10</v>
      </c>
      <c r="B12" s="2" t="s">
        <v>478</v>
      </c>
      <c r="C12" s="2" t="s">
        <v>601</v>
      </c>
      <c r="D12" s="2">
        <v>4165682</v>
      </c>
      <c r="E12" s="2" t="s">
        <v>547</v>
      </c>
      <c r="F12" s="2" t="s">
        <v>229</v>
      </c>
      <c r="G12" s="71">
        <v>172</v>
      </c>
      <c r="H12" s="55">
        <v>172</v>
      </c>
      <c r="I12" s="92">
        <v>18812952</v>
      </c>
      <c r="J12" s="89">
        <v>45750</v>
      </c>
      <c r="K12" s="88">
        <v>0</v>
      </c>
      <c r="L12" s="88">
        <v>263</v>
      </c>
      <c r="M12" s="2"/>
      <c r="N12" s="2"/>
      <c r="O12" s="2" t="s">
        <v>482</v>
      </c>
      <c r="P12" s="2">
        <f t="shared" si="0"/>
        <v>5160</v>
      </c>
      <c r="Q12" s="1">
        <f>IFERROR(VLOOKUP(D12,'Seed conv.'!$A$2:$D$188,4,0),"0")</f>
        <v>30</v>
      </c>
    </row>
    <row r="13" spans="1:17" x14ac:dyDescent="0.35">
      <c r="A13" s="2">
        <v>11</v>
      </c>
      <c r="B13" s="2" t="s">
        <v>478</v>
      </c>
      <c r="C13" s="2" t="s">
        <v>601</v>
      </c>
      <c r="D13" s="2">
        <v>4160722</v>
      </c>
      <c r="E13" s="2" t="s">
        <v>63</v>
      </c>
      <c r="F13" s="2" t="s">
        <v>47</v>
      </c>
      <c r="G13" s="71">
        <v>172</v>
      </c>
      <c r="H13" s="55">
        <v>172</v>
      </c>
      <c r="I13" s="92">
        <v>140605071</v>
      </c>
      <c r="J13" s="89">
        <v>45750</v>
      </c>
      <c r="K13" s="88">
        <v>0</v>
      </c>
      <c r="L13" s="88">
        <v>172</v>
      </c>
      <c r="M13" s="2"/>
      <c r="N13" s="2"/>
      <c r="O13" s="2" t="s">
        <v>492</v>
      </c>
      <c r="P13" s="2">
        <f t="shared" si="0"/>
        <v>5160</v>
      </c>
      <c r="Q13" s="1">
        <f>IFERROR(VLOOKUP(D13,'Seed conv.'!$A$2:$D$188,4,0),"0")</f>
        <v>30</v>
      </c>
    </row>
    <row r="14" spans="1:17" x14ac:dyDescent="0.35">
      <c r="A14" s="2">
        <v>12</v>
      </c>
      <c r="B14" s="2" t="s">
        <v>478</v>
      </c>
      <c r="C14" s="2" t="s">
        <v>601</v>
      </c>
      <c r="D14" s="2">
        <v>4118665</v>
      </c>
      <c r="E14" s="2" t="s">
        <v>231</v>
      </c>
      <c r="F14" s="2" t="s">
        <v>198</v>
      </c>
      <c r="G14" s="71">
        <v>50</v>
      </c>
      <c r="H14" s="55">
        <v>50</v>
      </c>
      <c r="I14" s="92" t="s">
        <v>505</v>
      </c>
      <c r="J14" s="89">
        <v>45839</v>
      </c>
      <c r="K14" s="88">
        <v>0</v>
      </c>
      <c r="L14" s="88">
        <v>209</v>
      </c>
      <c r="M14" s="2"/>
      <c r="N14" s="2"/>
      <c r="O14" s="2"/>
      <c r="P14" s="2">
        <f t="shared" si="0"/>
        <v>5</v>
      </c>
      <c r="Q14" s="1">
        <f>IFERROR(VLOOKUP(D14,'Seed conv.'!$A$2:$D$188,4,0),"0")</f>
        <v>0.1</v>
      </c>
    </row>
    <row r="15" spans="1:17" x14ac:dyDescent="0.35">
      <c r="A15" s="2">
        <v>13</v>
      </c>
      <c r="B15" s="2" t="s">
        <v>478</v>
      </c>
      <c r="C15" s="2" t="s">
        <v>601</v>
      </c>
      <c r="D15" s="2">
        <v>4118665</v>
      </c>
      <c r="E15" s="2" t="s">
        <v>231</v>
      </c>
      <c r="F15" s="2" t="s">
        <v>198</v>
      </c>
      <c r="G15" s="71">
        <v>97</v>
      </c>
      <c r="H15" s="55">
        <v>87</v>
      </c>
      <c r="I15" s="92" t="s">
        <v>504</v>
      </c>
      <c r="J15" s="89">
        <v>45964</v>
      </c>
      <c r="K15" s="88">
        <v>0</v>
      </c>
      <c r="L15" s="88">
        <v>209</v>
      </c>
      <c r="M15" s="2"/>
      <c r="N15" s="2"/>
      <c r="O15" s="2" t="s">
        <v>482</v>
      </c>
      <c r="P15" s="2">
        <f t="shared" si="0"/>
        <v>8.7000000000000011</v>
      </c>
      <c r="Q15" s="1">
        <f>IFERROR(VLOOKUP(D15,'Seed conv.'!$A$2:$D$188,4,0),"0")</f>
        <v>0.1</v>
      </c>
    </row>
    <row r="16" spans="1:17" x14ac:dyDescent="0.35">
      <c r="A16" s="2">
        <v>14</v>
      </c>
      <c r="B16" s="2" t="s">
        <v>478</v>
      </c>
      <c r="C16" s="2" t="s">
        <v>601</v>
      </c>
      <c r="D16" s="2">
        <v>254871</v>
      </c>
      <c r="E16" s="2" t="s">
        <v>48</v>
      </c>
      <c r="F16" s="2" t="s">
        <v>203</v>
      </c>
      <c r="G16" s="71">
        <v>143</v>
      </c>
      <c r="H16" s="55">
        <v>143</v>
      </c>
      <c r="I16" s="92" t="s">
        <v>488</v>
      </c>
      <c r="J16" s="89">
        <v>45966</v>
      </c>
      <c r="K16" s="88">
        <v>0</v>
      </c>
      <c r="L16" s="88">
        <v>143</v>
      </c>
      <c r="M16" s="2"/>
      <c r="N16" s="2"/>
      <c r="O16" s="2"/>
      <c r="P16" s="2">
        <f t="shared" si="0"/>
        <v>14.3</v>
      </c>
      <c r="Q16" s="1">
        <f>IFERROR(VLOOKUP(D16,'Seed conv.'!$A$2:$D$188,4,0),"0")</f>
        <v>0.1</v>
      </c>
    </row>
    <row r="17" spans="1:17" ht="16" x14ac:dyDescent="0.35">
      <c r="A17" s="2">
        <v>15</v>
      </c>
      <c r="B17" s="63" t="s">
        <v>478</v>
      </c>
      <c r="C17" s="2" t="s">
        <v>601</v>
      </c>
      <c r="D17" s="2">
        <v>4165670</v>
      </c>
      <c r="E17" s="2" t="s">
        <v>548</v>
      </c>
      <c r="F17" s="2" t="s">
        <v>229</v>
      </c>
      <c r="G17" s="71">
        <v>211</v>
      </c>
      <c r="H17" s="55">
        <v>211</v>
      </c>
      <c r="I17" s="92">
        <v>19898682</v>
      </c>
      <c r="J17" s="89">
        <v>45966</v>
      </c>
      <c r="K17" s="88">
        <v>32</v>
      </c>
      <c r="L17" s="88">
        <v>1305.7</v>
      </c>
      <c r="M17" s="82"/>
      <c r="N17" s="2"/>
      <c r="O17" s="78"/>
      <c r="P17" s="2">
        <f t="shared" si="0"/>
        <v>6330</v>
      </c>
      <c r="Q17" s="1">
        <f>IFERROR(VLOOKUP(D17,'Seed conv.'!$A$2:$D$188,4,0),"0")</f>
        <v>30</v>
      </c>
    </row>
    <row r="18" spans="1:17" ht="16" x14ac:dyDescent="0.35">
      <c r="A18" s="2">
        <v>16</v>
      </c>
      <c r="B18" s="63" t="s">
        <v>478</v>
      </c>
      <c r="C18" s="2" t="s">
        <v>601</v>
      </c>
      <c r="D18" s="2">
        <v>4165682</v>
      </c>
      <c r="E18" s="2" t="s">
        <v>547</v>
      </c>
      <c r="F18" s="2" t="s">
        <v>229</v>
      </c>
      <c r="G18" s="71">
        <v>132</v>
      </c>
      <c r="H18" s="55">
        <v>132</v>
      </c>
      <c r="I18" s="92">
        <v>19710751</v>
      </c>
      <c r="J18" s="89">
        <v>45982</v>
      </c>
      <c r="K18" s="88">
        <v>0</v>
      </c>
      <c r="L18" s="88"/>
      <c r="M18" s="82"/>
      <c r="N18" s="2"/>
      <c r="O18" s="90"/>
      <c r="P18" s="2">
        <f t="shared" si="0"/>
        <v>3960</v>
      </c>
      <c r="Q18" s="1">
        <f>IFERROR(VLOOKUP(D18,'Seed conv.'!$A$2:$D$188,4,0),"0")</f>
        <v>30</v>
      </c>
    </row>
    <row r="19" spans="1:17" ht="16" x14ac:dyDescent="0.35">
      <c r="A19" s="2">
        <v>17</v>
      </c>
      <c r="B19" s="63" t="s">
        <v>478</v>
      </c>
      <c r="C19" s="2" t="s">
        <v>601</v>
      </c>
      <c r="D19" s="2">
        <v>351343</v>
      </c>
      <c r="E19" s="2" t="s">
        <v>45</v>
      </c>
      <c r="F19" s="2" t="s">
        <v>214</v>
      </c>
      <c r="G19" s="71">
        <v>938</v>
      </c>
      <c r="H19" s="55">
        <v>938</v>
      </c>
      <c r="I19" s="92" t="s">
        <v>483</v>
      </c>
      <c r="J19" s="89">
        <v>46089</v>
      </c>
      <c r="K19" s="88">
        <v>0</v>
      </c>
      <c r="L19" s="88">
        <v>977.9</v>
      </c>
      <c r="M19" s="82"/>
      <c r="N19" s="2"/>
      <c r="O19" s="91" t="s">
        <v>484</v>
      </c>
      <c r="P19" s="2">
        <f t="shared" si="0"/>
        <v>938</v>
      </c>
      <c r="Q19" s="1">
        <f>IFERROR(VLOOKUP(D19,'Seed conv.'!$A$2:$D$188,4,0),"0")</f>
        <v>1</v>
      </c>
    </row>
    <row r="20" spans="1:17" ht="16" x14ac:dyDescent="0.35">
      <c r="A20" s="2">
        <v>18</v>
      </c>
      <c r="B20" s="63" t="s">
        <v>478</v>
      </c>
      <c r="C20" s="2" t="s">
        <v>601</v>
      </c>
      <c r="D20" s="2">
        <v>4132141</v>
      </c>
      <c r="E20" s="2" t="s">
        <v>46</v>
      </c>
      <c r="F20" s="2" t="s">
        <v>216</v>
      </c>
      <c r="G20" s="71">
        <v>234</v>
      </c>
      <c r="H20" s="55">
        <v>234</v>
      </c>
      <c r="I20" s="92" t="s">
        <v>485</v>
      </c>
      <c r="J20" s="89">
        <v>46089</v>
      </c>
      <c r="K20" s="88">
        <v>0</v>
      </c>
      <c r="L20" s="88">
        <v>473.6</v>
      </c>
      <c r="M20" s="82"/>
      <c r="N20" s="2"/>
      <c r="O20" s="91" t="s">
        <v>484</v>
      </c>
      <c r="P20" s="2">
        <f t="shared" si="0"/>
        <v>234</v>
      </c>
      <c r="Q20" s="1">
        <f>IFERROR(VLOOKUP(D20,'Seed conv.'!$A$2:$D$188,4,0),"0")</f>
        <v>1</v>
      </c>
    </row>
    <row r="21" spans="1:17" ht="16" x14ac:dyDescent="0.35">
      <c r="A21" s="2">
        <v>19</v>
      </c>
      <c r="B21" s="63" t="s">
        <v>478</v>
      </c>
      <c r="C21" s="2" t="s">
        <v>601</v>
      </c>
      <c r="D21" s="2">
        <v>4165680</v>
      </c>
      <c r="E21" s="2" t="s">
        <v>549</v>
      </c>
      <c r="F21" s="2" t="s">
        <v>229</v>
      </c>
      <c r="G21" s="71">
        <v>722</v>
      </c>
      <c r="H21" s="55">
        <v>722</v>
      </c>
      <c r="I21" s="92">
        <v>140309121</v>
      </c>
      <c r="J21" s="89">
        <v>46089</v>
      </c>
      <c r="K21" s="88">
        <v>5</v>
      </c>
      <c r="L21" s="88">
        <v>4461</v>
      </c>
      <c r="M21" s="82"/>
      <c r="N21" s="2"/>
      <c r="O21" s="91" t="s">
        <v>553</v>
      </c>
      <c r="P21" s="2">
        <f t="shared" si="0"/>
        <v>21660</v>
      </c>
      <c r="Q21" s="1">
        <f>IFERROR(VLOOKUP(D21,'Seed conv.'!$A$2:$D$188,4,0),"0")</f>
        <v>30</v>
      </c>
    </row>
    <row r="22" spans="1:17" ht="16" x14ac:dyDescent="0.35">
      <c r="A22" s="2">
        <v>20</v>
      </c>
      <c r="B22" s="63" t="s">
        <v>478</v>
      </c>
      <c r="C22" s="2" t="s">
        <v>601</v>
      </c>
      <c r="D22" s="2">
        <v>4165668</v>
      </c>
      <c r="E22" s="2" t="s">
        <v>60</v>
      </c>
      <c r="F22" s="2" t="s">
        <v>229</v>
      </c>
      <c r="G22" s="71">
        <v>69</v>
      </c>
      <c r="H22" s="55">
        <v>69</v>
      </c>
      <c r="I22" s="92">
        <v>150509231</v>
      </c>
      <c r="J22" s="89">
        <v>46145</v>
      </c>
      <c r="K22" s="88">
        <v>16</v>
      </c>
      <c r="L22" s="88">
        <v>6374</v>
      </c>
      <c r="M22" s="82"/>
      <c r="N22" s="2"/>
      <c r="O22" s="91" t="s">
        <v>492</v>
      </c>
      <c r="P22" s="2">
        <f t="shared" si="0"/>
        <v>2070</v>
      </c>
      <c r="Q22" s="1">
        <f>IFERROR(VLOOKUP(D22,'Seed conv.'!$A$2:$D$188,4,0),"0")</f>
        <v>30</v>
      </c>
    </row>
    <row r="23" spans="1:17" ht="16" x14ac:dyDescent="0.35">
      <c r="A23" s="2">
        <v>21</v>
      </c>
      <c r="B23" s="63" t="s">
        <v>478</v>
      </c>
      <c r="C23" s="2" t="s">
        <v>601</v>
      </c>
      <c r="D23" s="2">
        <v>4170972</v>
      </c>
      <c r="E23" s="2" t="s">
        <v>64</v>
      </c>
      <c r="F23" s="2" t="s">
        <v>233</v>
      </c>
      <c r="G23" s="71">
        <v>109</v>
      </c>
      <c r="H23" s="55">
        <v>109</v>
      </c>
      <c r="I23" s="92">
        <v>140111610</v>
      </c>
      <c r="J23" s="89">
        <v>46167</v>
      </c>
      <c r="K23" s="88">
        <v>0</v>
      </c>
      <c r="L23" s="88">
        <v>2231</v>
      </c>
      <c r="M23" s="82"/>
      <c r="N23" s="2"/>
      <c r="O23" s="91" t="s">
        <v>487</v>
      </c>
      <c r="P23" s="2">
        <f t="shared" si="0"/>
        <v>3270</v>
      </c>
      <c r="Q23" s="1">
        <f>IFERROR(VLOOKUP(D23,'Seed conv.'!$A$2:$D$188,4,0),"0")</f>
        <v>30</v>
      </c>
    </row>
    <row r="24" spans="1:17" ht="16" x14ac:dyDescent="0.35">
      <c r="A24" s="2">
        <v>22</v>
      </c>
      <c r="B24" s="63" t="s">
        <v>478</v>
      </c>
      <c r="C24" s="2" t="s">
        <v>601</v>
      </c>
      <c r="D24" s="2">
        <v>4181094</v>
      </c>
      <c r="E24" s="2" t="s">
        <v>53</v>
      </c>
      <c r="F24" s="2" t="s">
        <v>224</v>
      </c>
      <c r="G24" s="71">
        <v>59</v>
      </c>
      <c r="H24" s="55">
        <v>59</v>
      </c>
      <c r="I24" s="92">
        <v>18961830</v>
      </c>
      <c r="J24" s="89">
        <v>46179</v>
      </c>
      <c r="K24" s="88">
        <v>0</v>
      </c>
      <c r="L24" s="88">
        <v>780</v>
      </c>
      <c r="M24" s="82"/>
      <c r="N24" s="2"/>
      <c r="O24" s="91" t="s">
        <v>500</v>
      </c>
      <c r="P24" s="2">
        <f t="shared" si="0"/>
        <v>1770</v>
      </c>
      <c r="Q24" s="1">
        <f>IFERROR(VLOOKUP(D24,'Seed conv.'!$A$2:$D$188,4,0),"0")</f>
        <v>30</v>
      </c>
    </row>
    <row r="25" spans="1:17" ht="16" x14ac:dyDescent="0.35">
      <c r="A25" s="2">
        <v>23</v>
      </c>
      <c r="B25" s="63" t="s">
        <v>478</v>
      </c>
      <c r="C25" s="2" t="s">
        <v>601</v>
      </c>
      <c r="D25" s="2">
        <v>4226245</v>
      </c>
      <c r="E25" s="2" t="s">
        <v>358</v>
      </c>
      <c r="F25" s="2" t="s">
        <v>229</v>
      </c>
      <c r="G25" s="71">
        <v>1</v>
      </c>
      <c r="H25" s="55">
        <v>1</v>
      </c>
      <c r="I25" s="92">
        <v>20161168</v>
      </c>
      <c r="J25" s="89">
        <v>46208</v>
      </c>
      <c r="K25" s="88">
        <v>0</v>
      </c>
      <c r="L25" s="88">
        <v>1</v>
      </c>
      <c r="M25" s="82"/>
      <c r="N25" s="2"/>
      <c r="O25" s="91" t="s">
        <v>487</v>
      </c>
      <c r="P25" s="2">
        <f t="shared" si="0"/>
        <v>30</v>
      </c>
      <c r="Q25" s="1">
        <f>IFERROR(VLOOKUP(D25,'Seed conv.'!$A$2:$D$188,4,0),"0")</f>
        <v>30</v>
      </c>
    </row>
    <row r="26" spans="1:17" ht="16" x14ac:dyDescent="0.35">
      <c r="A26" s="2">
        <v>24</v>
      </c>
      <c r="B26" s="63" t="s">
        <v>478</v>
      </c>
      <c r="C26" s="2" t="s">
        <v>601</v>
      </c>
      <c r="D26" s="2">
        <v>4118665</v>
      </c>
      <c r="E26" s="2" t="s">
        <v>231</v>
      </c>
      <c r="F26" s="2" t="s">
        <v>198</v>
      </c>
      <c r="G26" s="71">
        <v>60</v>
      </c>
      <c r="H26" s="55">
        <v>60</v>
      </c>
      <c r="I26" s="92" t="s">
        <v>506</v>
      </c>
      <c r="J26" s="89">
        <v>46289</v>
      </c>
      <c r="K26" s="88">
        <v>0</v>
      </c>
      <c r="L26" s="88">
        <v>209</v>
      </c>
      <c r="M26" s="82"/>
      <c r="N26" s="2"/>
      <c r="O26" s="91" t="s">
        <v>492</v>
      </c>
      <c r="P26" s="2">
        <f t="shared" si="0"/>
        <v>6</v>
      </c>
      <c r="Q26" s="1">
        <f>IFERROR(VLOOKUP(D26,'Seed conv.'!$A$2:$D$188,4,0),"0")</f>
        <v>0.1</v>
      </c>
    </row>
    <row r="27" spans="1:17" ht="16" x14ac:dyDescent="0.35">
      <c r="A27" s="2">
        <v>25</v>
      </c>
      <c r="B27" s="63" t="s">
        <v>478</v>
      </c>
      <c r="C27" s="2" t="s">
        <v>601</v>
      </c>
      <c r="D27" s="2">
        <v>4158231</v>
      </c>
      <c r="E27" s="2" t="s">
        <v>212</v>
      </c>
      <c r="F27" s="2" t="s">
        <v>39</v>
      </c>
      <c r="G27" s="71">
        <v>402</v>
      </c>
      <c r="H27" s="55">
        <v>352</v>
      </c>
      <c r="I27" s="92" t="s">
        <v>507</v>
      </c>
      <c r="J27" s="89">
        <v>46309</v>
      </c>
      <c r="K27" s="88">
        <v>0</v>
      </c>
      <c r="L27" s="88">
        <v>352</v>
      </c>
      <c r="M27" s="82"/>
      <c r="N27" s="2"/>
      <c r="O27" s="91"/>
      <c r="P27" s="2">
        <f t="shared" si="0"/>
        <v>35.200000000000003</v>
      </c>
      <c r="Q27" s="1">
        <f>IFERROR(VLOOKUP(D27,'Seed conv.'!$A$2:$D$188,4,0),"0")</f>
        <v>0.1</v>
      </c>
    </row>
    <row r="28" spans="1:17" ht="16" x14ac:dyDescent="0.35">
      <c r="A28" s="2">
        <v>26</v>
      </c>
      <c r="B28" s="63" t="s">
        <v>478</v>
      </c>
      <c r="C28" s="2" t="s">
        <v>601</v>
      </c>
      <c r="D28" s="2">
        <v>4160722</v>
      </c>
      <c r="E28" s="2" t="s">
        <v>63</v>
      </c>
      <c r="F28" s="2" t="s">
        <v>47</v>
      </c>
      <c r="G28" s="71">
        <v>21</v>
      </c>
      <c r="H28" s="55">
        <v>21</v>
      </c>
      <c r="I28" s="92">
        <v>150706505</v>
      </c>
      <c r="J28" s="89">
        <v>46337</v>
      </c>
      <c r="K28" s="88">
        <v>0</v>
      </c>
      <c r="L28" s="88">
        <v>21</v>
      </c>
      <c r="M28" s="82"/>
      <c r="N28" s="2"/>
      <c r="O28" s="91"/>
      <c r="P28" s="2">
        <f t="shared" si="0"/>
        <v>630</v>
      </c>
      <c r="Q28" s="1">
        <f>IFERROR(VLOOKUP(D28,'Seed conv.'!$A$2:$D$188,4,0),"0")</f>
        <v>30</v>
      </c>
    </row>
    <row r="29" spans="1:17" ht="16" x14ac:dyDescent="0.35">
      <c r="A29" s="2">
        <v>27</v>
      </c>
      <c r="B29" s="63" t="s">
        <v>478</v>
      </c>
      <c r="C29" s="2" t="s">
        <v>601</v>
      </c>
      <c r="D29" s="2">
        <v>4165670</v>
      </c>
      <c r="E29" s="2" t="s">
        <v>548</v>
      </c>
      <c r="F29" s="2" t="s">
        <v>229</v>
      </c>
      <c r="G29" s="71">
        <v>1126</v>
      </c>
      <c r="H29" s="55">
        <v>1095</v>
      </c>
      <c r="I29" s="92">
        <v>20860869</v>
      </c>
      <c r="J29" s="89">
        <v>46347</v>
      </c>
      <c r="K29" s="88">
        <v>32</v>
      </c>
      <c r="L29" s="88">
        <v>1305.7</v>
      </c>
      <c r="M29" s="82"/>
      <c r="N29" s="2"/>
      <c r="O29" s="91" t="s">
        <v>509</v>
      </c>
      <c r="P29" s="2">
        <f t="shared" si="0"/>
        <v>32850</v>
      </c>
      <c r="Q29" s="1">
        <f>IFERROR(VLOOKUP(D29,'Seed conv.'!$A$2:$D$188,4,0),"0")</f>
        <v>30</v>
      </c>
    </row>
    <row r="30" spans="1:17" ht="16" x14ac:dyDescent="0.35">
      <c r="A30" s="2">
        <v>28</v>
      </c>
      <c r="B30" s="63" t="s">
        <v>478</v>
      </c>
      <c r="C30" s="2" t="s">
        <v>601</v>
      </c>
      <c r="D30" s="2">
        <v>4187261</v>
      </c>
      <c r="E30" s="2" t="s">
        <v>232</v>
      </c>
      <c r="F30" s="2" t="s">
        <v>47</v>
      </c>
      <c r="G30" s="71">
        <v>1287</v>
      </c>
      <c r="H30" s="55">
        <v>1287</v>
      </c>
      <c r="I30" s="92">
        <v>19564757</v>
      </c>
      <c r="J30" s="89">
        <v>46348</v>
      </c>
      <c r="K30" s="88">
        <v>0</v>
      </c>
      <c r="L30" s="88">
        <v>1287</v>
      </c>
      <c r="M30" s="82"/>
      <c r="N30" s="2"/>
      <c r="O30" s="91" t="s">
        <v>487</v>
      </c>
      <c r="P30" s="2">
        <f t="shared" si="0"/>
        <v>38610</v>
      </c>
      <c r="Q30" s="1">
        <f>IFERROR(VLOOKUP(D30,'Seed conv.'!$A$2:$D$188,4,0),"0")</f>
        <v>30</v>
      </c>
    </row>
    <row r="31" spans="1:17" ht="16" x14ac:dyDescent="0.35">
      <c r="A31" s="2">
        <v>29</v>
      </c>
      <c r="B31" s="63" t="s">
        <v>478</v>
      </c>
      <c r="C31" s="2" t="s">
        <v>601</v>
      </c>
      <c r="D31" s="2">
        <v>4178643</v>
      </c>
      <c r="E31" s="2" t="s">
        <v>228</v>
      </c>
      <c r="F31" s="2" t="s">
        <v>47</v>
      </c>
      <c r="G31" s="71">
        <v>1280</v>
      </c>
      <c r="H31" s="55">
        <v>1280</v>
      </c>
      <c r="I31" s="92">
        <v>20694629</v>
      </c>
      <c r="J31" s="89">
        <v>46366</v>
      </c>
      <c r="K31" s="88">
        <v>0</v>
      </c>
      <c r="L31" s="88">
        <v>1273</v>
      </c>
      <c r="M31" s="82"/>
      <c r="N31" s="2"/>
      <c r="O31" s="91" t="s">
        <v>492</v>
      </c>
      <c r="P31" s="2">
        <f t="shared" si="0"/>
        <v>38400</v>
      </c>
      <c r="Q31" s="1">
        <f>IFERROR(VLOOKUP(D31,'Seed conv.'!$A$2:$D$188,4,0),"0")</f>
        <v>30</v>
      </c>
    </row>
    <row r="32" spans="1:17" ht="16" x14ac:dyDescent="0.35">
      <c r="A32" s="2">
        <v>30</v>
      </c>
      <c r="B32" s="63" t="s">
        <v>478</v>
      </c>
      <c r="C32" s="2" t="s">
        <v>601</v>
      </c>
      <c r="D32" s="2">
        <v>4181098</v>
      </c>
      <c r="E32" s="2" t="s">
        <v>508</v>
      </c>
      <c r="F32" s="2" t="s">
        <v>431</v>
      </c>
      <c r="G32" s="71">
        <v>176</v>
      </c>
      <c r="H32" s="55">
        <v>176</v>
      </c>
      <c r="I32" s="92">
        <v>19564764</v>
      </c>
      <c r="J32" s="89">
        <v>46368</v>
      </c>
      <c r="K32" s="88">
        <v>0</v>
      </c>
      <c r="L32" s="88">
        <v>176</v>
      </c>
      <c r="M32" s="82"/>
      <c r="N32" s="2"/>
      <c r="O32" s="91" t="s">
        <v>487</v>
      </c>
      <c r="P32" s="2">
        <f t="shared" si="0"/>
        <v>5280</v>
      </c>
      <c r="Q32" s="1">
        <f>IFERROR(VLOOKUP(D32,'Seed conv.'!$A$2:$D$188,4,0),"0")</f>
        <v>30</v>
      </c>
    </row>
    <row r="33" spans="1:17" ht="16" x14ac:dyDescent="0.35">
      <c r="A33" s="2">
        <v>31</v>
      </c>
      <c r="B33" s="63" t="s">
        <v>478</v>
      </c>
      <c r="C33" s="2" t="s">
        <v>601</v>
      </c>
      <c r="D33" s="2">
        <v>4165680</v>
      </c>
      <c r="E33" s="2" t="s">
        <v>549</v>
      </c>
      <c r="F33" s="2" t="s">
        <v>229</v>
      </c>
      <c r="G33" s="71">
        <v>4316</v>
      </c>
      <c r="H33" s="55">
        <v>4316</v>
      </c>
      <c r="I33" s="92">
        <v>140309114</v>
      </c>
      <c r="J33" s="89">
        <v>46368</v>
      </c>
      <c r="K33" s="88">
        <v>5</v>
      </c>
      <c r="L33" s="88">
        <v>4461</v>
      </c>
      <c r="M33" s="82"/>
      <c r="N33" s="2"/>
      <c r="O33" s="91" t="s">
        <v>487</v>
      </c>
      <c r="P33" s="2">
        <f t="shared" si="0"/>
        <v>129480</v>
      </c>
      <c r="Q33" s="1">
        <f>IFERROR(VLOOKUP(D33,'Seed conv.'!$A$2:$D$188,4,0),"0")</f>
        <v>30</v>
      </c>
    </row>
    <row r="34" spans="1:17" ht="16" x14ac:dyDescent="0.35">
      <c r="A34" s="2">
        <v>32</v>
      </c>
      <c r="B34" s="63" t="s">
        <v>478</v>
      </c>
      <c r="C34" s="2" t="s">
        <v>601</v>
      </c>
      <c r="D34" s="2">
        <v>4135831</v>
      </c>
      <c r="E34" s="2" t="s">
        <v>62</v>
      </c>
      <c r="F34" s="2" t="s">
        <v>203</v>
      </c>
      <c r="G34" s="71">
        <v>187</v>
      </c>
      <c r="H34" s="55">
        <v>187</v>
      </c>
      <c r="I34" s="92" t="s">
        <v>513</v>
      </c>
      <c r="J34" s="89">
        <v>46368</v>
      </c>
      <c r="K34" s="88">
        <v>0</v>
      </c>
      <c r="L34" s="88">
        <v>187</v>
      </c>
      <c r="M34" s="82"/>
      <c r="N34" s="2"/>
      <c r="O34" s="91" t="s">
        <v>479</v>
      </c>
      <c r="P34" s="2">
        <f t="shared" si="0"/>
        <v>18.7</v>
      </c>
      <c r="Q34" s="1">
        <f>IFERROR(VLOOKUP(D34,'Seed conv.'!$A$2:$D$188,4,0),"0")</f>
        <v>0.1</v>
      </c>
    </row>
    <row r="35" spans="1:17" ht="16" x14ac:dyDescent="0.35">
      <c r="A35" s="2">
        <v>33</v>
      </c>
      <c r="B35" s="63" t="s">
        <v>478</v>
      </c>
      <c r="C35" s="2" t="s">
        <v>601</v>
      </c>
      <c r="D35" s="2">
        <v>4135823</v>
      </c>
      <c r="E35" s="2" t="s">
        <v>62</v>
      </c>
      <c r="F35" s="2" t="s">
        <v>207</v>
      </c>
      <c r="G35" s="71">
        <v>288</v>
      </c>
      <c r="H35" s="55">
        <v>288</v>
      </c>
      <c r="I35" s="92" t="s">
        <v>514</v>
      </c>
      <c r="J35" s="89">
        <v>46368</v>
      </c>
      <c r="K35" s="88">
        <v>0</v>
      </c>
      <c r="L35" s="88">
        <v>260</v>
      </c>
      <c r="M35" s="82"/>
      <c r="N35" s="2"/>
      <c r="O35" s="91" t="s">
        <v>479</v>
      </c>
      <c r="P35" s="2">
        <f t="shared" si="0"/>
        <v>14.4</v>
      </c>
      <c r="Q35" s="1">
        <f>IFERROR(VLOOKUP(D35,'Seed conv.'!$A$2:$D$188,4,0),"0")</f>
        <v>0.05</v>
      </c>
    </row>
    <row r="36" spans="1:17" ht="16" x14ac:dyDescent="0.35">
      <c r="A36" s="2">
        <v>34</v>
      </c>
      <c r="B36" s="63" t="s">
        <v>478</v>
      </c>
      <c r="C36" s="2" t="s">
        <v>601</v>
      </c>
      <c r="D36" s="2">
        <v>4114197</v>
      </c>
      <c r="E36" s="2" t="s">
        <v>221</v>
      </c>
      <c r="F36" s="2" t="s">
        <v>205</v>
      </c>
      <c r="G36" s="71">
        <v>29</v>
      </c>
      <c r="H36" s="55">
        <v>29</v>
      </c>
      <c r="I36" s="92" t="s">
        <v>489</v>
      </c>
      <c r="J36" s="89">
        <v>46388</v>
      </c>
      <c r="K36" s="88">
        <v>0</v>
      </c>
      <c r="L36" s="88">
        <v>29</v>
      </c>
      <c r="M36" s="82"/>
      <c r="N36" s="2"/>
      <c r="O36" s="91" t="s">
        <v>479</v>
      </c>
      <c r="P36" s="2">
        <f t="shared" si="0"/>
        <v>2.9000000000000004</v>
      </c>
      <c r="Q36" s="1">
        <f>IFERROR(VLOOKUP(D36,'Seed conv.'!$A$2:$D$188,4,0),"0")</f>
        <v>0.1</v>
      </c>
    </row>
    <row r="37" spans="1:17" ht="16" x14ac:dyDescent="0.35">
      <c r="A37" s="2">
        <v>35</v>
      </c>
      <c r="B37" s="63" t="s">
        <v>478</v>
      </c>
      <c r="C37" s="2" t="s">
        <v>601</v>
      </c>
      <c r="D37" s="2">
        <v>4181083</v>
      </c>
      <c r="E37" s="2" t="s">
        <v>52</v>
      </c>
      <c r="F37" s="2" t="s">
        <v>224</v>
      </c>
      <c r="G37" s="71">
        <v>4715</v>
      </c>
      <c r="H37" s="55">
        <v>4715</v>
      </c>
      <c r="I37" s="92">
        <v>20763640</v>
      </c>
      <c r="J37" s="89">
        <v>46388</v>
      </c>
      <c r="K37" s="88">
        <v>0</v>
      </c>
      <c r="L37" s="88">
        <v>4558.66</v>
      </c>
      <c r="M37" s="82"/>
      <c r="N37" s="2"/>
      <c r="O37" s="91" t="s">
        <v>487</v>
      </c>
      <c r="P37" s="2">
        <f t="shared" si="0"/>
        <v>141450</v>
      </c>
      <c r="Q37" s="1">
        <f>IFERROR(VLOOKUP(D37,'Seed conv.'!$A$2:$D$188,4,0),"0")</f>
        <v>30</v>
      </c>
    </row>
    <row r="38" spans="1:17" ht="16" x14ac:dyDescent="0.35">
      <c r="A38" s="2">
        <v>36</v>
      </c>
      <c r="B38" s="63" t="s">
        <v>478</v>
      </c>
      <c r="C38" s="2" t="s">
        <v>601</v>
      </c>
      <c r="D38" s="2">
        <v>4144723</v>
      </c>
      <c r="E38" s="2" t="s">
        <v>57</v>
      </c>
      <c r="F38" s="2" t="s">
        <v>207</v>
      </c>
      <c r="G38" s="71">
        <v>433</v>
      </c>
      <c r="H38" s="55">
        <v>223</v>
      </c>
      <c r="I38" s="92" t="s">
        <v>503</v>
      </c>
      <c r="J38" s="89">
        <v>46388</v>
      </c>
      <c r="K38" s="88">
        <v>10</v>
      </c>
      <c r="L38" s="88">
        <v>333</v>
      </c>
      <c r="M38" s="82"/>
      <c r="N38" s="2"/>
      <c r="O38" s="91" t="s">
        <v>479</v>
      </c>
      <c r="P38" s="2">
        <f t="shared" si="0"/>
        <v>11.15</v>
      </c>
      <c r="Q38" s="1">
        <f>IFERROR(VLOOKUP(D38,'Seed conv.'!$A$2:$D$188,4,0),"0")</f>
        <v>0.05</v>
      </c>
    </row>
    <row r="39" spans="1:17" ht="16" x14ac:dyDescent="0.35">
      <c r="A39" s="2">
        <v>37</v>
      </c>
      <c r="B39" s="63" t="s">
        <v>478</v>
      </c>
      <c r="C39" s="2" t="s">
        <v>601</v>
      </c>
      <c r="D39" s="2">
        <v>254853</v>
      </c>
      <c r="E39" s="2" t="s">
        <v>490</v>
      </c>
      <c r="F39" s="2" t="s">
        <v>203</v>
      </c>
      <c r="G39" s="71">
        <v>1309</v>
      </c>
      <c r="H39" s="55">
        <v>374</v>
      </c>
      <c r="I39" s="92" t="s">
        <v>491</v>
      </c>
      <c r="J39" s="89">
        <v>46393</v>
      </c>
      <c r="K39" s="88">
        <v>282</v>
      </c>
      <c r="L39" s="88">
        <v>374</v>
      </c>
      <c r="M39" s="82"/>
      <c r="N39" s="2"/>
      <c r="O39" s="91" t="s">
        <v>492</v>
      </c>
      <c r="P39" s="2">
        <f t="shared" si="0"/>
        <v>37.4</v>
      </c>
      <c r="Q39" s="1">
        <f>IFERROR(VLOOKUP(D39,'Seed conv.'!$A$2:$D$188,4,0),"0")</f>
        <v>0.1</v>
      </c>
    </row>
    <row r="40" spans="1:17" ht="16" x14ac:dyDescent="0.35">
      <c r="A40" s="2">
        <v>38</v>
      </c>
      <c r="B40" s="63" t="s">
        <v>478</v>
      </c>
      <c r="C40" s="2" t="s">
        <v>601</v>
      </c>
      <c r="D40" s="2">
        <v>4135874</v>
      </c>
      <c r="E40" s="2" t="s">
        <v>420</v>
      </c>
      <c r="F40" s="2" t="s">
        <v>203</v>
      </c>
      <c r="G40" s="71">
        <v>59</v>
      </c>
      <c r="H40" s="55">
        <v>59</v>
      </c>
      <c r="I40" s="92" t="s">
        <v>510</v>
      </c>
      <c r="J40" s="89">
        <v>46393</v>
      </c>
      <c r="K40" s="88">
        <v>0</v>
      </c>
      <c r="L40" s="88">
        <v>59</v>
      </c>
      <c r="M40" s="82"/>
      <c r="N40" s="2"/>
      <c r="O40" s="91"/>
      <c r="P40" s="2">
        <f t="shared" si="0"/>
        <v>5.9</v>
      </c>
      <c r="Q40" s="1">
        <f>IFERROR(VLOOKUP(D40,'Seed conv.'!$A$2:$D$188,4,0),"0")</f>
        <v>0.1</v>
      </c>
    </row>
    <row r="41" spans="1:17" ht="16" x14ac:dyDescent="0.35">
      <c r="A41" s="2">
        <v>39</v>
      </c>
      <c r="B41" s="63" t="s">
        <v>478</v>
      </c>
      <c r="C41" s="2" t="s">
        <v>601</v>
      </c>
      <c r="D41" s="2">
        <v>4075565</v>
      </c>
      <c r="E41" s="2" t="s">
        <v>511</v>
      </c>
      <c r="F41" s="2" t="s">
        <v>203</v>
      </c>
      <c r="G41" s="71">
        <v>110</v>
      </c>
      <c r="H41" s="55">
        <v>110</v>
      </c>
      <c r="I41" s="92" t="s">
        <v>512</v>
      </c>
      <c r="J41" s="89">
        <v>46393</v>
      </c>
      <c r="K41" s="88">
        <v>0</v>
      </c>
      <c r="L41" s="88">
        <v>110</v>
      </c>
      <c r="M41" s="82"/>
      <c r="N41" s="2"/>
      <c r="O41" s="91"/>
      <c r="P41" s="2">
        <f t="shared" si="0"/>
        <v>11</v>
      </c>
      <c r="Q41" s="1">
        <f>IFERROR(VLOOKUP(D41,'Seed conv.'!$A$2:$D$188,4,0),"0")</f>
        <v>0.1</v>
      </c>
    </row>
    <row r="42" spans="1:17" ht="16" x14ac:dyDescent="0.35">
      <c r="A42" s="2">
        <v>40</v>
      </c>
      <c r="B42" s="63" t="s">
        <v>478</v>
      </c>
      <c r="C42" s="2" t="s">
        <v>601</v>
      </c>
      <c r="D42" s="2">
        <v>4102903</v>
      </c>
      <c r="E42" s="2" t="s">
        <v>511</v>
      </c>
      <c r="F42" s="2" t="s">
        <v>207</v>
      </c>
      <c r="G42" s="71">
        <v>200</v>
      </c>
      <c r="H42" s="55">
        <v>200</v>
      </c>
      <c r="I42" s="92" t="s">
        <v>512</v>
      </c>
      <c r="J42" s="89">
        <v>46393</v>
      </c>
      <c r="K42" s="88">
        <v>0</v>
      </c>
      <c r="L42" s="88">
        <v>200</v>
      </c>
      <c r="M42" s="82"/>
      <c r="N42" s="2"/>
      <c r="O42" s="91"/>
      <c r="P42" s="2">
        <f t="shared" si="0"/>
        <v>10</v>
      </c>
      <c r="Q42" s="1">
        <f>IFERROR(VLOOKUP(D42,'Seed conv.'!$A$2:$D$188,4,0),"0")</f>
        <v>0.05</v>
      </c>
    </row>
    <row r="43" spans="1:17" ht="16" x14ac:dyDescent="0.35">
      <c r="A43" s="2">
        <v>41</v>
      </c>
      <c r="B43" s="63" t="s">
        <v>478</v>
      </c>
      <c r="C43" s="2" t="s">
        <v>601</v>
      </c>
      <c r="D43" s="2">
        <v>4181097</v>
      </c>
      <c r="E43" s="2" t="s">
        <v>526</v>
      </c>
      <c r="F43" s="2" t="s">
        <v>527</v>
      </c>
      <c r="G43" s="71">
        <v>269</v>
      </c>
      <c r="H43" s="55">
        <v>269</v>
      </c>
      <c r="I43" s="92">
        <v>20711251</v>
      </c>
      <c r="J43" s="89">
        <v>46395</v>
      </c>
      <c r="K43" s="88">
        <v>0</v>
      </c>
      <c r="L43" s="88">
        <v>269</v>
      </c>
      <c r="M43" s="82"/>
      <c r="N43" s="2"/>
      <c r="O43" s="91" t="s">
        <v>487</v>
      </c>
      <c r="P43" s="2">
        <f t="shared" si="0"/>
        <v>8070</v>
      </c>
      <c r="Q43" s="1">
        <f>IFERROR(VLOOKUP(D43,'Seed conv.'!$A$2:$D$188,4,0),"0")</f>
        <v>30</v>
      </c>
    </row>
    <row r="44" spans="1:17" ht="16" x14ac:dyDescent="0.35">
      <c r="A44" s="2">
        <v>42</v>
      </c>
      <c r="B44" s="63" t="s">
        <v>478</v>
      </c>
      <c r="C44" s="2" t="s">
        <v>601</v>
      </c>
      <c r="D44" s="2">
        <v>4211861</v>
      </c>
      <c r="E44" s="2" t="s">
        <v>311</v>
      </c>
      <c r="F44" s="2" t="s">
        <v>47</v>
      </c>
      <c r="G44" s="71">
        <v>1502</v>
      </c>
      <c r="H44" s="55">
        <v>1502</v>
      </c>
      <c r="I44" s="92">
        <v>20694626</v>
      </c>
      <c r="J44" s="89">
        <v>46408</v>
      </c>
      <c r="K44" s="88">
        <v>0</v>
      </c>
      <c r="L44" s="88">
        <v>1502</v>
      </c>
      <c r="M44" s="82"/>
      <c r="N44" s="2"/>
      <c r="O44" s="91" t="s">
        <v>487</v>
      </c>
      <c r="P44" s="2">
        <f t="shared" si="0"/>
        <v>45060</v>
      </c>
      <c r="Q44" s="1">
        <f>IFERROR(VLOOKUP(D44,'Seed conv.'!$A$2:$D$188,4,0),"0")</f>
        <v>30</v>
      </c>
    </row>
    <row r="45" spans="1:17" ht="16" x14ac:dyDescent="0.35">
      <c r="A45" s="2">
        <v>43</v>
      </c>
      <c r="B45" s="63" t="s">
        <v>478</v>
      </c>
      <c r="C45" s="2" t="s">
        <v>601</v>
      </c>
      <c r="D45" s="2">
        <v>4171593</v>
      </c>
      <c r="E45" s="2" t="s">
        <v>222</v>
      </c>
      <c r="F45" s="2" t="s">
        <v>47</v>
      </c>
      <c r="G45" s="71">
        <v>1737</v>
      </c>
      <c r="H45" s="55">
        <v>1737</v>
      </c>
      <c r="I45" s="92" t="s">
        <v>528</v>
      </c>
      <c r="J45" s="89">
        <v>46410</v>
      </c>
      <c r="K45" s="88">
        <v>0</v>
      </c>
      <c r="L45" s="88">
        <v>1737.3340000000001</v>
      </c>
      <c r="M45" s="82"/>
      <c r="N45" s="2"/>
      <c r="O45" s="91" t="s">
        <v>487</v>
      </c>
      <c r="P45" s="2">
        <f t="shared" si="0"/>
        <v>52110</v>
      </c>
      <c r="Q45" s="1">
        <f>IFERROR(VLOOKUP(D45,'Seed conv.'!$A$2:$D$188,4,0),"0")</f>
        <v>30</v>
      </c>
    </row>
    <row r="46" spans="1:17" ht="16" x14ac:dyDescent="0.35">
      <c r="A46" s="2">
        <v>44</v>
      </c>
      <c r="B46" s="63" t="s">
        <v>478</v>
      </c>
      <c r="C46" s="2" t="s">
        <v>601</v>
      </c>
      <c r="D46" s="2">
        <v>4181092</v>
      </c>
      <c r="E46" s="2" t="s">
        <v>54</v>
      </c>
      <c r="F46" s="2" t="s">
        <v>229</v>
      </c>
      <c r="G46" s="71">
        <v>1577</v>
      </c>
      <c r="H46" s="55">
        <v>1577</v>
      </c>
      <c r="I46" s="92">
        <v>151410042</v>
      </c>
      <c r="J46" s="89">
        <v>46415</v>
      </c>
      <c r="K46" s="88">
        <v>0</v>
      </c>
      <c r="L46" s="88">
        <v>1576.66</v>
      </c>
      <c r="M46" s="82"/>
      <c r="N46" s="2"/>
      <c r="O46" s="91" t="s">
        <v>487</v>
      </c>
      <c r="P46" s="2">
        <f t="shared" si="0"/>
        <v>47310</v>
      </c>
      <c r="Q46" s="1">
        <f>IFERROR(VLOOKUP(D46,'Seed conv.'!$A$2:$D$188,4,0),"0")</f>
        <v>30</v>
      </c>
    </row>
    <row r="47" spans="1:17" ht="16" x14ac:dyDescent="0.35">
      <c r="A47" s="2">
        <v>45</v>
      </c>
      <c r="B47" s="63" t="s">
        <v>478</v>
      </c>
      <c r="C47" s="2" t="s">
        <v>601</v>
      </c>
      <c r="D47" s="2">
        <v>4165668</v>
      </c>
      <c r="E47" s="2" t="s">
        <v>60</v>
      </c>
      <c r="F47" s="2" t="s">
        <v>229</v>
      </c>
      <c r="G47" s="71">
        <v>6252</v>
      </c>
      <c r="H47" s="55">
        <v>6252</v>
      </c>
      <c r="I47" s="92">
        <v>150509234</v>
      </c>
      <c r="J47" s="89">
        <v>46415</v>
      </c>
      <c r="K47" s="88">
        <v>16</v>
      </c>
      <c r="L47" s="88">
        <v>6374</v>
      </c>
      <c r="M47" s="82"/>
      <c r="N47" s="2"/>
      <c r="O47" s="91" t="s">
        <v>487</v>
      </c>
      <c r="P47" s="2">
        <f t="shared" si="0"/>
        <v>187560</v>
      </c>
      <c r="Q47" s="1">
        <f>IFERROR(VLOOKUP(D47,'Seed conv.'!$A$2:$D$188,4,0),"0")</f>
        <v>30</v>
      </c>
    </row>
    <row r="48" spans="1:17" ht="16" x14ac:dyDescent="0.35">
      <c r="A48" s="2">
        <v>46</v>
      </c>
      <c r="B48" s="63" t="s">
        <v>478</v>
      </c>
      <c r="C48" s="2" t="s">
        <v>601</v>
      </c>
      <c r="D48" s="2">
        <v>4181098</v>
      </c>
      <c r="E48" s="2" t="s">
        <v>508</v>
      </c>
      <c r="F48" s="2" t="s">
        <v>431</v>
      </c>
      <c r="G48" s="71">
        <v>213</v>
      </c>
      <c r="H48" s="55">
        <v>213</v>
      </c>
      <c r="I48" s="92">
        <v>20694635</v>
      </c>
      <c r="J48" s="89">
        <v>46417</v>
      </c>
      <c r="K48" s="88">
        <v>0</v>
      </c>
      <c r="L48" s="88">
        <v>213</v>
      </c>
      <c r="M48" s="82"/>
      <c r="N48" s="2"/>
      <c r="O48" s="91"/>
      <c r="P48" s="2">
        <f t="shared" si="0"/>
        <v>6390</v>
      </c>
      <c r="Q48" s="1">
        <f>IFERROR(VLOOKUP(D48,'Seed conv.'!$A$2:$D$188,4,0),"0")</f>
        <v>30</v>
      </c>
    </row>
    <row r="49" spans="1:17" ht="16" x14ac:dyDescent="0.35">
      <c r="A49" s="2">
        <v>47</v>
      </c>
      <c r="B49" s="63" t="s">
        <v>478</v>
      </c>
      <c r="C49" s="2" t="s">
        <v>601</v>
      </c>
      <c r="D49" s="2">
        <v>4165679</v>
      </c>
      <c r="E49" s="2" t="s">
        <v>550</v>
      </c>
      <c r="F49" s="2" t="s">
        <v>229</v>
      </c>
      <c r="G49" s="71">
        <v>1180</v>
      </c>
      <c r="H49" s="55">
        <v>1180</v>
      </c>
      <c r="I49" s="92">
        <v>150308102</v>
      </c>
      <c r="J49" s="89">
        <v>46419</v>
      </c>
      <c r="K49" s="88">
        <v>0</v>
      </c>
      <c r="L49" s="88">
        <v>962</v>
      </c>
      <c r="M49" s="82"/>
      <c r="N49" s="2"/>
      <c r="O49" s="91" t="s">
        <v>487</v>
      </c>
      <c r="P49" s="2">
        <f t="shared" si="0"/>
        <v>35400</v>
      </c>
      <c r="Q49" s="1">
        <f>IFERROR(VLOOKUP(D49,'Seed conv.'!$A$2:$D$188,4,0),"0")</f>
        <v>30</v>
      </c>
    </row>
    <row r="50" spans="1:17" ht="16" x14ac:dyDescent="0.35">
      <c r="A50" s="2">
        <v>48</v>
      </c>
      <c r="B50" s="63" t="s">
        <v>478</v>
      </c>
      <c r="C50" s="2" t="s">
        <v>601</v>
      </c>
      <c r="D50" s="2">
        <v>4132141</v>
      </c>
      <c r="E50" s="2" t="s">
        <v>46</v>
      </c>
      <c r="F50" s="2" t="s">
        <v>216</v>
      </c>
      <c r="G50" s="71">
        <v>200</v>
      </c>
      <c r="H50" s="55">
        <v>239.6</v>
      </c>
      <c r="I50" s="92" t="s">
        <v>486</v>
      </c>
      <c r="J50" s="89">
        <v>46420</v>
      </c>
      <c r="K50" s="88">
        <v>0</v>
      </c>
      <c r="L50" s="88">
        <v>473.6</v>
      </c>
      <c r="M50" s="82"/>
      <c r="N50" s="2"/>
      <c r="O50" s="91" t="s">
        <v>479</v>
      </c>
      <c r="P50" s="2">
        <f t="shared" si="0"/>
        <v>239.6</v>
      </c>
      <c r="Q50" s="1">
        <f>IFERROR(VLOOKUP(D50,'Seed conv.'!$A$2:$D$188,4,0),"0")</f>
        <v>1</v>
      </c>
    </row>
    <row r="51" spans="1:17" ht="16" x14ac:dyDescent="0.35">
      <c r="A51" s="2">
        <v>49</v>
      </c>
      <c r="B51" s="63" t="s">
        <v>478</v>
      </c>
      <c r="C51" s="2" t="s">
        <v>601</v>
      </c>
      <c r="D51" s="2">
        <v>4101765</v>
      </c>
      <c r="E51" s="2" t="s">
        <v>50</v>
      </c>
      <c r="F51" s="2" t="s">
        <v>214</v>
      </c>
      <c r="G51" s="71">
        <v>73</v>
      </c>
      <c r="H51" s="55">
        <v>75.5</v>
      </c>
      <c r="I51" s="92" t="s">
        <v>495</v>
      </c>
      <c r="J51" s="89">
        <v>46420</v>
      </c>
      <c r="K51" s="88">
        <v>0</v>
      </c>
      <c r="L51" s="88">
        <v>145.5</v>
      </c>
      <c r="M51" s="82"/>
      <c r="N51" s="2"/>
      <c r="O51" s="91" t="s">
        <v>479</v>
      </c>
      <c r="P51" s="2">
        <f t="shared" si="0"/>
        <v>75.5</v>
      </c>
      <c r="Q51" s="1">
        <f>IFERROR(VLOOKUP(D51,'Seed conv.'!$A$2:$D$188,4,0),"0")</f>
        <v>1</v>
      </c>
    </row>
    <row r="52" spans="1:17" ht="16" x14ac:dyDescent="0.35">
      <c r="A52" s="2">
        <v>50</v>
      </c>
      <c r="B52" s="63" t="s">
        <v>478</v>
      </c>
      <c r="C52" s="2" t="s">
        <v>601</v>
      </c>
      <c r="D52" s="2">
        <v>311461</v>
      </c>
      <c r="E52" s="2" t="s">
        <v>51</v>
      </c>
      <c r="F52" s="2" t="s">
        <v>203</v>
      </c>
      <c r="G52" s="71">
        <v>11</v>
      </c>
      <c r="H52" s="55">
        <v>11</v>
      </c>
      <c r="I52" s="92" t="s">
        <v>497</v>
      </c>
      <c r="J52" s="89">
        <v>46420</v>
      </c>
      <c r="K52" s="88">
        <v>0</v>
      </c>
      <c r="L52" s="88">
        <v>51</v>
      </c>
      <c r="M52" s="82"/>
      <c r="N52" s="2"/>
      <c r="O52" s="91" t="s">
        <v>479</v>
      </c>
      <c r="P52" s="2">
        <f t="shared" si="0"/>
        <v>1.1000000000000001</v>
      </c>
      <c r="Q52" s="1">
        <f>IFERROR(VLOOKUP(D52,'Seed conv.'!$A$2:$D$188,4,0),"0")</f>
        <v>0.1</v>
      </c>
    </row>
    <row r="53" spans="1:17" ht="16" x14ac:dyDescent="0.35">
      <c r="A53" s="2">
        <v>51</v>
      </c>
      <c r="B53" s="63" t="s">
        <v>478</v>
      </c>
      <c r="C53" s="2" t="s">
        <v>601</v>
      </c>
      <c r="D53" s="2">
        <v>4012925</v>
      </c>
      <c r="E53" s="2" t="s">
        <v>498</v>
      </c>
      <c r="F53" s="2" t="s">
        <v>203</v>
      </c>
      <c r="G53" s="71">
        <v>15</v>
      </c>
      <c r="H53" s="55">
        <v>15</v>
      </c>
      <c r="I53" s="92" t="s">
        <v>499</v>
      </c>
      <c r="J53" s="89">
        <v>46432</v>
      </c>
      <c r="K53" s="88">
        <v>0</v>
      </c>
      <c r="L53" s="88">
        <v>15</v>
      </c>
      <c r="M53" s="82"/>
      <c r="N53" s="2"/>
      <c r="O53" s="91"/>
      <c r="P53" s="2">
        <f t="shared" si="0"/>
        <v>1.5</v>
      </c>
      <c r="Q53" s="1">
        <f>IFERROR(VLOOKUP(D53,'Seed conv.'!$A$2:$D$188,4,0),"0")</f>
        <v>0.1</v>
      </c>
    </row>
    <row r="54" spans="1:17" ht="16" x14ac:dyDescent="0.35">
      <c r="A54" s="2">
        <v>52</v>
      </c>
      <c r="B54" s="63" t="s">
        <v>478</v>
      </c>
      <c r="C54" s="2" t="s">
        <v>601</v>
      </c>
      <c r="D54" s="2">
        <v>4040520</v>
      </c>
      <c r="E54" s="2" t="s">
        <v>501</v>
      </c>
      <c r="F54" s="2" t="s">
        <v>198</v>
      </c>
      <c r="G54" s="71">
        <v>134</v>
      </c>
      <c r="H54" s="55">
        <v>134</v>
      </c>
      <c r="I54" s="92" t="s">
        <v>502</v>
      </c>
      <c r="J54" s="89">
        <v>46432</v>
      </c>
      <c r="K54" s="88">
        <v>0</v>
      </c>
      <c r="L54" s="88">
        <v>134</v>
      </c>
      <c r="M54" s="82"/>
      <c r="N54" s="2"/>
      <c r="O54" s="91"/>
      <c r="P54" s="2">
        <f t="shared" si="0"/>
        <v>13.4</v>
      </c>
      <c r="Q54" s="1">
        <f>IFERROR(VLOOKUP(D54,'Seed conv.'!$A$2:$D$188,4,0),"0")</f>
        <v>0.1</v>
      </c>
    </row>
    <row r="55" spans="1:17" ht="16" x14ac:dyDescent="0.35">
      <c r="A55" s="2">
        <v>53</v>
      </c>
      <c r="B55" s="63" t="s">
        <v>478</v>
      </c>
      <c r="C55" s="2" t="s">
        <v>601</v>
      </c>
      <c r="D55" s="2">
        <v>4216815</v>
      </c>
      <c r="E55" s="2" t="s">
        <v>529</v>
      </c>
      <c r="F55" s="2" t="s">
        <v>233</v>
      </c>
      <c r="G55" s="71">
        <v>775</v>
      </c>
      <c r="H55" s="55">
        <v>775</v>
      </c>
      <c r="I55" s="92">
        <v>150909805</v>
      </c>
      <c r="J55" s="89">
        <v>46448</v>
      </c>
      <c r="K55" s="88">
        <v>0</v>
      </c>
      <c r="L55" s="88">
        <v>716</v>
      </c>
      <c r="M55" s="82"/>
      <c r="N55" s="2"/>
      <c r="O55" s="91" t="s">
        <v>487</v>
      </c>
      <c r="P55" s="2">
        <f t="shared" si="0"/>
        <v>23250</v>
      </c>
      <c r="Q55" s="1">
        <f>IFERROR(VLOOKUP(D55,'Seed conv.'!$A$2:$D$188,4,0),"0")</f>
        <v>30</v>
      </c>
    </row>
    <row r="56" spans="1:17" ht="16" x14ac:dyDescent="0.35">
      <c r="A56" s="2">
        <v>54</v>
      </c>
      <c r="B56" s="63" t="s">
        <v>478</v>
      </c>
      <c r="C56" s="2" t="s">
        <v>601</v>
      </c>
      <c r="D56" s="2">
        <v>4165685</v>
      </c>
      <c r="E56" s="2" t="s">
        <v>619</v>
      </c>
      <c r="F56" s="2" t="s">
        <v>229</v>
      </c>
      <c r="G56" s="71">
        <v>629</v>
      </c>
      <c r="H56" s="55">
        <v>629</v>
      </c>
      <c r="I56" s="92">
        <v>150410703</v>
      </c>
      <c r="J56" s="89">
        <v>46449</v>
      </c>
      <c r="K56" s="88">
        <v>0</v>
      </c>
      <c r="L56" s="88">
        <v>79</v>
      </c>
      <c r="M56" s="82"/>
      <c r="N56" s="2"/>
      <c r="O56" s="91" t="s">
        <v>487</v>
      </c>
      <c r="P56" s="2">
        <f t="shared" si="0"/>
        <v>18870</v>
      </c>
      <c r="Q56" s="1">
        <v>30</v>
      </c>
    </row>
    <row r="57" spans="1:17" ht="16" x14ac:dyDescent="0.35">
      <c r="A57" s="2">
        <v>55</v>
      </c>
      <c r="B57" s="63" t="s">
        <v>478</v>
      </c>
      <c r="C57" s="2" t="s">
        <v>601</v>
      </c>
      <c r="D57" s="2">
        <v>4165684</v>
      </c>
      <c r="E57" s="2" t="s">
        <v>551</v>
      </c>
      <c r="F57" s="2" t="s">
        <v>229</v>
      </c>
      <c r="G57" s="71">
        <v>79</v>
      </c>
      <c r="H57" s="55">
        <v>79</v>
      </c>
      <c r="I57" s="92">
        <v>150410702</v>
      </c>
      <c r="J57" s="89">
        <v>46449</v>
      </c>
      <c r="K57" s="88">
        <v>0</v>
      </c>
      <c r="L57" s="88">
        <v>79</v>
      </c>
      <c r="M57" s="82"/>
      <c r="N57" s="2"/>
      <c r="O57" s="91" t="s">
        <v>487</v>
      </c>
      <c r="P57" s="2">
        <f t="shared" si="0"/>
        <v>2370</v>
      </c>
      <c r="Q57" s="1">
        <f>IFERROR(VLOOKUP(D57,'Seed conv.'!$A$2:$D$188,4,0),"0")</f>
        <v>30</v>
      </c>
    </row>
    <row r="58" spans="1:17" ht="16" x14ac:dyDescent="0.35">
      <c r="A58" s="2">
        <v>56</v>
      </c>
      <c r="B58" s="63" t="s">
        <v>478</v>
      </c>
      <c r="C58" s="2" t="s">
        <v>601</v>
      </c>
      <c r="D58" s="2">
        <v>4170972</v>
      </c>
      <c r="E58" s="2" t="s">
        <v>64</v>
      </c>
      <c r="F58" s="2" t="s">
        <v>233</v>
      </c>
      <c r="G58" s="71">
        <v>2101</v>
      </c>
      <c r="H58" s="55">
        <v>2151</v>
      </c>
      <c r="I58" s="92">
        <v>150109618</v>
      </c>
      <c r="J58" s="89">
        <v>46449</v>
      </c>
      <c r="K58" s="88">
        <v>0</v>
      </c>
      <c r="L58" s="88">
        <v>2231</v>
      </c>
      <c r="M58" s="82"/>
      <c r="N58" s="2"/>
      <c r="O58" s="91" t="s">
        <v>487</v>
      </c>
      <c r="P58" s="2">
        <f t="shared" si="0"/>
        <v>64530</v>
      </c>
      <c r="Q58" s="1">
        <f>IFERROR(VLOOKUP(D58,'Seed conv.'!$A$2:$D$188,4,0),"0")</f>
        <v>30</v>
      </c>
    </row>
    <row r="59" spans="1:17" ht="16" x14ac:dyDescent="0.35">
      <c r="A59" s="2">
        <v>57</v>
      </c>
      <c r="B59" s="63" t="s">
        <v>478</v>
      </c>
      <c r="C59" s="2" t="s">
        <v>601</v>
      </c>
      <c r="D59" s="2">
        <v>4170977</v>
      </c>
      <c r="E59" s="2" t="s">
        <v>41</v>
      </c>
      <c r="F59" s="2" t="s">
        <v>198</v>
      </c>
      <c r="G59" s="71">
        <v>54</v>
      </c>
      <c r="H59" s="55">
        <v>54</v>
      </c>
      <c r="I59" s="92" t="s">
        <v>530</v>
      </c>
      <c r="J59" s="89">
        <v>46465</v>
      </c>
      <c r="K59" s="88">
        <v>62</v>
      </c>
      <c r="L59" s="88">
        <v>205</v>
      </c>
      <c r="M59" s="82"/>
      <c r="N59" s="2"/>
      <c r="O59" s="91"/>
      <c r="P59" s="2">
        <f t="shared" si="0"/>
        <v>5.4</v>
      </c>
      <c r="Q59" s="1">
        <f>IFERROR(VLOOKUP(D59,'Seed conv.'!$A$2:$D$188,4,0),"0")</f>
        <v>0.1</v>
      </c>
    </row>
    <row r="60" spans="1:17" ht="16" x14ac:dyDescent="0.35">
      <c r="A60" s="2">
        <v>58</v>
      </c>
      <c r="B60" s="63" t="s">
        <v>478</v>
      </c>
      <c r="C60" s="2" t="s">
        <v>601</v>
      </c>
      <c r="D60" s="2">
        <v>4181094</v>
      </c>
      <c r="E60" s="2" t="s">
        <v>53</v>
      </c>
      <c r="F60" s="2" t="s">
        <v>224</v>
      </c>
      <c r="G60" s="71">
        <v>479</v>
      </c>
      <c r="H60" s="55">
        <v>520</v>
      </c>
      <c r="I60" s="92">
        <v>18879937</v>
      </c>
      <c r="J60" s="89">
        <v>46497</v>
      </c>
      <c r="K60" s="88">
        <v>0</v>
      </c>
      <c r="L60" s="88">
        <v>780</v>
      </c>
      <c r="M60" s="82"/>
      <c r="N60" s="2"/>
      <c r="O60" s="91"/>
      <c r="P60" s="2">
        <f t="shared" si="0"/>
        <v>15600</v>
      </c>
      <c r="Q60" s="1">
        <f>IFERROR(VLOOKUP(D60,'Seed conv.'!$A$2:$D$188,4,0),"0")</f>
        <v>30</v>
      </c>
    </row>
    <row r="61" spans="1:17" ht="16" x14ac:dyDescent="0.35">
      <c r="A61" s="2">
        <v>59</v>
      </c>
      <c r="B61" s="63" t="s">
        <v>478</v>
      </c>
      <c r="C61" s="2" t="s">
        <v>601</v>
      </c>
      <c r="D61" s="2">
        <v>4012001</v>
      </c>
      <c r="E61" s="2" t="s">
        <v>546</v>
      </c>
      <c r="F61" s="2" t="s">
        <v>209</v>
      </c>
      <c r="G61" s="71">
        <v>1</v>
      </c>
      <c r="H61" s="55">
        <v>1</v>
      </c>
      <c r="I61" s="92" t="s">
        <v>552</v>
      </c>
      <c r="J61" s="89">
        <v>46499</v>
      </c>
      <c r="K61" s="88">
        <v>0</v>
      </c>
      <c r="L61" s="88">
        <v>1</v>
      </c>
      <c r="M61" s="82"/>
      <c r="N61" s="2"/>
      <c r="O61" s="91"/>
      <c r="P61" s="2">
        <f t="shared" si="0"/>
        <v>1</v>
      </c>
      <c r="Q61" s="1">
        <f>IFERROR(VLOOKUP(D61,'Seed conv.'!$A$2:$D$188,4,0),"0")</f>
        <v>1</v>
      </c>
    </row>
    <row r="62" spans="1:17" ht="16" x14ac:dyDescent="0.35">
      <c r="A62" s="2">
        <v>60</v>
      </c>
      <c r="B62" s="63" t="s">
        <v>478</v>
      </c>
      <c r="C62" s="2" t="s">
        <v>601</v>
      </c>
      <c r="D62" s="2">
        <v>4220685</v>
      </c>
      <c r="E62" s="2" t="s">
        <v>8</v>
      </c>
      <c r="F62" s="2" t="s">
        <v>219</v>
      </c>
      <c r="G62" s="71">
        <v>374</v>
      </c>
      <c r="H62" s="55">
        <v>347</v>
      </c>
      <c r="I62" s="92" t="s">
        <v>531</v>
      </c>
      <c r="J62" s="89">
        <v>46504</v>
      </c>
      <c r="K62" s="88">
        <v>2</v>
      </c>
      <c r="L62" s="88">
        <v>347</v>
      </c>
      <c r="M62" s="82"/>
      <c r="N62" s="2"/>
      <c r="O62" s="91" t="s">
        <v>487</v>
      </c>
      <c r="P62" s="2">
        <f t="shared" si="0"/>
        <v>8675</v>
      </c>
      <c r="Q62" s="1">
        <f>IFERROR(VLOOKUP(D62,'Seed conv.'!$A$2:$D$188,4,0),"0")</f>
        <v>25</v>
      </c>
    </row>
    <row r="63" spans="1:17" ht="16" x14ac:dyDescent="0.35">
      <c r="A63" s="2">
        <v>61</v>
      </c>
      <c r="B63" s="63" t="s">
        <v>478</v>
      </c>
      <c r="C63" s="2" t="s">
        <v>601</v>
      </c>
      <c r="D63" s="2">
        <v>4011999</v>
      </c>
      <c r="E63" s="2" t="s">
        <v>581</v>
      </c>
      <c r="F63" s="2" t="s">
        <v>234</v>
      </c>
      <c r="G63" s="71">
        <v>56</v>
      </c>
      <c r="H63" s="55">
        <v>56</v>
      </c>
      <c r="I63" s="92" t="s">
        <v>539</v>
      </c>
      <c r="J63" s="86">
        <v>46502</v>
      </c>
      <c r="K63" s="88">
        <v>0</v>
      </c>
      <c r="L63" s="88">
        <v>56</v>
      </c>
      <c r="M63" s="82"/>
      <c r="N63" s="2"/>
      <c r="O63" s="91"/>
      <c r="P63" s="2">
        <f t="shared" si="0"/>
        <v>5.6000000000000005</v>
      </c>
      <c r="Q63" s="1">
        <f>IFERROR(VLOOKUP(D63,'Seed conv.'!$A$2:$D$188,4,0),"0")</f>
        <v>0.1</v>
      </c>
    </row>
    <row r="64" spans="1:17" ht="16" x14ac:dyDescent="0.35">
      <c r="A64" s="2">
        <v>62</v>
      </c>
      <c r="B64" s="63" t="s">
        <v>478</v>
      </c>
      <c r="C64" s="2" t="s">
        <v>601</v>
      </c>
      <c r="D64" s="2">
        <v>351343</v>
      </c>
      <c r="E64" s="2" t="s">
        <v>45</v>
      </c>
      <c r="F64" s="2" t="s">
        <v>214</v>
      </c>
      <c r="G64" s="71">
        <v>0</v>
      </c>
      <c r="H64" s="55">
        <v>40</v>
      </c>
      <c r="I64" s="92" t="s">
        <v>620</v>
      </c>
      <c r="J64" s="89">
        <v>46513</v>
      </c>
      <c r="K64" s="88">
        <v>0</v>
      </c>
      <c r="L64" s="88">
        <v>977.9</v>
      </c>
      <c r="M64" s="82"/>
      <c r="N64" s="2"/>
      <c r="O64" s="91" t="s">
        <v>482</v>
      </c>
      <c r="P64" s="2">
        <f t="shared" si="0"/>
        <v>40</v>
      </c>
      <c r="Q64" s="1">
        <f>IFERROR(VLOOKUP(D64,'Seed conv.'!$A$2:$D$188,4,0),"0")</f>
        <v>1</v>
      </c>
    </row>
    <row r="65" spans="1:17" ht="16" x14ac:dyDescent="0.35">
      <c r="A65" s="2">
        <v>63</v>
      </c>
      <c r="B65" s="63" t="s">
        <v>478</v>
      </c>
      <c r="C65" s="2" t="s">
        <v>601</v>
      </c>
      <c r="D65" s="2">
        <v>4188393</v>
      </c>
      <c r="E65" s="2" t="s">
        <v>217</v>
      </c>
      <c r="F65" s="2" t="s">
        <v>216</v>
      </c>
      <c r="G65" s="71">
        <v>78</v>
      </c>
      <c r="H65" s="55">
        <v>79</v>
      </c>
      <c r="I65" s="92" t="s">
        <v>591</v>
      </c>
      <c r="J65" s="89">
        <v>46528</v>
      </c>
      <c r="K65" s="88">
        <v>0</v>
      </c>
      <c r="L65" s="88"/>
      <c r="M65" s="82"/>
      <c r="N65" s="2"/>
      <c r="O65" s="91"/>
      <c r="P65" s="2">
        <f t="shared" si="0"/>
        <v>79</v>
      </c>
      <c r="Q65" s="1">
        <f>IFERROR(VLOOKUP(D65,'Seed conv.'!$A$2:$D$188,4,0),"0")</f>
        <v>1</v>
      </c>
    </row>
    <row r="66" spans="1:17" ht="16" x14ac:dyDescent="0.35">
      <c r="A66" s="2">
        <v>64</v>
      </c>
      <c r="B66" s="63" t="s">
        <v>478</v>
      </c>
      <c r="C66" s="2" t="s">
        <v>601</v>
      </c>
      <c r="D66" s="2">
        <v>4165682</v>
      </c>
      <c r="E66" s="2" t="s">
        <v>547</v>
      </c>
      <c r="F66" s="2" t="s">
        <v>229</v>
      </c>
      <c r="G66" s="71">
        <v>15</v>
      </c>
      <c r="H66" s="55">
        <v>15</v>
      </c>
      <c r="I66" s="92">
        <v>150811402</v>
      </c>
      <c r="J66" s="89">
        <v>46538</v>
      </c>
      <c r="K66" s="88">
        <v>0</v>
      </c>
      <c r="L66" s="88">
        <v>263</v>
      </c>
      <c r="M66" s="82"/>
      <c r="N66" s="2"/>
      <c r="O66" s="91"/>
      <c r="P66" s="2">
        <f t="shared" si="0"/>
        <v>450</v>
      </c>
      <c r="Q66" s="1">
        <f>IFERROR(VLOOKUP(D66,'Seed conv.'!$A$2:$D$188,4,0),"0")</f>
        <v>30</v>
      </c>
    </row>
    <row r="67" spans="1:17" ht="16" x14ac:dyDescent="0.35">
      <c r="A67" s="2">
        <v>65</v>
      </c>
      <c r="B67" s="63" t="s">
        <v>478</v>
      </c>
      <c r="C67" s="2" t="s">
        <v>601</v>
      </c>
      <c r="D67" s="2">
        <v>4188392</v>
      </c>
      <c r="E67" s="2" t="s">
        <v>629</v>
      </c>
      <c r="F67" s="2" t="s">
        <v>582</v>
      </c>
      <c r="G67" s="71">
        <v>4</v>
      </c>
      <c r="H67" s="55">
        <v>4</v>
      </c>
      <c r="I67" s="92" t="s">
        <v>590</v>
      </c>
      <c r="J67" s="89">
        <v>46550</v>
      </c>
      <c r="K67" s="88">
        <v>0</v>
      </c>
      <c r="L67" s="88"/>
      <c r="M67" s="82"/>
      <c r="N67" s="2"/>
      <c r="O67" s="91"/>
      <c r="P67" s="2">
        <f t="shared" ref="P67:P75" si="1">H67*Q67</f>
        <v>4</v>
      </c>
      <c r="Q67" s="1">
        <f>IFERROR(VLOOKUP(D67,'Seed conv.'!$A$2:$D$188,4,0),"0")</f>
        <v>1</v>
      </c>
    </row>
    <row r="68" spans="1:17" ht="16" x14ac:dyDescent="0.35">
      <c r="A68" s="2">
        <v>66</v>
      </c>
      <c r="B68" s="63" t="s">
        <v>627</v>
      </c>
      <c r="C68" s="2" t="s">
        <v>628</v>
      </c>
      <c r="D68" s="2">
        <v>4114194</v>
      </c>
      <c r="E68" s="2" t="s">
        <v>541</v>
      </c>
      <c r="F68" s="2" t="s">
        <v>234</v>
      </c>
      <c r="G68" s="71">
        <v>19</v>
      </c>
      <c r="H68" s="55">
        <v>17</v>
      </c>
      <c r="I68" s="92" t="s">
        <v>542</v>
      </c>
      <c r="J68" s="89">
        <v>46504</v>
      </c>
      <c r="K68" s="88">
        <v>2</v>
      </c>
      <c r="L68" s="88">
        <v>17</v>
      </c>
      <c r="M68" s="82"/>
      <c r="N68" s="2"/>
      <c r="O68" s="91"/>
      <c r="P68" s="2">
        <f t="shared" si="1"/>
        <v>1.7000000000000002</v>
      </c>
      <c r="Q68" s="1">
        <v>0.1</v>
      </c>
    </row>
    <row r="69" spans="1:17" ht="16" x14ac:dyDescent="0.35">
      <c r="A69" s="2">
        <v>67</v>
      </c>
      <c r="B69" s="63" t="s">
        <v>627</v>
      </c>
      <c r="C69" s="2" t="s">
        <v>601</v>
      </c>
      <c r="D69" s="2">
        <v>4220685</v>
      </c>
      <c r="E69" s="2" t="s">
        <v>8</v>
      </c>
      <c r="F69" s="2" t="s">
        <v>219</v>
      </c>
      <c r="G69" s="71">
        <v>96</v>
      </c>
      <c r="H69" s="55">
        <v>95</v>
      </c>
      <c r="I69" s="92" t="s">
        <v>531</v>
      </c>
      <c r="J69" s="89">
        <v>46504</v>
      </c>
      <c r="K69" s="88">
        <v>1</v>
      </c>
      <c r="L69" s="88">
        <v>95</v>
      </c>
      <c r="M69" s="82"/>
      <c r="N69" s="2"/>
      <c r="O69" s="91"/>
      <c r="P69" s="2">
        <f t="shared" si="1"/>
        <v>2375</v>
      </c>
      <c r="Q69" s="1">
        <f>IFERROR(VLOOKUP(D69,'Seed conv.'!$A$2:$D$188,4,0),"0")</f>
        <v>25</v>
      </c>
    </row>
    <row r="70" spans="1:17" ht="16" x14ac:dyDescent="0.35">
      <c r="A70" s="2">
        <v>68</v>
      </c>
      <c r="B70" s="63" t="s">
        <v>627</v>
      </c>
      <c r="C70" s="2" t="s">
        <v>601</v>
      </c>
      <c r="D70" s="2">
        <v>4011999</v>
      </c>
      <c r="E70" s="2" t="s">
        <v>581</v>
      </c>
      <c r="F70" s="2" t="s">
        <v>234</v>
      </c>
      <c r="G70" s="71">
        <v>18</v>
      </c>
      <c r="H70" s="55">
        <v>11</v>
      </c>
      <c r="I70" s="92" t="s">
        <v>539</v>
      </c>
      <c r="J70" s="86">
        <v>46502</v>
      </c>
      <c r="K70" s="88">
        <v>7</v>
      </c>
      <c r="L70" s="88">
        <v>11</v>
      </c>
      <c r="M70" s="82"/>
      <c r="N70" s="2"/>
      <c r="O70" s="91"/>
      <c r="P70" s="2">
        <f t="shared" si="1"/>
        <v>1.1000000000000001</v>
      </c>
      <c r="Q70" s="1">
        <f>IFERROR(VLOOKUP(D70,'Seed conv.'!$A$2:$D$188,4,0),"0")</f>
        <v>0.1</v>
      </c>
    </row>
    <row r="71" spans="1:17" ht="16" x14ac:dyDescent="0.35">
      <c r="A71" s="2">
        <v>69</v>
      </c>
      <c r="B71" s="63" t="s">
        <v>627</v>
      </c>
      <c r="C71" s="2" t="s">
        <v>601</v>
      </c>
      <c r="D71">
        <v>4188392</v>
      </c>
      <c r="E71" s="2" t="s">
        <v>629</v>
      </c>
      <c r="F71" s="2" t="s">
        <v>582</v>
      </c>
      <c r="G71" s="71">
        <v>5</v>
      </c>
      <c r="H71" s="55">
        <v>5</v>
      </c>
      <c r="I71" s="92" t="s">
        <v>630</v>
      </c>
      <c r="J71" s="89">
        <v>46550</v>
      </c>
      <c r="K71" s="88">
        <v>0</v>
      </c>
      <c r="L71" s="88">
        <v>5</v>
      </c>
      <c r="M71" s="82"/>
      <c r="N71" s="2"/>
      <c r="O71" s="91"/>
      <c r="P71" s="2">
        <f t="shared" si="1"/>
        <v>5</v>
      </c>
      <c r="Q71" s="1">
        <f>IFERROR(VLOOKUP(D71,'Seed conv.'!$A$2:$D$188,4,0),"0")</f>
        <v>1</v>
      </c>
    </row>
    <row r="72" spans="1:17" ht="16" x14ac:dyDescent="0.35">
      <c r="A72" s="2">
        <v>70</v>
      </c>
      <c r="B72" s="63" t="s">
        <v>627</v>
      </c>
      <c r="C72" s="2" t="s">
        <v>628</v>
      </c>
      <c r="D72" s="2">
        <v>4132140</v>
      </c>
      <c r="E72" s="2" t="s">
        <v>364</v>
      </c>
      <c r="F72" s="2" t="s">
        <v>582</v>
      </c>
      <c r="G72" s="71">
        <v>78</v>
      </c>
      <c r="H72" s="55">
        <v>29</v>
      </c>
      <c r="I72" s="92" t="s">
        <v>583</v>
      </c>
      <c r="J72" s="89">
        <v>46534</v>
      </c>
      <c r="K72" s="88">
        <v>1</v>
      </c>
      <c r="L72" s="88">
        <v>77</v>
      </c>
      <c r="M72" s="82"/>
      <c r="N72" s="2"/>
      <c r="O72" s="91" t="s">
        <v>584</v>
      </c>
      <c r="P72" s="2">
        <f t="shared" si="1"/>
        <v>2.9000000000000004</v>
      </c>
      <c r="Q72" s="1">
        <f>IFERROR(VLOOKUP(D72,'Seed conv.'!$A$2:$D$188,4,0),"0")</f>
        <v>0.1</v>
      </c>
    </row>
    <row r="73" spans="1:17" ht="16" x14ac:dyDescent="0.35">
      <c r="A73" s="2">
        <v>71</v>
      </c>
      <c r="B73" s="63" t="s">
        <v>627</v>
      </c>
      <c r="C73" s="2" t="s">
        <v>628</v>
      </c>
      <c r="D73" s="2">
        <v>4165670</v>
      </c>
      <c r="E73" s="2" t="s">
        <v>414</v>
      </c>
      <c r="F73" s="2" t="s">
        <v>331</v>
      </c>
      <c r="G73" s="71">
        <v>232</v>
      </c>
      <c r="H73" s="55">
        <v>225</v>
      </c>
      <c r="I73" s="92">
        <v>20860869</v>
      </c>
      <c r="J73" s="89">
        <v>46352</v>
      </c>
      <c r="K73" s="88">
        <v>7</v>
      </c>
      <c r="L73" s="88">
        <v>225</v>
      </c>
      <c r="M73" s="82"/>
      <c r="N73" s="2"/>
      <c r="O73" s="91"/>
      <c r="P73" s="2">
        <f t="shared" si="1"/>
        <v>6750</v>
      </c>
      <c r="Q73" s="1">
        <f>IFERROR(VLOOKUP(D73,'Seed conv.'!$A$2:$D$188,4,0),"0")</f>
        <v>30</v>
      </c>
    </row>
    <row r="74" spans="1:17" ht="16" x14ac:dyDescent="0.35">
      <c r="A74" s="2">
        <v>72</v>
      </c>
      <c r="B74" s="63" t="s">
        <v>627</v>
      </c>
      <c r="C74" s="2" t="s">
        <v>628</v>
      </c>
      <c r="D74" s="2">
        <v>4165679</v>
      </c>
      <c r="E74" s="2" t="s">
        <v>550</v>
      </c>
      <c r="F74" s="2" t="s">
        <v>229</v>
      </c>
      <c r="G74" s="71">
        <v>33</v>
      </c>
      <c r="H74" s="55">
        <v>31</v>
      </c>
      <c r="I74" s="92">
        <v>150310130</v>
      </c>
      <c r="J74" s="89">
        <v>46414</v>
      </c>
      <c r="K74" s="88">
        <v>2</v>
      </c>
      <c r="L74" s="88">
        <v>31</v>
      </c>
      <c r="M74" s="82"/>
      <c r="N74" s="2"/>
      <c r="O74" s="79"/>
      <c r="P74" s="2">
        <f t="shared" si="1"/>
        <v>930</v>
      </c>
      <c r="Q74" s="1">
        <f>IFERROR(VLOOKUP(D74,'Seed conv.'!$A$2:$D$188,4,0),"0")</f>
        <v>30</v>
      </c>
    </row>
    <row r="75" spans="1:17" ht="16" x14ac:dyDescent="0.35">
      <c r="A75" s="2">
        <v>73</v>
      </c>
      <c r="B75" s="63" t="s">
        <v>627</v>
      </c>
      <c r="C75" s="2" t="s">
        <v>628</v>
      </c>
      <c r="D75" s="2">
        <v>4170972</v>
      </c>
      <c r="E75" s="2" t="s">
        <v>64</v>
      </c>
      <c r="F75" s="2" t="s">
        <v>233</v>
      </c>
      <c r="G75" s="71">
        <v>107</v>
      </c>
      <c r="H75" s="55">
        <v>57</v>
      </c>
      <c r="I75" s="92">
        <v>150110667</v>
      </c>
      <c r="J75" s="89">
        <v>46449</v>
      </c>
      <c r="K75" s="88">
        <v>0</v>
      </c>
      <c r="L75" s="88">
        <v>57</v>
      </c>
      <c r="M75" s="82"/>
      <c r="N75" s="2"/>
      <c r="O75" s="79"/>
      <c r="P75" s="2">
        <f t="shared" si="1"/>
        <v>1710</v>
      </c>
      <c r="Q75" s="1">
        <f>IFERROR(VLOOKUP(D75,'Seed conv.'!$A$2:$D$188,4,0),"0")</f>
        <v>30</v>
      </c>
    </row>
  </sheetData>
  <autoFilter ref="A2:Q75" xr:uid="{D39C9509-F5E3-4E89-AB6A-E279F2567BE4}"/>
  <phoneticPr fontId="10" type="noConversion"/>
  <pageMargins left="0.7" right="0.7" top="0.75" bottom="0.75" header="0.3" footer="0.3"/>
  <ignoredErrors>
    <ignoredError sqref="K3:L6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96EA-E077-43F9-881C-6FB0C7DF6095}">
  <sheetPr codeName="Sheet9"/>
  <dimension ref="A1:P30"/>
  <sheetViews>
    <sheetView topLeftCell="E1" zoomScale="96" workbookViewId="0">
      <selection activeCell="H21" sqref="H21"/>
    </sheetView>
  </sheetViews>
  <sheetFormatPr defaultRowHeight="14.5" x14ac:dyDescent="0.35"/>
  <cols>
    <col min="1" max="1" width="6.54296875" customWidth="1"/>
    <col min="2" max="2" width="7.90625" bestFit="1" customWidth="1"/>
    <col min="3" max="3" width="10.36328125" bestFit="1" customWidth="1"/>
    <col min="5" max="5" width="38.08984375" bestFit="1" customWidth="1"/>
    <col min="6" max="6" width="9.6328125" bestFit="1" customWidth="1"/>
    <col min="8" max="8" width="8.1796875" customWidth="1"/>
    <col min="9" max="9" width="23.81640625" bestFit="1" customWidth="1"/>
    <col min="10" max="10" width="8.36328125" bestFit="1" customWidth="1"/>
    <col min="12" max="12" width="9.08984375" bestFit="1" customWidth="1"/>
    <col min="13" max="13" width="8.36328125" bestFit="1" customWidth="1"/>
    <col min="15" max="15" width="6.6328125" bestFit="1" customWidth="1"/>
    <col min="16" max="16" width="7.90625" bestFit="1" customWidth="1"/>
  </cols>
  <sheetData>
    <row r="1" spans="1:16" ht="43.5" x14ac:dyDescent="0.35">
      <c r="A1" s="5" t="s">
        <v>18</v>
      </c>
      <c r="B1" s="5" t="s">
        <v>19</v>
      </c>
      <c r="C1" s="5" t="s">
        <v>20</v>
      </c>
      <c r="D1" s="5" t="s">
        <v>0</v>
      </c>
      <c r="E1" s="5" t="s">
        <v>1</v>
      </c>
      <c r="F1" s="5" t="s">
        <v>2</v>
      </c>
      <c r="G1" s="5" t="s">
        <v>21</v>
      </c>
      <c r="H1" s="6" t="s">
        <v>69</v>
      </c>
      <c r="I1" s="96" t="s">
        <v>23</v>
      </c>
      <c r="J1" s="6" t="s">
        <v>3</v>
      </c>
      <c r="K1" s="6" t="s">
        <v>70</v>
      </c>
      <c r="L1" s="6" t="s">
        <v>71</v>
      </c>
      <c r="M1" s="6" t="s">
        <v>26</v>
      </c>
      <c r="N1" s="6" t="s">
        <v>27</v>
      </c>
      <c r="O1" s="6" t="s">
        <v>30</v>
      </c>
      <c r="P1" s="6" t="s">
        <v>472</v>
      </c>
    </row>
    <row r="2" spans="1:16" ht="16" x14ac:dyDescent="0.35">
      <c r="A2" s="9">
        <v>1</v>
      </c>
      <c r="B2" s="18" t="s">
        <v>16</v>
      </c>
      <c r="C2" s="53" t="s">
        <v>601</v>
      </c>
      <c r="D2" s="19">
        <v>169663</v>
      </c>
      <c r="E2" s="20" t="s">
        <v>67</v>
      </c>
      <c r="F2" s="59" t="s">
        <v>68</v>
      </c>
      <c r="G2" s="62">
        <v>2324</v>
      </c>
      <c r="H2" s="62">
        <v>1694</v>
      </c>
      <c r="I2" s="16" t="s">
        <v>555</v>
      </c>
      <c r="J2" s="15">
        <v>46472</v>
      </c>
      <c r="K2" s="10">
        <v>630</v>
      </c>
      <c r="L2" s="10">
        <v>1694.3</v>
      </c>
      <c r="M2" s="10"/>
      <c r="N2" s="12"/>
      <c r="O2" s="12"/>
      <c r="P2" s="11"/>
    </row>
    <row r="3" spans="1:16" ht="16" x14ac:dyDescent="0.35">
      <c r="A3" s="9">
        <v>2</v>
      </c>
      <c r="B3" s="18" t="s">
        <v>16</v>
      </c>
      <c r="C3" s="53" t="s">
        <v>601</v>
      </c>
      <c r="D3" s="19">
        <v>38747</v>
      </c>
      <c r="E3" s="59" t="s">
        <v>468</v>
      </c>
      <c r="F3" s="59" t="s">
        <v>66</v>
      </c>
      <c r="G3" s="62">
        <v>6352.1</v>
      </c>
      <c r="H3" s="74">
        <v>1211.4000000000001</v>
      </c>
      <c r="I3" s="16" t="s">
        <v>473</v>
      </c>
      <c r="J3" s="15">
        <v>46414</v>
      </c>
      <c r="K3" s="10">
        <v>5140.7000000000007</v>
      </c>
      <c r="L3" s="10">
        <v>1211.4000000000001</v>
      </c>
      <c r="M3" s="10"/>
      <c r="N3" s="12"/>
      <c r="O3" s="12"/>
      <c r="P3" s="11"/>
    </row>
    <row r="4" spans="1:16" ht="16" x14ac:dyDescent="0.35">
      <c r="A4" s="9">
        <v>3</v>
      </c>
      <c r="B4" s="60" t="s">
        <v>13</v>
      </c>
      <c r="C4" s="51" t="s">
        <v>601</v>
      </c>
      <c r="D4" s="52">
        <v>169663</v>
      </c>
      <c r="E4" s="17" t="s">
        <v>67</v>
      </c>
      <c r="F4" s="17" t="s">
        <v>68</v>
      </c>
      <c r="G4" s="62">
        <v>18400</v>
      </c>
      <c r="H4" s="62">
        <v>16928</v>
      </c>
      <c r="I4" s="16" t="s">
        <v>555</v>
      </c>
      <c r="J4" s="15">
        <v>46472</v>
      </c>
      <c r="K4" s="10">
        <v>1472</v>
      </c>
      <c r="L4" s="10">
        <v>16928</v>
      </c>
      <c r="M4" s="10"/>
      <c r="N4" s="12"/>
      <c r="O4" s="12"/>
      <c r="P4" s="11"/>
    </row>
    <row r="5" spans="1:16" ht="16" x14ac:dyDescent="0.35">
      <c r="A5" s="9">
        <v>4</v>
      </c>
      <c r="B5" s="60" t="s">
        <v>13</v>
      </c>
      <c r="C5" s="51" t="s">
        <v>601</v>
      </c>
      <c r="D5" s="52">
        <v>38747</v>
      </c>
      <c r="E5" s="17" t="s">
        <v>468</v>
      </c>
      <c r="F5" s="17" t="s">
        <v>66</v>
      </c>
      <c r="G5" s="62">
        <v>24344</v>
      </c>
      <c r="H5" s="62">
        <v>20764</v>
      </c>
      <c r="I5" s="16" t="s">
        <v>473</v>
      </c>
      <c r="J5" s="15">
        <v>46414</v>
      </c>
      <c r="K5" s="10">
        <v>3580</v>
      </c>
      <c r="L5" s="10">
        <v>20764</v>
      </c>
      <c r="M5" s="10"/>
      <c r="N5" s="12"/>
      <c r="O5" s="12"/>
      <c r="P5" s="11"/>
    </row>
    <row r="6" spans="1:16" ht="16" x14ac:dyDescent="0.35">
      <c r="A6" s="9">
        <v>5</v>
      </c>
      <c r="B6" s="60" t="s">
        <v>13</v>
      </c>
      <c r="C6" s="51" t="s">
        <v>601</v>
      </c>
      <c r="D6" s="61">
        <v>85448</v>
      </c>
      <c r="E6" s="56" t="s">
        <v>469</v>
      </c>
      <c r="F6" s="17" t="s">
        <v>470</v>
      </c>
      <c r="G6" s="62">
        <v>5400</v>
      </c>
      <c r="H6" s="62">
        <v>5400</v>
      </c>
      <c r="I6" s="16" t="s">
        <v>474</v>
      </c>
      <c r="J6" s="15">
        <v>46414</v>
      </c>
      <c r="K6" s="10">
        <v>0</v>
      </c>
      <c r="L6" s="10">
        <v>5400</v>
      </c>
      <c r="M6" s="10"/>
      <c r="N6" s="12"/>
      <c r="O6" s="12"/>
      <c r="P6" s="11"/>
    </row>
    <row r="7" spans="1:16" ht="16" x14ac:dyDescent="0.35">
      <c r="A7" s="9">
        <v>6</v>
      </c>
      <c r="B7" s="18" t="s">
        <v>16</v>
      </c>
      <c r="C7" s="53" t="s">
        <v>601</v>
      </c>
      <c r="D7" s="19">
        <v>61488</v>
      </c>
      <c r="E7" s="59" t="s">
        <v>556</v>
      </c>
      <c r="F7" s="59" t="s">
        <v>557</v>
      </c>
      <c r="G7" s="62">
        <v>294.3</v>
      </c>
      <c r="H7" s="74">
        <v>823.4</v>
      </c>
      <c r="I7" s="75">
        <v>213175</v>
      </c>
      <c r="J7" s="15">
        <v>46472</v>
      </c>
      <c r="K7" s="10">
        <v>-529.09999999999991</v>
      </c>
      <c r="L7" s="10">
        <v>823.44899999999996</v>
      </c>
      <c r="M7" s="10"/>
      <c r="N7" s="12"/>
      <c r="O7" s="12"/>
      <c r="P7" s="11"/>
    </row>
    <row r="8" spans="1:16" ht="16" x14ac:dyDescent="0.35">
      <c r="A8" s="9">
        <v>8</v>
      </c>
      <c r="B8" s="60" t="s">
        <v>13</v>
      </c>
      <c r="C8" s="51" t="s">
        <v>601</v>
      </c>
      <c r="D8" s="61">
        <v>35452</v>
      </c>
      <c r="E8" s="56" t="s">
        <v>475</v>
      </c>
      <c r="F8" s="17" t="s">
        <v>476</v>
      </c>
      <c r="G8" s="62">
        <v>1341</v>
      </c>
      <c r="H8" s="62">
        <v>1341</v>
      </c>
      <c r="I8" s="16" t="s">
        <v>477</v>
      </c>
      <c r="J8" s="15">
        <v>46445</v>
      </c>
      <c r="K8" s="10">
        <v>0</v>
      </c>
      <c r="L8" s="10">
        <v>1392341</v>
      </c>
      <c r="M8" s="11"/>
      <c r="N8" s="12"/>
      <c r="O8" s="12"/>
      <c r="P8" s="12"/>
    </row>
    <row r="9" spans="1:16" ht="16" x14ac:dyDescent="0.35">
      <c r="A9" s="9">
        <v>9</v>
      </c>
      <c r="B9" s="93" t="s">
        <v>13</v>
      </c>
      <c r="C9" s="51" t="s">
        <v>601</v>
      </c>
      <c r="D9" s="52">
        <v>72736</v>
      </c>
      <c r="E9" s="70" t="s">
        <v>613</v>
      </c>
      <c r="F9" s="70" t="s">
        <v>470</v>
      </c>
      <c r="G9" s="62">
        <v>0</v>
      </c>
      <c r="H9" s="74">
        <v>13800</v>
      </c>
      <c r="I9" s="16" t="s">
        <v>614</v>
      </c>
      <c r="J9" s="68">
        <v>46564</v>
      </c>
      <c r="K9" s="10">
        <v>-13800</v>
      </c>
      <c r="L9" s="10">
        <v>97800</v>
      </c>
      <c r="M9" s="11"/>
      <c r="N9" s="12"/>
      <c r="O9" s="12"/>
      <c r="P9" s="12"/>
    </row>
    <row r="10" spans="1:16" ht="16" x14ac:dyDescent="0.35">
      <c r="A10" s="9">
        <v>10</v>
      </c>
      <c r="B10" s="18" t="s">
        <v>16</v>
      </c>
      <c r="C10" s="53" t="s">
        <v>601</v>
      </c>
      <c r="D10" s="19">
        <v>72736</v>
      </c>
      <c r="E10" s="20" t="s">
        <v>613</v>
      </c>
      <c r="F10" s="20" t="s">
        <v>470</v>
      </c>
      <c r="G10" s="62">
        <v>0</v>
      </c>
      <c r="H10" s="62">
        <v>5372</v>
      </c>
      <c r="I10" s="16" t="s">
        <v>618</v>
      </c>
      <c r="J10" s="68">
        <v>46534</v>
      </c>
      <c r="K10" s="10"/>
      <c r="L10" s="10">
        <v>8690</v>
      </c>
      <c r="M10" s="11"/>
      <c r="N10" s="12"/>
      <c r="O10" s="12"/>
      <c r="P10" s="12"/>
    </row>
    <row r="11" spans="1:16" ht="16" x14ac:dyDescent="0.35">
      <c r="A11" s="9">
        <v>11</v>
      </c>
      <c r="B11" s="93" t="s">
        <v>13</v>
      </c>
      <c r="C11" s="51" t="s">
        <v>601</v>
      </c>
      <c r="D11" s="52">
        <v>82461</v>
      </c>
      <c r="E11" s="70" t="s">
        <v>615</v>
      </c>
      <c r="F11" s="70" t="s">
        <v>616</v>
      </c>
      <c r="G11" s="62">
        <v>0</v>
      </c>
      <c r="H11" s="74">
        <v>80</v>
      </c>
      <c r="I11" s="73" t="s">
        <v>617</v>
      </c>
      <c r="J11" s="68">
        <v>46564</v>
      </c>
      <c r="K11" s="10">
        <v>-80</v>
      </c>
      <c r="L11" s="10">
        <v>80</v>
      </c>
      <c r="M11" s="11"/>
      <c r="N11" s="12"/>
      <c r="O11" s="12"/>
      <c r="P11" s="12"/>
    </row>
    <row r="12" spans="1:16" ht="16" x14ac:dyDescent="0.35">
      <c r="A12" s="9">
        <v>12</v>
      </c>
      <c r="B12" s="19" t="s">
        <v>16</v>
      </c>
      <c r="C12" s="53" t="s">
        <v>601</v>
      </c>
      <c r="D12" s="19">
        <v>60714</v>
      </c>
      <c r="E12" s="20" t="s">
        <v>575</v>
      </c>
      <c r="F12" s="20" t="s">
        <v>576</v>
      </c>
      <c r="G12" s="62">
        <v>13.4</v>
      </c>
      <c r="H12" s="94">
        <v>13.4</v>
      </c>
      <c r="I12" s="73" t="s">
        <v>577</v>
      </c>
      <c r="J12" s="68">
        <v>46534</v>
      </c>
      <c r="K12" s="10">
        <v>0</v>
      </c>
      <c r="L12" s="10">
        <v>13.4</v>
      </c>
      <c r="M12" s="11"/>
      <c r="N12" s="12"/>
      <c r="O12" s="12"/>
      <c r="P12" s="12"/>
    </row>
    <row r="13" spans="1:16" ht="16" x14ac:dyDescent="0.35">
      <c r="A13" s="9">
        <v>13</v>
      </c>
      <c r="B13" s="19" t="s">
        <v>16</v>
      </c>
      <c r="C13" s="53" t="s">
        <v>601</v>
      </c>
      <c r="D13" s="19">
        <v>53649</v>
      </c>
      <c r="E13" s="20" t="s">
        <v>558</v>
      </c>
      <c r="F13" s="20" t="s">
        <v>559</v>
      </c>
      <c r="G13" s="62">
        <v>1418</v>
      </c>
      <c r="H13" s="62">
        <v>1418</v>
      </c>
      <c r="I13" s="73" t="s">
        <v>578</v>
      </c>
      <c r="J13" s="68">
        <v>46503</v>
      </c>
      <c r="K13" s="10">
        <v>0</v>
      </c>
      <c r="L13" s="10">
        <v>1418</v>
      </c>
      <c r="M13" s="11"/>
      <c r="N13" s="12"/>
      <c r="O13" s="12"/>
      <c r="P13" s="12"/>
    </row>
    <row r="14" spans="1:16" ht="16" x14ac:dyDescent="0.35">
      <c r="A14" s="9">
        <v>14</v>
      </c>
      <c r="B14" s="61" t="s">
        <v>13</v>
      </c>
      <c r="C14" s="51" t="s">
        <v>601</v>
      </c>
      <c r="D14" s="61">
        <v>53649</v>
      </c>
      <c r="E14" s="63" t="s">
        <v>558</v>
      </c>
      <c r="F14" s="70" t="s">
        <v>559</v>
      </c>
      <c r="G14" s="62">
        <v>1600</v>
      </c>
      <c r="H14" s="62">
        <v>1600</v>
      </c>
      <c r="I14" s="73" t="s">
        <v>560</v>
      </c>
      <c r="J14" s="68">
        <v>46503</v>
      </c>
      <c r="K14" s="10">
        <v>0</v>
      </c>
      <c r="L14" s="10">
        <v>1600</v>
      </c>
      <c r="M14" s="11"/>
      <c r="N14" s="12"/>
      <c r="O14" s="12"/>
      <c r="P14" s="12"/>
    </row>
    <row r="15" spans="1:16" x14ac:dyDescent="0.35">
      <c r="A15" s="13" t="s">
        <v>6</v>
      </c>
      <c r="B15" s="13"/>
      <c r="C15" s="13"/>
      <c r="D15" s="13"/>
      <c r="E15" s="13"/>
      <c r="F15" s="13"/>
      <c r="G15" s="49">
        <f>SUM(G2:G14)</f>
        <v>61486.8</v>
      </c>
      <c r="H15" s="49">
        <f>SUM(H2:H14)</f>
        <v>70445.2</v>
      </c>
      <c r="I15" s="49"/>
      <c r="J15" s="49"/>
      <c r="K15" s="49">
        <f t="shared" ref="K15:L15" si="0">SUM(K2:K14)</f>
        <v>-3586.3999999999996</v>
      </c>
      <c r="L15" s="49">
        <f t="shared" si="0"/>
        <v>1548763.5489999999</v>
      </c>
      <c r="M15" s="14"/>
      <c r="N15" s="14"/>
      <c r="O15" s="14" t="str">
        <f>IFERROR(VLOOKUP($E15,[2]CODE!#REF!,7,0),"0")</f>
        <v>0</v>
      </c>
      <c r="P15" s="14"/>
    </row>
    <row r="20" spans="5:9" ht="15" thickBot="1" x14ac:dyDescent="0.4"/>
    <row r="21" spans="5:9" ht="47" customHeight="1" thickBot="1" x14ac:dyDescent="0.4">
      <c r="E21" s="5" t="s">
        <v>1</v>
      </c>
      <c r="F21" s="5" t="s">
        <v>2</v>
      </c>
      <c r="G21" s="6" t="s">
        <v>69</v>
      </c>
      <c r="H21" s="6" t="s">
        <v>3</v>
      </c>
      <c r="I21" s="64"/>
    </row>
    <row r="22" spans="5:9" ht="23.5" thickTop="1" thickBot="1" x14ac:dyDescent="0.4">
      <c r="E22" s="67" t="s">
        <v>72</v>
      </c>
      <c r="F22" s="67" t="s">
        <v>66</v>
      </c>
      <c r="G22" s="67">
        <v>21975</v>
      </c>
      <c r="H22" s="68">
        <v>46414</v>
      </c>
      <c r="I22" s="65"/>
    </row>
    <row r="23" spans="5:9" ht="23" thickBot="1" x14ac:dyDescent="0.4">
      <c r="E23" s="63" t="s">
        <v>469</v>
      </c>
      <c r="F23" s="70" t="s">
        <v>470</v>
      </c>
      <c r="G23" s="67">
        <v>5400</v>
      </c>
      <c r="H23" s="68">
        <v>46414</v>
      </c>
      <c r="I23" s="66"/>
    </row>
    <row r="24" spans="5:9" ht="23" thickBot="1" x14ac:dyDescent="0.4">
      <c r="E24" s="63" t="s">
        <v>475</v>
      </c>
      <c r="F24" s="70" t="s">
        <v>476</v>
      </c>
      <c r="G24" s="67">
        <v>1341</v>
      </c>
      <c r="H24" s="68">
        <v>46445</v>
      </c>
      <c r="I24" s="65"/>
    </row>
    <row r="25" spans="5:9" ht="23" thickBot="1" x14ac:dyDescent="0.4">
      <c r="E25" s="69" t="s">
        <v>67</v>
      </c>
      <c r="F25" s="67" t="s">
        <v>68</v>
      </c>
      <c r="G25" s="67">
        <v>18622</v>
      </c>
      <c r="H25" s="68">
        <v>46473</v>
      </c>
      <c r="I25" s="66"/>
    </row>
    <row r="26" spans="5:9" ht="23" thickBot="1" x14ac:dyDescent="0.4">
      <c r="E26" s="63" t="s">
        <v>556</v>
      </c>
      <c r="F26" s="70" t="s">
        <v>557</v>
      </c>
      <c r="G26" s="67">
        <v>823.4</v>
      </c>
      <c r="H26" s="68">
        <v>46473</v>
      </c>
      <c r="I26" s="66"/>
    </row>
    <row r="27" spans="5:9" ht="23" thickBot="1" x14ac:dyDescent="0.4">
      <c r="E27" s="63" t="s">
        <v>558</v>
      </c>
      <c r="F27" s="70" t="s">
        <v>559</v>
      </c>
      <c r="G27" s="67">
        <v>3018</v>
      </c>
      <c r="H27" s="68">
        <v>46506</v>
      </c>
      <c r="I27" s="65"/>
    </row>
    <row r="28" spans="5:9" ht="23" thickBot="1" x14ac:dyDescent="0.4">
      <c r="E28" s="63" t="s">
        <v>575</v>
      </c>
      <c r="F28" s="70" t="s">
        <v>576</v>
      </c>
      <c r="G28" s="67">
        <v>13.4</v>
      </c>
      <c r="H28" s="68">
        <v>46533</v>
      </c>
      <c r="I28" s="66"/>
    </row>
    <row r="29" spans="5:9" ht="23" thickBot="1" x14ac:dyDescent="0.4">
      <c r="E29" s="63" t="s">
        <v>615</v>
      </c>
      <c r="F29" s="70" t="s">
        <v>616</v>
      </c>
      <c r="G29" s="67">
        <v>80</v>
      </c>
      <c r="H29" s="68">
        <v>46564</v>
      </c>
      <c r="I29" s="66"/>
    </row>
    <row r="30" spans="5:9" ht="23" thickBot="1" x14ac:dyDescent="0.4">
      <c r="E30" s="63" t="s">
        <v>613</v>
      </c>
      <c r="F30" s="70" t="s">
        <v>470</v>
      </c>
      <c r="G30" s="67">
        <v>19172</v>
      </c>
      <c r="H30" s="68">
        <v>46564</v>
      </c>
      <c r="I30" s="65"/>
    </row>
  </sheetData>
  <pageMargins left="0.7" right="0.7" top="0.75" bottom="0.75" header="0.3" footer="0.3"/>
  <ignoredErrors>
    <ignoredError sqref="G15:H15 K15:L15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CADD-0ACC-4E01-9563-D46F5EA6C68D}">
  <sheetPr codeName="Sheet10"/>
  <dimension ref="A1:D112"/>
  <sheetViews>
    <sheetView tabSelected="1" topLeftCell="A42" workbookViewId="0">
      <selection activeCell="C11" sqref="C11"/>
    </sheetView>
  </sheetViews>
  <sheetFormatPr defaultRowHeight="14.5" x14ac:dyDescent="0.35"/>
  <cols>
    <col min="2" max="2" width="24.26953125" bestFit="1" customWidth="1"/>
    <col min="3" max="3" width="19.453125" bestFit="1" customWidth="1"/>
  </cols>
  <sheetData>
    <row r="1" spans="1:4" ht="15.5" thickBot="1" x14ac:dyDescent="0.4">
      <c r="A1" s="101" t="s">
        <v>105</v>
      </c>
      <c r="B1" s="102"/>
      <c r="C1" s="103"/>
    </row>
    <row r="2" spans="1:4" x14ac:dyDescent="0.35">
      <c r="A2" s="25" t="s">
        <v>106</v>
      </c>
      <c r="B2" s="25" t="s">
        <v>107</v>
      </c>
      <c r="C2" s="35" t="s">
        <v>108</v>
      </c>
      <c r="D2" s="36" t="s">
        <v>194</v>
      </c>
    </row>
    <row r="3" spans="1:4" x14ac:dyDescent="0.35">
      <c r="A3" s="26">
        <v>29568</v>
      </c>
      <c r="B3" s="99" t="s">
        <v>109</v>
      </c>
      <c r="C3" s="27" t="s">
        <v>110</v>
      </c>
      <c r="D3" s="2">
        <v>1</v>
      </c>
    </row>
    <row r="4" spans="1:4" x14ac:dyDescent="0.35">
      <c r="A4" s="26">
        <v>42123</v>
      </c>
      <c r="B4" s="99"/>
      <c r="C4" s="27" t="s">
        <v>97</v>
      </c>
      <c r="D4" s="2">
        <v>2</v>
      </c>
    </row>
    <row r="5" spans="1:4" x14ac:dyDescent="0.35">
      <c r="A5" s="26">
        <v>29570</v>
      </c>
      <c r="B5" s="99"/>
      <c r="C5" s="27" t="s">
        <v>111</v>
      </c>
      <c r="D5" s="2">
        <v>5</v>
      </c>
    </row>
    <row r="6" spans="1:4" x14ac:dyDescent="0.35">
      <c r="A6" s="28">
        <v>58888</v>
      </c>
      <c r="B6" s="99" t="s">
        <v>112</v>
      </c>
      <c r="C6" s="27" t="s">
        <v>110</v>
      </c>
      <c r="D6" s="2">
        <v>1</v>
      </c>
    </row>
    <row r="7" spans="1:4" x14ac:dyDescent="0.35">
      <c r="A7" s="28">
        <v>58889</v>
      </c>
      <c r="B7" s="99"/>
      <c r="C7" s="27" t="s">
        <v>97</v>
      </c>
      <c r="D7" s="2">
        <v>2</v>
      </c>
    </row>
    <row r="8" spans="1:4" x14ac:dyDescent="0.35">
      <c r="A8" s="28">
        <v>58887</v>
      </c>
      <c r="B8" s="99"/>
      <c r="C8" s="27" t="s">
        <v>113</v>
      </c>
      <c r="D8" s="2">
        <v>5</v>
      </c>
    </row>
    <row r="9" spans="1:4" x14ac:dyDescent="0.35">
      <c r="A9" s="28">
        <v>34002</v>
      </c>
      <c r="B9" s="99" t="s">
        <v>95</v>
      </c>
      <c r="C9" s="27" t="s">
        <v>96</v>
      </c>
      <c r="D9" s="2">
        <v>1</v>
      </c>
    </row>
    <row r="10" spans="1:4" x14ac:dyDescent="0.35">
      <c r="A10" s="28">
        <v>30593</v>
      </c>
      <c r="B10" s="99"/>
      <c r="C10" s="27" t="s">
        <v>97</v>
      </c>
      <c r="D10" s="2">
        <v>2</v>
      </c>
    </row>
    <row r="11" spans="1:4" x14ac:dyDescent="0.35">
      <c r="A11" s="28">
        <v>34001</v>
      </c>
      <c r="B11" s="99"/>
      <c r="C11" s="27" t="s">
        <v>113</v>
      </c>
      <c r="D11" s="2">
        <v>5</v>
      </c>
    </row>
    <row r="12" spans="1:4" x14ac:dyDescent="0.35">
      <c r="A12" s="29">
        <v>35348</v>
      </c>
      <c r="B12" s="99" t="s">
        <v>114</v>
      </c>
      <c r="C12" s="27" t="s">
        <v>97</v>
      </c>
      <c r="D12" s="2">
        <v>2</v>
      </c>
    </row>
    <row r="13" spans="1:4" x14ac:dyDescent="0.35">
      <c r="A13" s="29">
        <v>30688</v>
      </c>
      <c r="B13" s="99"/>
      <c r="C13" s="27" t="s">
        <v>113</v>
      </c>
      <c r="D13" s="2">
        <v>5</v>
      </c>
    </row>
    <row r="14" spans="1:4" x14ac:dyDescent="0.35">
      <c r="A14" s="29">
        <v>59703</v>
      </c>
      <c r="B14" s="104" t="s">
        <v>115</v>
      </c>
      <c r="C14" s="27" t="s">
        <v>116</v>
      </c>
      <c r="D14" s="2">
        <v>2</v>
      </c>
    </row>
    <row r="15" spans="1:4" x14ac:dyDescent="0.35">
      <c r="A15" s="29">
        <v>59704</v>
      </c>
      <c r="B15" s="104"/>
      <c r="C15" s="27" t="s">
        <v>97</v>
      </c>
      <c r="D15" s="2">
        <v>2</v>
      </c>
    </row>
    <row r="16" spans="1:4" x14ac:dyDescent="0.35">
      <c r="A16" s="29">
        <v>59769</v>
      </c>
      <c r="B16" s="104"/>
      <c r="C16" s="27" t="s">
        <v>113</v>
      </c>
      <c r="D16" s="2">
        <v>5</v>
      </c>
    </row>
    <row r="17" spans="1:4" x14ac:dyDescent="0.35">
      <c r="A17" s="29">
        <v>58896</v>
      </c>
      <c r="B17" s="99" t="s">
        <v>117</v>
      </c>
      <c r="C17" s="27" t="s">
        <v>118</v>
      </c>
      <c r="D17" s="2">
        <v>2.5</v>
      </c>
    </row>
    <row r="18" spans="1:4" x14ac:dyDescent="0.35">
      <c r="A18" s="29">
        <v>58890</v>
      </c>
      <c r="B18" s="99"/>
      <c r="C18" s="27" t="s">
        <v>119</v>
      </c>
      <c r="D18" s="2">
        <v>5</v>
      </c>
    </row>
    <row r="19" spans="1:4" x14ac:dyDescent="0.35">
      <c r="A19" s="29">
        <v>58886</v>
      </c>
      <c r="B19" s="99"/>
      <c r="C19" s="27" t="s">
        <v>113</v>
      </c>
      <c r="D19" s="2">
        <v>5</v>
      </c>
    </row>
    <row r="20" spans="1:4" x14ac:dyDescent="0.35">
      <c r="A20" s="30">
        <v>63105</v>
      </c>
      <c r="B20" s="98" t="s">
        <v>120</v>
      </c>
      <c r="C20" s="27" t="s">
        <v>96</v>
      </c>
      <c r="D20" s="2">
        <v>1</v>
      </c>
    </row>
    <row r="21" spans="1:4" x14ac:dyDescent="0.35">
      <c r="A21" s="30">
        <v>63106</v>
      </c>
      <c r="B21" s="98"/>
      <c r="C21" s="27" t="s">
        <v>97</v>
      </c>
      <c r="D21" s="2">
        <v>2</v>
      </c>
    </row>
    <row r="22" spans="1:4" x14ac:dyDescent="0.35">
      <c r="A22" s="30">
        <v>63107</v>
      </c>
      <c r="B22" s="98"/>
      <c r="C22" s="27" t="s">
        <v>113</v>
      </c>
      <c r="D22" s="2">
        <v>5</v>
      </c>
    </row>
    <row r="23" spans="1:4" x14ac:dyDescent="0.35">
      <c r="A23" s="31">
        <v>43978</v>
      </c>
      <c r="B23" s="21" t="s">
        <v>121</v>
      </c>
      <c r="C23" s="27" t="s">
        <v>96</v>
      </c>
      <c r="D23" s="2">
        <v>1</v>
      </c>
    </row>
    <row r="24" spans="1:4" x14ac:dyDescent="0.35">
      <c r="A24" s="30">
        <v>53294</v>
      </c>
      <c r="B24" s="98" t="s">
        <v>122</v>
      </c>
      <c r="C24" s="27" t="s">
        <v>96</v>
      </c>
      <c r="D24" s="2">
        <v>1</v>
      </c>
    </row>
    <row r="25" spans="1:4" x14ac:dyDescent="0.35">
      <c r="A25" s="30">
        <v>88631</v>
      </c>
      <c r="B25" s="98"/>
      <c r="C25" s="27" t="s">
        <v>96</v>
      </c>
      <c r="D25" s="2">
        <v>1</v>
      </c>
    </row>
    <row r="26" spans="1:4" x14ac:dyDescent="0.35">
      <c r="A26" s="31">
        <v>46652</v>
      </c>
      <c r="B26" s="98"/>
      <c r="C26" s="27" t="s">
        <v>97</v>
      </c>
      <c r="D26" s="2">
        <v>2</v>
      </c>
    </row>
    <row r="27" spans="1:4" x14ac:dyDescent="0.35">
      <c r="A27" s="30">
        <v>88630</v>
      </c>
      <c r="B27" s="98"/>
      <c r="C27" s="27" t="s">
        <v>97</v>
      </c>
      <c r="D27" s="2">
        <v>2</v>
      </c>
    </row>
    <row r="28" spans="1:4" x14ac:dyDescent="0.35">
      <c r="A28" s="31">
        <v>51574</v>
      </c>
      <c r="B28" s="98"/>
      <c r="C28" s="27" t="s">
        <v>113</v>
      </c>
      <c r="D28" s="2">
        <v>5</v>
      </c>
    </row>
    <row r="29" spans="1:4" x14ac:dyDescent="0.35">
      <c r="A29" s="31">
        <v>88626</v>
      </c>
      <c r="B29" s="98"/>
      <c r="C29" s="27" t="s">
        <v>113</v>
      </c>
      <c r="D29" s="2">
        <v>5</v>
      </c>
    </row>
    <row r="30" spans="1:4" x14ac:dyDescent="0.35">
      <c r="A30" s="31">
        <v>58513</v>
      </c>
      <c r="B30" s="98" t="s">
        <v>92</v>
      </c>
      <c r="C30" s="27" t="s">
        <v>96</v>
      </c>
      <c r="D30" s="2">
        <v>1</v>
      </c>
    </row>
    <row r="31" spans="1:4" x14ac:dyDescent="0.35">
      <c r="A31" s="31">
        <v>53508</v>
      </c>
      <c r="B31" s="98"/>
      <c r="C31" s="27" t="s">
        <v>97</v>
      </c>
      <c r="D31" s="2">
        <v>2</v>
      </c>
    </row>
    <row r="32" spans="1:4" x14ac:dyDescent="0.35">
      <c r="A32" s="31">
        <v>53924</v>
      </c>
      <c r="B32" s="98"/>
      <c r="C32" s="27" t="s">
        <v>113</v>
      </c>
      <c r="D32" s="2">
        <v>5</v>
      </c>
    </row>
    <row r="33" spans="1:4" x14ac:dyDescent="0.35">
      <c r="A33" s="31">
        <v>80926</v>
      </c>
      <c r="B33" s="98" t="s">
        <v>123</v>
      </c>
      <c r="C33" s="27" t="s">
        <v>124</v>
      </c>
      <c r="D33" s="2">
        <v>0.8</v>
      </c>
    </row>
    <row r="34" spans="1:4" x14ac:dyDescent="0.35">
      <c r="A34" s="31">
        <v>87913</v>
      </c>
      <c r="B34" s="98"/>
      <c r="C34" s="27" t="s">
        <v>125</v>
      </c>
      <c r="D34" s="2">
        <v>1</v>
      </c>
    </row>
    <row r="35" spans="1:4" x14ac:dyDescent="0.35">
      <c r="A35" s="31">
        <v>75229</v>
      </c>
      <c r="B35" s="98"/>
      <c r="C35" s="27" t="s">
        <v>101</v>
      </c>
      <c r="D35" s="2">
        <v>2</v>
      </c>
    </row>
    <row r="36" spans="1:4" x14ac:dyDescent="0.35">
      <c r="A36" s="31">
        <v>80927</v>
      </c>
      <c r="B36" s="98" t="s">
        <v>126</v>
      </c>
      <c r="C36" s="27" t="s">
        <v>127</v>
      </c>
      <c r="D36" s="2">
        <v>1</v>
      </c>
    </row>
    <row r="37" spans="1:4" x14ac:dyDescent="0.35">
      <c r="A37" s="31">
        <v>81359</v>
      </c>
      <c r="B37" s="98"/>
      <c r="C37" s="27" t="s">
        <v>101</v>
      </c>
      <c r="D37" s="2">
        <v>2</v>
      </c>
    </row>
    <row r="38" spans="1:4" x14ac:dyDescent="0.35">
      <c r="A38" s="31">
        <v>85803</v>
      </c>
      <c r="B38" s="21" t="s">
        <v>83</v>
      </c>
      <c r="C38" s="27" t="s">
        <v>84</v>
      </c>
      <c r="D38" s="2">
        <v>2.1</v>
      </c>
    </row>
    <row r="39" spans="1:4" x14ac:dyDescent="0.35">
      <c r="A39" s="31">
        <v>55458</v>
      </c>
      <c r="B39" s="99" t="s">
        <v>86</v>
      </c>
      <c r="C39" s="27" t="s">
        <v>96</v>
      </c>
      <c r="D39" s="2">
        <v>1</v>
      </c>
    </row>
    <row r="40" spans="1:4" x14ac:dyDescent="0.35">
      <c r="A40" s="31">
        <v>46420</v>
      </c>
      <c r="B40" s="99"/>
      <c r="C40" s="27" t="s">
        <v>97</v>
      </c>
      <c r="D40" s="2">
        <v>2</v>
      </c>
    </row>
    <row r="41" spans="1:4" x14ac:dyDescent="0.35">
      <c r="A41" s="31">
        <v>57918</v>
      </c>
      <c r="B41" s="99"/>
      <c r="C41" s="27" t="s">
        <v>113</v>
      </c>
      <c r="D41" s="2">
        <v>5</v>
      </c>
    </row>
    <row r="42" spans="1:4" x14ac:dyDescent="0.35">
      <c r="A42" s="31">
        <v>61124</v>
      </c>
      <c r="B42" s="99" t="s">
        <v>128</v>
      </c>
      <c r="C42" s="27" t="s">
        <v>97</v>
      </c>
      <c r="D42" s="2">
        <v>2</v>
      </c>
    </row>
    <row r="43" spans="1:4" x14ac:dyDescent="0.35">
      <c r="A43" s="31">
        <v>59214</v>
      </c>
      <c r="B43" s="99"/>
      <c r="C43" s="27" t="s">
        <v>96</v>
      </c>
      <c r="D43" s="2">
        <v>1</v>
      </c>
    </row>
    <row r="44" spans="1:4" x14ac:dyDescent="0.35">
      <c r="A44" s="31">
        <v>84781</v>
      </c>
      <c r="B44" s="21" t="s">
        <v>129</v>
      </c>
      <c r="C44" s="27" t="s">
        <v>130</v>
      </c>
      <c r="D44" s="2">
        <v>12</v>
      </c>
    </row>
    <row r="45" spans="1:4" x14ac:dyDescent="0.35">
      <c r="A45" s="31">
        <v>75062</v>
      </c>
      <c r="B45" s="21" t="s">
        <v>5</v>
      </c>
      <c r="C45" s="27" t="s">
        <v>82</v>
      </c>
      <c r="D45" s="2">
        <v>10</v>
      </c>
    </row>
    <row r="46" spans="1:4" x14ac:dyDescent="0.35">
      <c r="A46" s="31">
        <v>80490</v>
      </c>
      <c r="B46" s="21" t="s">
        <v>131</v>
      </c>
      <c r="C46" s="27" t="s">
        <v>132</v>
      </c>
      <c r="D46" s="2">
        <v>10</v>
      </c>
    </row>
    <row r="47" spans="1:4" x14ac:dyDescent="0.35">
      <c r="A47" s="31">
        <v>82888</v>
      </c>
      <c r="B47" s="98" t="s">
        <v>133</v>
      </c>
      <c r="C47" s="27" t="s">
        <v>134</v>
      </c>
      <c r="D47" s="2">
        <v>10</v>
      </c>
    </row>
    <row r="48" spans="1:4" x14ac:dyDescent="0.35">
      <c r="A48" s="31">
        <v>82898</v>
      </c>
      <c r="B48" s="98"/>
      <c r="C48" s="27" t="s">
        <v>87</v>
      </c>
      <c r="D48" s="2">
        <v>5</v>
      </c>
    </row>
    <row r="49" spans="1:4" x14ac:dyDescent="0.35">
      <c r="A49" s="31">
        <v>88294</v>
      </c>
      <c r="B49" s="21" t="s">
        <v>135</v>
      </c>
      <c r="C49" s="27" t="s">
        <v>136</v>
      </c>
      <c r="D49" s="2">
        <v>5</v>
      </c>
    </row>
    <row r="50" spans="1:4" x14ac:dyDescent="0.35">
      <c r="A50" s="31">
        <v>85250</v>
      </c>
      <c r="B50" s="21" t="s">
        <v>137</v>
      </c>
      <c r="C50" s="27" t="s">
        <v>97</v>
      </c>
      <c r="D50" s="2">
        <v>2</v>
      </c>
    </row>
    <row r="51" spans="1:4" x14ac:dyDescent="0.35">
      <c r="A51" s="31">
        <v>59997</v>
      </c>
      <c r="B51" s="21" t="s">
        <v>138</v>
      </c>
      <c r="C51" s="27" t="s">
        <v>97</v>
      </c>
      <c r="D51" s="2">
        <v>2</v>
      </c>
    </row>
    <row r="52" spans="1:4" x14ac:dyDescent="0.35">
      <c r="A52" s="31">
        <v>72598</v>
      </c>
      <c r="B52" s="99" t="s">
        <v>139</v>
      </c>
      <c r="C52" s="27" t="s">
        <v>140</v>
      </c>
      <c r="D52" s="2">
        <v>0.4</v>
      </c>
    </row>
    <row r="53" spans="1:4" x14ac:dyDescent="0.35">
      <c r="A53" s="31">
        <v>72597</v>
      </c>
      <c r="B53" s="99"/>
      <c r="C53" s="27" t="s">
        <v>141</v>
      </c>
      <c r="D53" s="2">
        <v>0.6</v>
      </c>
    </row>
    <row r="54" spans="1:4" x14ac:dyDescent="0.35">
      <c r="A54" s="31">
        <v>88739</v>
      </c>
      <c r="B54" s="21" t="s">
        <v>142</v>
      </c>
      <c r="C54" s="27" t="s">
        <v>143</v>
      </c>
      <c r="D54" s="2">
        <v>0.5</v>
      </c>
    </row>
    <row r="55" spans="1:4" x14ac:dyDescent="0.35">
      <c r="A55" s="31">
        <v>84811</v>
      </c>
      <c r="B55" s="98" t="s">
        <v>98</v>
      </c>
      <c r="C55" s="27" t="s">
        <v>144</v>
      </c>
      <c r="D55" s="2">
        <v>0.5</v>
      </c>
    </row>
    <row r="56" spans="1:4" x14ac:dyDescent="0.35">
      <c r="A56" s="31">
        <v>84793</v>
      </c>
      <c r="B56" s="98"/>
      <c r="C56" s="27" t="s">
        <v>99</v>
      </c>
      <c r="D56" s="2">
        <v>0.375</v>
      </c>
    </row>
    <row r="57" spans="1:4" x14ac:dyDescent="0.35">
      <c r="A57" s="31">
        <v>87224</v>
      </c>
      <c r="B57" s="21" t="s">
        <v>145</v>
      </c>
      <c r="C57" s="27" t="s">
        <v>146</v>
      </c>
      <c r="D57" s="2">
        <v>0.48</v>
      </c>
    </row>
    <row r="58" spans="1:4" x14ac:dyDescent="0.35">
      <c r="A58" s="29">
        <v>38775</v>
      </c>
      <c r="B58" s="99" t="s">
        <v>147</v>
      </c>
      <c r="C58" s="27" t="s">
        <v>4</v>
      </c>
      <c r="D58" s="2">
        <v>3</v>
      </c>
    </row>
    <row r="59" spans="1:4" x14ac:dyDescent="0.35">
      <c r="A59" s="29">
        <v>38776</v>
      </c>
      <c r="B59" s="99"/>
      <c r="C59" s="27" t="s">
        <v>148</v>
      </c>
      <c r="D59" s="2">
        <v>5</v>
      </c>
    </row>
    <row r="60" spans="1:4" x14ac:dyDescent="0.35">
      <c r="A60" s="28">
        <v>16238</v>
      </c>
      <c r="B60" s="98" t="s">
        <v>149</v>
      </c>
      <c r="C60" s="27" t="s">
        <v>150</v>
      </c>
      <c r="D60" s="2">
        <v>5</v>
      </c>
    </row>
    <row r="61" spans="1:4" x14ac:dyDescent="0.35">
      <c r="A61" s="28">
        <v>16239</v>
      </c>
      <c r="B61" s="98"/>
      <c r="C61" s="27" t="s">
        <v>151</v>
      </c>
      <c r="D61" s="2">
        <v>10</v>
      </c>
    </row>
    <row r="62" spans="1:4" x14ac:dyDescent="0.35">
      <c r="A62" s="28">
        <v>92798</v>
      </c>
      <c r="B62" s="98"/>
      <c r="C62" s="27" t="s">
        <v>152</v>
      </c>
      <c r="D62" s="2">
        <v>12</v>
      </c>
    </row>
    <row r="63" spans="1:4" x14ac:dyDescent="0.35">
      <c r="A63" s="28">
        <v>16240</v>
      </c>
      <c r="B63" s="98"/>
      <c r="C63" s="27" t="s">
        <v>153</v>
      </c>
      <c r="D63" s="2">
        <v>10</v>
      </c>
    </row>
    <row r="64" spans="1:4" x14ac:dyDescent="0.35">
      <c r="A64" s="28">
        <v>92795</v>
      </c>
      <c r="B64" s="98"/>
      <c r="C64" s="27" t="s">
        <v>154</v>
      </c>
      <c r="D64" s="2">
        <v>12</v>
      </c>
    </row>
    <row r="65" spans="1:4" x14ac:dyDescent="0.35">
      <c r="A65" s="29">
        <v>202255</v>
      </c>
      <c r="B65" s="99" t="s">
        <v>155</v>
      </c>
      <c r="C65" s="27" t="s">
        <v>156</v>
      </c>
      <c r="D65" s="2">
        <v>1</v>
      </c>
    </row>
    <row r="66" spans="1:4" x14ac:dyDescent="0.35">
      <c r="A66" s="29">
        <v>4035253</v>
      </c>
      <c r="B66" s="99"/>
      <c r="C66" s="27" t="s">
        <v>157</v>
      </c>
      <c r="D66" s="2">
        <v>1</v>
      </c>
    </row>
    <row r="67" spans="1:4" x14ac:dyDescent="0.35">
      <c r="A67" s="29">
        <v>34779</v>
      </c>
      <c r="B67" s="21" t="s">
        <v>158</v>
      </c>
      <c r="C67" s="27" t="s">
        <v>159</v>
      </c>
      <c r="D67" s="2">
        <v>1</v>
      </c>
    </row>
    <row r="68" spans="1:4" x14ac:dyDescent="0.35">
      <c r="A68" s="29">
        <v>87221</v>
      </c>
      <c r="B68" s="21" t="s">
        <v>158</v>
      </c>
      <c r="C68" s="27" t="s">
        <v>160</v>
      </c>
      <c r="D68" s="2">
        <v>1.2</v>
      </c>
    </row>
    <row r="69" spans="1:4" x14ac:dyDescent="0.35">
      <c r="A69" s="28">
        <v>70897</v>
      </c>
      <c r="B69" s="98" t="s">
        <v>90</v>
      </c>
      <c r="C69" s="27" t="s">
        <v>91</v>
      </c>
      <c r="D69" s="2">
        <v>0.6</v>
      </c>
    </row>
    <row r="70" spans="1:4" x14ac:dyDescent="0.35">
      <c r="A70" s="31">
        <v>70887</v>
      </c>
      <c r="B70" s="98"/>
      <c r="C70" s="27" t="s">
        <v>140</v>
      </c>
      <c r="D70" s="2">
        <v>0.4</v>
      </c>
    </row>
    <row r="71" spans="1:4" x14ac:dyDescent="0.35">
      <c r="A71" s="31">
        <v>87199</v>
      </c>
      <c r="B71" s="98"/>
      <c r="C71" s="27" t="s">
        <v>161</v>
      </c>
      <c r="D71" s="2">
        <v>0.48</v>
      </c>
    </row>
    <row r="72" spans="1:4" x14ac:dyDescent="0.35">
      <c r="A72" s="31">
        <v>35440</v>
      </c>
      <c r="B72" s="21" t="s">
        <v>162</v>
      </c>
      <c r="C72" s="27" t="s">
        <v>151</v>
      </c>
      <c r="D72" s="2">
        <v>10</v>
      </c>
    </row>
    <row r="73" spans="1:4" x14ac:dyDescent="0.35">
      <c r="A73" s="31">
        <v>92493</v>
      </c>
      <c r="B73" s="21" t="s">
        <v>162</v>
      </c>
      <c r="C73" s="27" t="s">
        <v>163</v>
      </c>
      <c r="D73" s="2">
        <v>10</v>
      </c>
    </row>
    <row r="74" spans="1:4" x14ac:dyDescent="0.35">
      <c r="A74" s="28">
        <v>56655</v>
      </c>
      <c r="B74" s="21" t="s">
        <v>162</v>
      </c>
      <c r="C74" s="27" t="s">
        <v>153</v>
      </c>
      <c r="D74" s="2">
        <v>10</v>
      </c>
    </row>
    <row r="75" spans="1:4" x14ac:dyDescent="0.35">
      <c r="A75" s="28">
        <v>81636</v>
      </c>
      <c r="B75" s="21" t="s">
        <v>162</v>
      </c>
      <c r="C75" s="27" t="s">
        <v>164</v>
      </c>
      <c r="D75" s="2">
        <v>10</v>
      </c>
    </row>
    <row r="76" spans="1:4" x14ac:dyDescent="0.35">
      <c r="A76" s="28">
        <v>63728</v>
      </c>
      <c r="B76" s="98" t="s">
        <v>165</v>
      </c>
      <c r="C76" s="27" t="s">
        <v>4</v>
      </c>
      <c r="D76" s="2">
        <v>3</v>
      </c>
    </row>
    <row r="77" spans="1:4" x14ac:dyDescent="0.35">
      <c r="A77" s="28">
        <v>87269</v>
      </c>
      <c r="B77" s="98"/>
      <c r="C77" s="27" t="s">
        <v>166</v>
      </c>
      <c r="D77" s="2">
        <v>3</v>
      </c>
    </row>
    <row r="78" spans="1:4" x14ac:dyDescent="0.35">
      <c r="A78" s="28">
        <v>87848</v>
      </c>
      <c r="B78" s="98"/>
      <c r="C78" s="27" t="s">
        <v>167</v>
      </c>
      <c r="D78" s="2">
        <v>10</v>
      </c>
    </row>
    <row r="79" spans="1:4" x14ac:dyDescent="0.35">
      <c r="A79" s="29">
        <v>63731</v>
      </c>
      <c r="B79" s="98" t="s">
        <v>168</v>
      </c>
      <c r="C79" s="27" t="s">
        <v>151</v>
      </c>
      <c r="D79" s="2">
        <v>10</v>
      </c>
    </row>
    <row r="80" spans="1:4" x14ac:dyDescent="0.35">
      <c r="A80" s="29">
        <v>90521</v>
      </c>
      <c r="B80" s="98"/>
      <c r="C80" s="27" t="s">
        <v>151</v>
      </c>
      <c r="D80" s="2">
        <v>10</v>
      </c>
    </row>
    <row r="81" spans="1:4" x14ac:dyDescent="0.35">
      <c r="A81" s="29">
        <v>55296</v>
      </c>
      <c r="B81" s="98"/>
      <c r="C81" s="27" t="s">
        <v>153</v>
      </c>
      <c r="D81" s="2">
        <v>10</v>
      </c>
    </row>
    <row r="82" spans="1:4" x14ac:dyDescent="0.35">
      <c r="A82" s="29">
        <v>90556</v>
      </c>
      <c r="B82" s="98"/>
      <c r="C82" s="27" t="s">
        <v>153</v>
      </c>
      <c r="D82" s="2">
        <v>10</v>
      </c>
    </row>
    <row r="83" spans="1:4" x14ac:dyDescent="0.35">
      <c r="A83" s="29">
        <v>35723</v>
      </c>
      <c r="B83" s="21" t="s">
        <v>169</v>
      </c>
      <c r="C83" s="27" t="s">
        <v>170</v>
      </c>
      <c r="D83" s="2">
        <v>4</v>
      </c>
    </row>
    <row r="84" spans="1:4" x14ac:dyDescent="0.35">
      <c r="A84" s="31">
        <v>43868</v>
      </c>
      <c r="B84" s="21" t="s">
        <v>88</v>
      </c>
      <c r="C84" s="27" t="s">
        <v>76</v>
      </c>
      <c r="D84" s="2">
        <v>3</v>
      </c>
    </row>
    <row r="85" spans="1:4" x14ac:dyDescent="0.35">
      <c r="A85" s="31">
        <v>52539</v>
      </c>
      <c r="B85" s="99" t="s">
        <v>171</v>
      </c>
      <c r="C85" s="27" t="s">
        <v>4</v>
      </c>
      <c r="D85" s="2">
        <v>3</v>
      </c>
    </row>
    <row r="86" spans="1:4" x14ac:dyDescent="0.35">
      <c r="A86" s="31">
        <v>52537</v>
      </c>
      <c r="B86" s="99"/>
      <c r="C86" s="27" t="s">
        <v>148</v>
      </c>
      <c r="D86" s="2">
        <v>5</v>
      </c>
    </row>
    <row r="87" spans="1:4" x14ac:dyDescent="0.35">
      <c r="A87" s="31">
        <v>45144</v>
      </c>
      <c r="B87" s="99"/>
      <c r="C87" s="27" t="s">
        <v>151</v>
      </c>
      <c r="D87" s="2">
        <v>10</v>
      </c>
    </row>
    <row r="88" spans="1:4" x14ac:dyDescent="0.35">
      <c r="A88" s="31">
        <v>64213</v>
      </c>
      <c r="B88" s="98" t="s">
        <v>172</v>
      </c>
      <c r="C88" s="27" t="s">
        <v>173</v>
      </c>
      <c r="D88" s="2">
        <v>2</v>
      </c>
    </row>
    <row r="89" spans="1:4" x14ac:dyDescent="0.35">
      <c r="A89" s="31">
        <v>66917</v>
      </c>
      <c r="B89" s="98"/>
      <c r="C89" s="27" t="s">
        <v>174</v>
      </c>
      <c r="D89" s="2">
        <v>2</v>
      </c>
    </row>
    <row r="90" spans="1:4" x14ac:dyDescent="0.35">
      <c r="A90" s="31">
        <v>47314</v>
      </c>
      <c r="B90" s="99" t="s">
        <v>175</v>
      </c>
      <c r="C90" s="27" t="s">
        <v>150</v>
      </c>
      <c r="D90" s="2">
        <v>5</v>
      </c>
    </row>
    <row r="91" spans="1:4" x14ac:dyDescent="0.35">
      <c r="A91" s="31">
        <v>63914</v>
      </c>
      <c r="B91" s="99"/>
      <c r="C91" s="27" t="s">
        <v>153</v>
      </c>
      <c r="D91" s="2">
        <v>10</v>
      </c>
    </row>
    <row r="92" spans="1:4" x14ac:dyDescent="0.35">
      <c r="A92" s="31">
        <v>58337</v>
      </c>
      <c r="B92" s="99"/>
      <c r="C92" s="27" t="s">
        <v>151</v>
      </c>
      <c r="D92" s="2">
        <v>10</v>
      </c>
    </row>
    <row r="93" spans="1:4" x14ac:dyDescent="0.35">
      <c r="A93" s="31">
        <v>63913</v>
      </c>
      <c r="B93" s="32" t="s">
        <v>176</v>
      </c>
      <c r="C93" s="33" t="s">
        <v>177</v>
      </c>
      <c r="D93" s="2">
        <v>1</v>
      </c>
    </row>
    <row r="94" spans="1:4" x14ac:dyDescent="0.35">
      <c r="A94" s="31">
        <v>68507</v>
      </c>
      <c r="B94" s="100" t="s">
        <v>178</v>
      </c>
      <c r="C94" s="33" t="s">
        <v>179</v>
      </c>
      <c r="D94" s="2">
        <v>3</v>
      </c>
    </row>
    <row r="95" spans="1:4" x14ac:dyDescent="0.35">
      <c r="A95" s="31">
        <v>70283</v>
      </c>
      <c r="B95" s="100"/>
      <c r="C95" s="27" t="s">
        <v>148</v>
      </c>
      <c r="D95" s="2">
        <v>5</v>
      </c>
    </row>
    <row r="96" spans="1:4" x14ac:dyDescent="0.35">
      <c r="A96" s="31">
        <v>68508</v>
      </c>
      <c r="B96" s="97" t="s">
        <v>75</v>
      </c>
      <c r="C96" s="33" t="s">
        <v>85</v>
      </c>
      <c r="D96" s="2">
        <v>3</v>
      </c>
    </row>
    <row r="97" spans="1:4" x14ac:dyDescent="0.35">
      <c r="A97" s="31">
        <v>72523</v>
      </c>
      <c r="B97" s="97"/>
      <c r="C97" s="33" t="s">
        <v>15</v>
      </c>
      <c r="D97" s="2">
        <v>2</v>
      </c>
    </row>
    <row r="98" spans="1:4" x14ac:dyDescent="0.35">
      <c r="A98" s="31">
        <v>69037</v>
      </c>
      <c r="B98" s="34" t="s">
        <v>180</v>
      </c>
      <c r="C98" s="34" t="s">
        <v>181</v>
      </c>
      <c r="D98" s="2">
        <v>3</v>
      </c>
    </row>
    <row r="99" spans="1:4" x14ac:dyDescent="0.35">
      <c r="A99" s="31">
        <v>68554</v>
      </c>
      <c r="B99" s="34" t="s">
        <v>182</v>
      </c>
      <c r="C99" s="27" t="s">
        <v>113</v>
      </c>
      <c r="D99" s="2">
        <v>5</v>
      </c>
    </row>
    <row r="100" spans="1:4" x14ac:dyDescent="0.35">
      <c r="A100" s="31">
        <v>69667</v>
      </c>
      <c r="B100" s="97" t="s">
        <v>81</v>
      </c>
      <c r="C100" s="27" t="s">
        <v>100</v>
      </c>
      <c r="D100" s="2">
        <v>1</v>
      </c>
    </row>
    <row r="101" spans="1:4" x14ac:dyDescent="0.35">
      <c r="A101" s="31">
        <v>70966</v>
      </c>
      <c r="B101" s="97"/>
      <c r="C101" s="27" t="s">
        <v>183</v>
      </c>
      <c r="D101" s="2">
        <v>2</v>
      </c>
    </row>
    <row r="102" spans="1:4" x14ac:dyDescent="0.35">
      <c r="A102" s="31">
        <v>70182</v>
      </c>
      <c r="B102" s="34" t="s">
        <v>184</v>
      </c>
      <c r="C102" s="27" t="s">
        <v>179</v>
      </c>
      <c r="D102" s="2">
        <v>3</v>
      </c>
    </row>
    <row r="103" spans="1:4" x14ac:dyDescent="0.35">
      <c r="A103" s="31">
        <v>67637</v>
      </c>
      <c r="B103" s="34" t="s">
        <v>93</v>
      </c>
      <c r="C103" s="34" t="s">
        <v>94</v>
      </c>
      <c r="D103" s="2">
        <v>5</v>
      </c>
    </row>
    <row r="104" spans="1:4" x14ac:dyDescent="0.35">
      <c r="A104" s="31">
        <v>78917</v>
      </c>
      <c r="B104" s="34" t="s">
        <v>185</v>
      </c>
      <c r="C104" s="34" t="s">
        <v>186</v>
      </c>
      <c r="D104" s="2">
        <v>3.3</v>
      </c>
    </row>
    <row r="105" spans="1:4" x14ac:dyDescent="0.35">
      <c r="A105" s="31">
        <v>70007</v>
      </c>
      <c r="B105" s="34" t="s">
        <v>187</v>
      </c>
      <c r="C105" s="27" t="s">
        <v>188</v>
      </c>
      <c r="D105" s="2">
        <v>0.1</v>
      </c>
    </row>
    <row r="106" spans="1:4" x14ac:dyDescent="0.35">
      <c r="A106" s="31">
        <v>71016</v>
      </c>
      <c r="B106" s="97" t="s">
        <v>189</v>
      </c>
      <c r="C106" s="27" t="s">
        <v>4</v>
      </c>
      <c r="D106" s="2">
        <v>3</v>
      </c>
    </row>
    <row r="107" spans="1:4" x14ac:dyDescent="0.35">
      <c r="A107" s="31">
        <v>71017</v>
      </c>
      <c r="B107" s="97"/>
      <c r="C107" s="27" t="s">
        <v>148</v>
      </c>
      <c r="D107" s="2">
        <v>5</v>
      </c>
    </row>
    <row r="108" spans="1:4" x14ac:dyDescent="0.35">
      <c r="A108" s="31">
        <v>71830</v>
      </c>
      <c r="B108" s="97" t="s">
        <v>190</v>
      </c>
      <c r="C108" s="34" t="s">
        <v>191</v>
      </c>
      <c r="D108" s="2">
        <v>2</v>
      </c>
    </row>
    <row r="109" spans="1:4" x14ac:dyDescent="0.35">
      <c r="A109" s="31">
        <v>72524</v>
      </c>
      <c r="B109" s="97"/>
      <c r="C109" s="34" t="s">
        <v>192</v>
      </c>
      <c r="D109" s="2">
        <v>5</v>
      </c>
    </row>
    <row r="110" spans="1:4" x14ac:dyDescent="0.35">
      <c r="A110" s="31">
        <v>72434</v>
      </c>
      <c r="B110" s="97" t="s">
        <v>89</v>
      </c>
      <c r="C110" s="34" t="s">
        <v>193</v>
      </c>
      <c r="D110" s="2">
        <v>0.4</v>
      </c>
    </row>
    <row r="111" spans="1:4" x14ac:dyDescent="0.35">
      <c r="A111" s="31">
        <v>74275</v>
      </c>
      <c r="B111" s="97"/>
      <c r="C111" s="27" t="s">
        <v>96</v>
      </c>
      <c r="D111" s="2">
        <v>1</v>
      </c>
    </row>
    <row r="112" spans="1:4" ht="15" thickBot="1" x14ac:dyDescent="0.4">
      <c r="A112" s="22"/>
      <c r="B112" s="23"/>
      <c r="C112" s="24"/>
    </row>
  </sheetData>
  <mergeCells count="32">
    <mergeCell ref="B36:B37"/>
    <mergeCell ref="A1:C1"/>
    <mergeCell ref="B3:B5"/>
    <mergeCell ref="B6:B8"/>
    <mergeCell ref="B9:B11"/>
    <mergeCell ref="B12:B13"/>
    <mergeCell ref="B14:B16"/>
    <mergeCell ref="B17:B19"/>
    <mergeCell ref="B20:B22"/>
    <mergeCell ref="B24:B29"/>
    <mergeCell ref="B30:B32"/>
    <mergeCell ref="B33:B35"/>
    <mergeCell ref="B85:B87"/>
    <mergeCell ref="B39:B41"/>
    <mergeCell ref="B42:B43"/>
    <mergeCell ref="B47:B48"/>
    <mergeCell ref="B52:B53"/>
    <mergeCell ref="B55:B56"/>
    <mergeCell ref="B58:B59"/>
    <mergeCell ref="B60:B64"/>
    <mergeCell ref="B65:B66"/>
    <mergeCell ref="B69:B71"/>
    <mergeCell ref="B76:B78"/>
    <mergeCell ref="B79:B82"/>
    <mergeCell ref="B108:B109"/>
    <mergeCell ref="B110:B111"/>
    <mergeCell ref="B88:B89"/>
    <mergeCell ref="B90:B92"/>
    <mergeCell ref="B94:B95"/>
    <mergeCell ref="B96:B97"/>
    <mergeCell ref="B100:B101"/>
    <mergeCell ref="B106:B10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1E39-B189-4AEE-80A3-9C4A79C38D20}">
  <sheetPr codeName="Sheet11"/>
  <dimension ref="A1:D189"/>
  <sheetViews>
    <sheetView workbookViewId="0">
      <selection activeCell="C8" sqref="C8"/>
    </sheetView>
  </sheetViews>
  <sheetFormatPr defaultRowHeight="14.5" x14ac:dyDescent="0.35"/>
  <cols>
    <col min="2" max="2" width="38.6328125" bestFit="1" customWidth="1"/>
    <col min="3" max="3" width="10.6328125" bestFit="1" customWidth="1"/>
    <col min="4" max="4" width="13.6328125" bestFit="1" customWidth="1"/>
  </cols>
  <sheetData>
    <row r="1" spans="1:4" ht="15" thickBot="1" x14ac:dyDescent="0.4">
      <c r="A1" s="40" t="s">
        <v>238</v>
      </c>
      <c r="B1" s="41" t="s">
        <v>1</v>
      </c>
      <c r="C1" s="41" t="s">
        <v>2</v>
      </c>
      <c r="D1" s="46" t="s">
        <v>433</v>
      </c>
    </row>
    <row r="2" spans="1:4" ht="16" x14ac:dyDescent="0.35">
      <c r="A2" s="42">
        <v>4114195</v>
      </c>
      <c r="B2" s="43" t="s">
        <v>239</v>
      </c>
      <c r="C2" s="8" t="s">
        <v>31</v>
      </c>
      <c r="D2" s="47">
        <v>0.1</v>
      </c>
    </row>
    <row r="3" spans="1:4" ht="16" x14ac:dyDescent="0.35">
      <c r="A3" s="42">
        <v>294469</v>
      </c>
      <c r="B3" s="44" t="s">
        <v>240</v>
      </c>
      <c r="C3" s="8" t="s">
        <v>241</v>
      </c>
      <c r="D3" s="47">
        <v>5</v>
      </c>
    </row>
    <row r="4" spans="1:4" ht="16" x14ac:dyDescent="0.35">
      <c r="A4" s="42">
        <v>4013509</v>
      </c>
      <c r="B4" s="44" t="s">
        <v>242</v>
      </c>
      <c r="C4" s="8" t="s">
        <v>243</v>
      </c>
      <c r="D4" s="47">
        <v>0.1</v>
      </c>
    </row>
    <row r="5" spans="1:4" ht="16" x14ac:dyDescent="0.35">
      <c r="A5" s="42">
        <v>4024886</v>
      </c>
      <c r="B5" s="44" t="s">
        <v>244</v>
      </c>
      <c r="C5" s="8" t="s">
        <v>241</v>
      </c>
      <c r="D5" s="47">
        <v>5</v>
      </c>
    </row>
    <row r="6" spans="1:4" ht="16" x14ac:dyDescent="0.35">
      <c r="A6" s="42">
        <v>4073384</v>
      </c>
      <c r="B6" s="44" t="s">
        <v>245</v>
      </c>
      <c r="C6" s="8" t="s">
        <v>31</v>
      </c>
      <c r="D6" s="47">
        <v>0.1</v>
      </c>
    </row>
    <row r="7" spans="1:4" ht="16" x14ac:dyDescent="0.35">
      <c r="A7" s="42">
        <v>4075097</v>
      </c>
      <c r="B7" s="44" t="s">
        <v>246</v>
      </c>
      <c r="C7" s="8" t="s">
        <v>247</v>
      </c>
      <c r="D7" s="47">
        <v>0.05</v>
      </c>
    </row>
    <row r="8" spans="1:4" ht="16" x14ac:dyDescent="0.35">
      <c r="A8" s="42">
        <v>4075098</v>
      </c>
      <c r="B8" s="44" t="s">
        <v>246</v>
      </c>
      <c r="C8" s="8" t="s">
        <v>31</v>
      </c>
      <c r="D8" s="47">
        <v>0.1</v>
      </c>
    </row>
    <row r="9" spans="1:4" ht="16" x14ac:dyDescent="0.35">
      <c r="A9" s="42">
        <v>4028654</v>
      </c>
      <c r="B9" s="44" t="s">
        <v>248</v>
      </c>
      <c r="C9" s="8" t="s">
        <v>209</v>
      </c>
      <c r="D9" s="47">
        <v>1</v>
      </c>
    </row>
    <row r="10" spans="1:4" ht="16" x14ac:dyDescent="0.35">
      <c r="A10" s="42">
        <v>4183807</v>
      </c>
      <c r="B10" s="44" t="s">
        <v>249</v>
      </c>
      <c r="C10" s="8" t="s">
        <v>250</v>
      </c>
      <c r="D10" s="47">
        <v>10</v>
      </c>
    </row>
    <row r="11" spans="1:4" ht="16" x14ac:dyDescent="0.35">
      <c r="A11" s="42">
        <v>4183809</v>
      </c>
      <c r="B11" s="44" t="s">
        <v>251</v>
      </c>
      <c r="C11" s="8" t="s">
        <v>250</v>
      </c>
      <c r="D11" s="47">
        <v>10</v>
      </c>
    </row>
    <row r="12" spans="1:4" ht="16" x14ac:dyDescent="0.35">
      <c r="A12" s="42">
        <v>4190687</v>
      </c>
      <c r="B12" s="44" t="s">
        <v>252</v>
      </c>
      <c r="C12" s="8" t="s">
        <v>253</v>
      </c>
      <c r="D12" s="47">
        <v>30</v>
      </c>
    </row>
    <row r="13" spans="1:4" ht="16" x14ac:dyDescent="0.35">
      <c r="A13" s="42">
        <v>4186483</v>
      </c>
      <c r="B13" s="44" t="s">
        <v>254</v>
      </c>
      <c r="C13" s="8" t="s">
        <v>250</v>
      </c>
      <c r="D13" s="47">
        <v>10</v>
      </c>
    </row>
    <row r="14" spans="1:4" ht="16" x14ac:dyDescent="0.35">
      <c r="A14" s="42">
        <v>4170963</v>
      </c>
      <c r="B14" s="44" t="s">
        <v>255</v>
      </c>
      <c r="C14" s="8" t="s">
        <v>253</v>
      </c>
      <c r="D14" s="47">
        <v>30</v>
      </c>
    </row>
    <row r="15" spans="1:4" ht="16" x14ac:dyDescent="0.35">
      <c r="A15" s="42">
        <v>4170959</v>
      </c>
      <c r="B15" s="44" t="s">
        <v>256</v>
      </c>
      <c r="C15" s="8" t="s">
        <v>253</v>
      </c>
      <c r="D15" s="47">
        <v>30</v>
      </c>
    </row>
    <row r="16" spans="1:4" ht="16" x14ac:dyDescent="0.35">
      <c r="A16" s="42">
        <v>4162037</v>
      </c>
      <c r="B16" s="44" t="s">
        <v>257</v>
      </c>
      <c r="C16" s="8" t="s">
        <v>258</v>
      </c>
      <c r="D16" s="47">
        <v>10</v>
      </c>
    </row>
    <row r="17" spans="1:4" ht="16" x14ac:dyDescent="0.35">
      <c r="A17" s="42">
        <v>4162038</v>
      </c>
      <c r="B17" s="44" t="s">
        <v>259</v>
      </c>
      <c r="C17" s="8" t="s">
        <v>250</v>
      </c>
      <c r="D17" s="47">
        <v>10</v>
      </c>
    </row>
    <row r="18" spans="1:4" ht="16" x14ac:dyDescent="0.35">
      <c r="A18" s="42">
        <v>4210831</v>
      </c>
      <c r="B18" s="44" t="s">
        <v>260</v>
      </c>
      <c r="C18" s="8" t="s">
        <v>250</v>
      </c>
      <c r="D18" s="47">
        <v>10</v>
      </c>
    </row>
    <row r="19" spans="1:4" ht="16" x14ac:dyDescent="0.35">
      <c r="A19" s="42">
        <v>4210839</v>
      </c>
      <c r="B19" s="44" t="s">
        <v>261</v>
      </c>
      <c r="C19" s="8" t="s">
        <v>250</v>
      </c>
      <c r="D19" s="47">
        <v>10</v>
      </c>
    </row>
    <row r="20" spans="1:4" ht="16" x14ac:dyDescent="0.35">
      <c r="A20" s="42">
        <v>4210843</v>
      </c>
      <c r="B20" s="44" t="s">
        <v>262</v>
      </c>
      <c r="C20" s="8" t="s">
        <v>250</v>
      </c>
      <c r="D20" s="47">
        <v>10</v>
      </c>
    </row>
    <row r="21" spans="1:4" ht="16" x14ac:dyDescent="0.35">
      <c r="A21" s="42">
        <v>4012857</v>
      </c>
      <c r="B21" s="44" t="s">
        <v>263</v>
      </c>
      <c r="C21" s="8" t="s">
        <v>243</v>
      </c>
      <c r="D21" s="47">
        <v>0.1</v>
      </c>
    </row>
    <row r="22" spans="1:4" ht="16" x14ac:dyDescent="0.35">
      <c r="A22" s="42">
        <v>254856</v>
      </c>
      <c r="B22" s="44" t="s">
        <v>264</v>
      </c>
      <c r="C22" s="8" t="s">
        <v>265</v>
      </c>
      <c r="D22" s="47">
        <v>0.05</v>
      </c>
    </row>
    <row r="23" spans="1:4" ht="16" x14ac:dyDescent="0.35">
      <c r="A23" s="42">
        <v>4185745</v>
      </c>
      <c r="B23" s="44" t="s">
        <v>266</v>
      </c>
      <c r="C23" s="8" t="s">
        <v>247</v>
      </c>
      <c r="D23" s="47">
        <v>0.05</v>
      </c>
    </row>
    <row r="24" spans="1:4" ht="16" x14ac:dyDescent="0.35">
      <c r="A24" s="42">
        <v>4188392</v>
      </c>
      <c r="B24" s="44" t="s">
        <v>215</v>
      </c>
      <c r="C24" s="8" t="s">
        <v>216</v>
      </c>
      <c r="D24" s="47">
        <v>1</v>
      </c>
    </row>
    <row r="25" spans="1:4" ht="16" x14ac:dyDescent="0.35">
      <c r="A25" s="42">
        <v>4188393</v>
      </c>
      <c r="B25" s="44" t="s">
        <v>217</v>
      </c>
      <c r="C25" s="8" t="s">
        <v>216</v>
      </c>
      <c r="D25" s="47">
        <v>1</v>
      </c>
    </row>
    <row r="26" spans="1:4" ht="16" x14ac:dyDescent="0.35">
      <c r="A26" s="42">
        <v>4012952</v>
      </c>
      <c r="B26" s="44" t="s">
        <v>267</v>
      </c>
      <c r="C26" s="8" t="s">
        <v>201</v>
      </c>
      <c r="D26" s="47">
        <v>0.05</v>
      </c>
    </row>
    <row r="27" spans="1:4" ht="16" x14ac:dyDescent="0.35">
      <c r="A27" s="42">
        <v>4012953</v>
      </c>
      <c r="B27" s="44" t="s">
        <v>267</v>
      </c>
      <c r="C27" s="8" t="s">
        <v>203</v>
      </c>
      <c r="D27" s="47">
        <v>0.1</v>
      </c>
    </row>
    <row r="28" spans="1:4" ht="16" x14ac:dyDescent="0.35">
      <c r="A28" s="42">
        <v>360532</v>
      </c>
      <c r="B28" s="44" t="s">
        <v>268</v>
      </c>
      <c r="C28" s="8" t="s">
        <v>269</v>
      </c>
      <c r="D28" s="47">
        <v>10</v>
      </c>
    </row>
    <row r="29" spans="1:4" ht="16" x14ac:dyDescent="0.35">
      <c r="A29" s="42">
        <v>4190685</v>
      </c>
      <c r="B29" s="44" t="s">
        <v>270</v>
      </c>
      <c r="C29" s="8" t="s">
        <v>271</v>
      </c>
      <c r="D29" s="47">
        <v>30</v>
      </c>
    </row>
    <row r="30" spans="1:4" ht="16" x14ac:dyDescent="0.35">
      <c r="A30" s="42">
        <v>4076672</v>
      </c>
      <c r="B30" s="44" t="s">
        <v>272</v>
      </c>
      <c r="C30" s="8" t="s">
        <v>273</v>
      </c>
      <c r="D30" s="47">
        <v>30</v>
      </c>
    </row>
    <row r="31" spans="1:4" ht="16" x14ac:dyDescent="0.35">
      <c r="A31" s="42">
        <v>4068066</v>
      </c>
      <c r="B31" s="44" t="s">
        <v>274</v>
      </c>
      <c r="C31" s="8" t="s">
        <v>247</v>
      </c>
      <c r="D31" s="47">
        <v>0.05</v>
      </c>
    </row>
    <row r="32" spans="1:4" ht="16" x14ac:dyDescent="0.35">
      <c r="A32" s="42">
        <v>4068137</v>
      </c>
      <c r="B32" s="44" t="s">
        <v>275</v>
      </c>
      <c r="C32" s="8" t="s">
        <v>204</v>
      </c>
      <c r="D32" s="47">
        <v>0.1</v>
      </c>
    </row>
    <row r="33" spans="1:4" ht="16" x14ac:dyDescent="0.35">
      <c r="A33" s="42">
        <v>265690</v>
      </c>
      <c r="B33" s="44" t="s">
        <v>276</v>
      </c>
      <c r="C33" s="8" t="s">
        <v>277</v>
      </c>
      <c r="D33" s="47">
        <v>0.05</v>
      </c>
    </row>
    <row r="34" spans="1:4" ht="16" x14ac:dyDescent="0.35">
      <c r="A34" s="42">
        <v>4012838</v>
      </c>
      <c r="B34" s="44" t="s">
        <v>276</v>
      </c>
      <c r="C34" s="8" t="s">
        <v>243</v>
      </c>
      <c r="D34" s="47">
        <v>0.1</v>
      </c>
    </row>
    <row r="35" spans="1:4" ht="16" x14ac:dyDescent="0.35">
      <c r="A35" s="42">
        <v>4190681</v>
      </c>
      <c r="B35" s="44" t="s">
        <v>278</v>
      </c>
      <c r="C35" s="8" t="s">
        <v>279</v>
      </c>
      <c r="D35" s="47">
        <v>30</v>
      </c>
    </row>
    <row r="36" spans="1:4" ht="16" x14ac:dyDescent="0.35">
      <c r="A36" s="42">
        <v>360721</v>
      </c>
      <c r="B36" s="44" t="s">
        <v>280</v>
      </c>
      <c r="C36" s="8" t="s">
        <v>258</v>
      </c>
      <c r="D36" s="47">
        <v>10</v>
      </c>
    </row>
    <row r="37" spans="1:4" ht="16" x14ac:dyDescent="0.35">
      <c r="A37" s="42">
        <v>360541</v>
      </c>
      <c r="B37" s="44" t="s">
        <v>281</v>
      </c>
      <c r="C37" s="8" t="s">
        <v>258</v>
      </c>
      <c r="D37" s="47">
        <v>10</v>
      </c>
    </row>
    <row r="38" spans="1:4" ht="16" x14ac:dyDescent="0.35">
      <c r="A38" s="42">
        <v>360534</v>
      </c>
      <c r="B38" s="44" t="s">
        <v>282</v>
      </c>
      <c r="C38" s="8" t="s">
        <v>283</v>
      </c>
      <c r="D38" s="47">
        <v>10</v>
      </c>
    </row>
    <row r="39" spans="1:4" ht="16" x14ac:dyDescent="0.35">
      <c r="A39" s="42">
        <v>4076671</v>
      </c>
      <c r="B39" s="44" t="s">
        <v>282</v>
      </c>
      <c r="C39" s="8" t="s">
        <v>273</v>
      </c>
      <c r="D39" s="47">
        <v>30</v>
      </c>
    </row>
    <row r="40" spans="1:4" ht="16" x14ac:dyDescent="0.35">
      <c r="A40" s="42">
        <v>4203837</v>
      </c>
      <c r="B40" s="44" t="s">
        <v>284</v>
      </c>
      <c r="C40" s="8" t="s">
        <v>285</v>
      </c>
      <c r="D40" s="47">
        <v>30</v>
      </c>
    </row>
    <row r="41" spans="1:4" ht="16" x14ac:dyDescent="0.35">
      <c r="A41" s="42">
        <v>4162035</v>
      </c>
      <c r="B41" s="44" t="s">
        <v>286</v>
      </c>
      <c r="C41" s="8" t="s">
        <v>287</v>
      </c>
      <c r="D41" s="47">
        <v>30</v>
      </c>
    </row>
    <row r="42" spans="1:4" ht="16" x14ac:dyDescent="0.35">
      <c r="A42" s="42">
        <v>4197742</v>
      </c>
      <c r="B42" s="44" t="s">
        <v>288</v>
      </c>
      <c r="C42" s="8" t="s">
        <v>289</v>
      </c>
      <c r="D42" s="47">
        <v>30</v>
      </c>
    </row>
    <row r="43" spans="1:4" ht="16" x14ac:dyDescent="0.35">
      <c r="A43" s="42">
        <v>4190689</v>
      </c>
      <c r="B43" s="44" t="s">
        <v>290</v>
      </c>
      <c r="C43" s="8" t="s">
        <v>291</v>
      </c>
      <c r="D43" s="47">
        <v>30</v>
      </c>
    </row>
    <row r="44" spans="1:4" ht="16" x14ac:dyDescent="0.35">
      <c r="A44" s="42">
        <v>360536</v>
      </c>
      <c r="B44" s="44" t="s">
        <v>292</v>
      </c>
      <c r="C44" s="8" t="s">
        <v>293</v>
      </c>
      <c r="D44" s="47">
        <v>10</v>
      </c>
    </row>
    <row r="45" spans="1:4" ht="16" x14ac:dyDescent="0.35">
      <c r="A45" s="42">
        <v>4076670</v>
      </c>
      <c r="B45" s="44" t="s">
        <v>292</v>
      </c>
      <c r="C45" s="8" t="s">
        <v>273</v>
      </c>
      <c r="D45" s="47">
        <v>30</v>
      </c>
    </row>
    <row r="46" spans="1:4" ht="16" x14ac:dyDescent="0.35">
      <c r="A46" s="42">
        <v>360538</v>
      </c>
      <c r="B46" s="44" t="s">
        <v>294</v>
      </c>
      <c r="C46" s="8" t="s">
        <v>293</v>
      </c>
      <c r="D46" s="47">
        <v>10</v>
      </c>
    </row>
    <row r="47" spans="1:4" ht="16" x14ac:dyDescent="0.35">
      <c r="A47" s="42">
        <v>4076669</v>
      </c>
      <c r="B47" s="44" t="s">
        <v>294</v>
      </c>
      <c r="C47" s="8" t="s">
        <v>273</v>
      </c>
      <c r="D47" s="47">
        <v>30</v>
      </c>
    </row>
    <row r="48" spans="1:4" ht="16" x14ac:dyDescent="0.35">
      <c r="A48" s="42">
        <v>4076668</v>
      </c>
      <c r="B48" s="44" t="s">
        <v>295</v>
      </c>
      <c r="C48" s="8" t="s">
        <v>273</v>
      </c>
      <c r="D48" s="47">
        <v>30</v>
      </c>
    </row>
    <row r="49" spans="1:4" ht="16" x14ac:dyDescent="0.35">
      <c r="A49" s="42">
        <v>360542</v>
      </c>
      <c r="B49" s="44" t="s">
        <v>295</v>
      </c>
      <c r="C49" s="8" t="s">
        <v>283</v>
      </c>
      <c r="D49" s="47">
        <v>10</v>
      </c>
    </row>
    <row r="50" spans="1:4" ht="16" x14ac:dyDescent="0.35">
      <c r="A50" s="42">
        <v>4027940</v>
      </c>
      <c r="B50" s="44" t="s">
        <v>296</v>
      </c>
      <c r="C50" s="8" t="s">
        <v>297</v>
      </c>
      <c r="D50" s="47">
        <v>20</v>
      </c>
    </row>
    <row r="51" spans="1:4" ht="16" x14ac:dyDescent="0.35">
      <c r="A51" s="42">
        <v>254868</v>
      </c>
      <c r="B51" s="44" t="s">
        <v>298</v>
      </c>
      <c r="C51" s="8" t="s">
        <v>203</v>
      </c>
      <c r="D51" s="47">
        <v>0.1</v>
      </c>
    </row>
    <row r="52" spans="1:4" ht="16" x14ac:dyDescent="0.35">
      <c r="A52" s="42">
        <v>4073385</v>
      </c>
      <c r="B52" s="44" t="s">
        <v>299</v>
      </c>
      <c r="C52" s="8" t="s">
        <v>204</v>
      </c>
      <c r="D52" s="47">
        <v>0.1</v>
      </c>
    </row>
    <row r="53" spans="1:4" ht="16" x14ac:dyDescent="0.35">
      <c r="A53" s="42">
        <v>4220685</v>
      </c>
      <c r="B53" s="44" t="s">
        <v>300</v>
      </c>
      <c r="C53" s="8" t="s">
        <v>301</v>
      </c>
      <c r="D53" s="47">
        <v>25</v>
      </c>
    </row>
    <row r="54" spans="1:4" ht="16" x14ac:dyDescent="0.35">
      <c r="A54" s="42">
        <v>4144176</v>
      </c>
      <c r="B54" s="44" t="s">
        <v>302</v>
      </c>
      <c r="C54" s="8" t="s">
        <v>303</v>
      </c>
      <c r="D54" s="47">
        <v>10</v>
      </c>
    </row>
    <row r="55" spans="1:4" ht="16" x14ac:dyDescent="0.35">
      <c r="A55" s="42">
        <v>4011999</v>
      </c>
      <c r="B55" s="44" t="s">
        <v>304</v>
      </c>
      <c r="C55" s="8" t="s">
        <v>203</v>
      </c>
      <c r="D55" s="47">
        <v>0.1</v>
      </c>
    </row>
    <row r="56" spans="1:4" ht="16" x14ac:dyDescent="0.35">
      <c r="A56" s="42">
        <v>4165682</v>
      </c>
      <c r="B56" s="44" t="s">
        <v>305</v>
      </c>
      <c r="C56" s="8" t="s">
        <v>224</v>
      </c>
      <c r="D56" s="47">
        <v>30</v>
      </c>
    </row>
    <row r="57" spans="1:4" ht="16" x14ac:dyDescent="0.35">
      <c r="A57" s="42">
        <v>350797</v>
      </c>
      <c r="B57" s="44" t="s">
        <v>306</v>
      </c>
      <c r="C57" s="8" t="s">
        <v>297</v>
      </c>
      <c r="D57" s="47">
        <v>20</v>
      </c>
    </row>
    <row r="58" spans="1:4" ht="16" x14ac:dyDescent="0.35">
      <c r="A58" s="42">
        <v>4088440</v>
      </c>
      <c r="B58" s="44" t="s">
        <v>307</v>
      </c>
      <c r="C58" s="8" t="s">
        <v>308</v>
      </c>
      <c r="D58" s="47">
        <v>0</v>
      </c>
    </row>
    <row r="59" spans="1:4" ht="16" x14ac:dyDescent="0.35">
      <c r="A59" s="42">
        <v>351343</v>
      </c>
      <c r="B59" s="44" t="s">
        <v>309</v>
      </c>
      <c r="C59" s="8" t="s">
        <v>209</v>
      </c>
      <c r="D59" s="47">
        <v>1</v>
      </c>
    </row>
    <row r="60" spans="1:4" ht="16" x14ac:dyDescent="0.35">
      <c r="A60" s="42">
        <v>4132141</v>
      </c>
      <c r="B60" s="44" t="s">
        <v>310</v>
      </c>
      <c r="C60" s="8" t="s">
        <v>214</v>
      </c>
      <c r="D60" s="47">
        <v>1</v>
      </c>
    </row>
    <row r="61" spans="1:4" ht="16" x14ac:dyDescent="0.35">
      <c r="A61" s="42">
        <v>4211861</v>
      </c>
      <c r="B61" s="44" t="s">
        <v>311</v>
      </c>
      <c r="C61" s="8" t="s">
        <v>47</v>
      </c>
      <c r="D61" s="47">
        <v>30</v>
      </c>
    </row>
    <row r="62" spans="1:4" ht="16" x14ac:dyDescent="0.35">
      <c r="A62" s="42">
        <v>4183285</v>
      </c>
      <c r="B62" s="44" t="s">
        <v>206</v>
      </c>
      <c r="C62" s="8" t="s">
        <v>198</v>
      </c>
      <c r="D62" s="47">
        <v>0.1</v>
      </c>
    </row>
    <row r="63" spans="1:4" ht="16" x14ac:dyDescent="0.35">
      <c r="A63" s="42">
        <v>4011502</v>
      </c>
      <c r="B63" s="44" t="s">
        <v>312</v>
      </c>
      <c r="C63" s="8" t="s">
        <v>258</v>
      </c>
      <c r="D63" s="47">
        <v>10</v>
      </c>
    </row>
    <row r="64" spans="1:4" ht="16" x14ac:dyDescent="0.35">
      <c r="A64" s="42">
        <v>4011501</v>
      </c>
      <c r="B64" s="44" t="s">
        <v>313</v>
      </c>
      <c r="C64" s="8" t="s">
        <v>258</v>
      </c>
      <c r="D64" s="47">
        <v>10</v>
      </c>
    </row>
    <row r="65" spans="1:4" ht="16" x14ac:dyDescent="0.35">
      <c r="A65" s="42">
        <v>4011500</v>
      </c>
      <c r="B65" s="44" t="s">
        <v>314</v>
      </c>
      <c r="C65" s="8" t="s">
        <v>258</v>
      </c>
      <c r="D65" s="47">
        <v>10</v>
      </c>
    </row>
    <row r="66" spans="1:4" ht="16" x14ac:dyDescent="0.35">
      <c r="A66" s="42">
        <v>4011499</v>
      </c>
      <c r="B66" s="44" t="s">
        <v>315</v>
      </c>
      <c r="C66" s="8" t="s">
        <v>258</v>
      </c>
      <c r="D66" s="47">
        <v>10</v>
      </c>
    </row>
    <row r="67" spans="1:4" ht="16" x14ac:dyDescent="0.35">
      <c r="A67" s="42">
        <v>4012036</v>
      </c>
      <c r="B67" s="44" t="s">
        <v>316</v>
      </c>
      <c r="C67" s="8" t="s">
        <v>258</v>
      </c>
      <c r="D67" s="47">
        <v>10</v>
      </c>
    </row>
    <row r="68" spans="1:4" ht="16" x14ac:dyDescent="0.35">
      <c r="A68" s="42">
        <v>4012035</v>
      </c>
      <c r="B68" s="44" t="s">
        <v>317</v>
      </c>
      <c r="C68" s="8" t="s">
        <v>258</v>
      </c>
      <c r="D68" s="47">
        <v>10</v>
      </c>
    </row>
    <row r="69" spans="1:4" ht="16" x14ac:dyDescent="0.35">
      <c r="A69" s="42">
        <v>4012034</v>
      </c>
      <c r="B69" s="44" t="s">
        <v>318</v>
      </c>
      <c r="C69" s="8" t="s">
        <v>319</v>
      </c>
      <c r="D69" s="47">
        <v>10</v>
      </c>
    </row>
    <row r="70" spans="1:4" ht="16" x14ac:dyDescent="0.35">
      <c r="A70" s="42">
        <v>4170979</v>
      </c>
      <c r="B70" s="44" t="s">
        <v>320</v>
      </c>
      <c r="C70" s="8" t="s">
        <v>31</v>
      </c>
      <c r="D70" s="47">
        <v>0.01</v>
      </c>
    </row>
    <row r="71" spans="1:4" ht="16" x14ac:dyDescent="0.35">
      <c r="A71" s="42">
        <v>254871</v>
      </c>
      <c r="B71" s="44" t="s">
        <v>321</v>
      </c>
      <c r="C71" s="8" t="s">
        <v>220</v>
      </c>
      <c r="D71" s="47">
        <v>0.1</v>
      </c>
    </row>
    <row r="72" spans="1:4" ht="16" x14ac:dyDescent="0.35">
      <c r="A72" s="42">
        <v>4025333</v>
      </c>
      <c r="B72" s="44" t="s">
        <v>322</v>
      </c>
      <c r="C72" s="8" t="s">
        <v>297</v>
      </c>
      <c r="D72" s="47">
        <v>20</v>
      </c>
    </row>
    <row r="73" spans="1:4" ht="16" x14ac:dyDescent="0.35">
      <c r="A73" s="42">
        <v>4135822</v>
      </c>
      <c r="B73" s="44" t="s">
        <v>323</v>
      </c>
      <c r="C73" s="8" t="s">
        <v>31</v>
      </c>
      <c r="D73" s="47">
        <v>0.1</v>
      </c>
    </row>
    <row r="74" spans="1:4" ht="16" x14ac:dyDescent="0.35">
      <c r="A74" s="42">
        <v>4114197</v>
      </c>
      <c r="B74" s="44" t="s">
        <v>324</v>
      </c>
      <c r="C74" s="8" t="s">
        <v>31</v>
      </c>
      <c r="D74" s="47">
        <v>0.1</v>
      </c>
    </row>
    <row r="75" spans="1:4" ht="16" x14ac:dyDescent="0.35">
      <c r="A75" s="42">
        <v>254853</v>
      </c>
      <c r="B75" s="44" t="s">
        <v>325</v>
      </c>
      <c r="C75" s="8" t="s">
        <v>243</v>
      </c>
      <c r="D75" s="47">
        <v>0.1</v>
      </c>
    </row>
    <row r="76" spans="1:4" ht="16" x14ac:dyDescent="0.35">
      <c r="A76" s="42">
        <v>4053796</v>
      </c>
      <c r="B76" s="44" t="s">
        <v>326</v>
      </c>
      <c r="C76" s="8" t="s">
        <v>201</v>
      </c>
      <c r="D76" s="47">
        <v>0.05</v>
      </c>
    </row>
    <row r="77" spans="1:4" ht="16" x14ac:dyDescent="0.35">
      <c r="A77" s="42">
        <v>4171593</v>
      </c>
      <c r="B77" s="44" t="s">
        <v>222</v>
      </c>
      <c r="C77" s="8" t="s">
        <v>47</v>
      </c>
      <c r="D77" s="48">
        <v>30</v>
      </c>
    </row>
    <row r="78" spans="1:4" ht="16" x14ac:dyDescent="0.35">
      <c r="A78" s="42">
        <v>4101765</v>
      </c>
      <c r="B78" s="44" t="s">
        <v>50</v>
      </c>
      <c r="C78" s="8" t="s">
        <v>33</v>
      </c>
      <c r="D78" s="47">
        <v>1</v>
      </c>
    </row>
    <row r="79" spans="1:4" ht="16" x14ac:dyDescent="0.35">
      <c r="A79" s="42">
        <v>254867</v>
      </c>
      <c r="B79" s="44" t="s">
        <v>327</v>
      </c>
      <c r="C79" s="8" t="s">
        <v>201</v>
      </c>
      <c r="D79" s="47">
        <v>0.05</v>
      </c>
    </row>
    <row r="80" spans="1:4" ht="16" x14ac:dyDescent="0.35">
      <c r="A80" s="42">
        <v>4012839</v>
      </c>
      <c r="B80" s="44" t="s">
        <v>327</v>
      </c>
      <c r="C80" s="8" t="s">
        <v>243</v>
      </c>
      <c r="D80" s="47">
        <v>0.1</v>
      </c>
    </row>
    <row r="81" spans="1:4" ht="16" x14ac:dyDescent="0.35">
      <c r="A81" s="42">
        <v>4096679</v>
      </c>
      <c r="B81" s="44" t="s">
        <v>328</v>
      </c>
      <c r="C81" s="8" t="s">
        <v>31</v>
      </c>
      <c r="D81" s="47">
        <v>0.1</v>
      </c>
    </row>
    <row r="82" spans="1:4" ht="16" x14ac:dyDescent="0.35">
      <c r="A82" s="42">
        <v>4012933</v>
      </c>
      <c r="B82" s="44" t="s">
        <v>329</v>
      </c>
      <c r="C82" s="8" t="s">
        <v>241</v>
      </c>
      <c r="D82" s="47">
        <v>5</v>
      </c>
    </row>
    <row r="83" spans="1:4" ht="16" x14ac:dyDescent="0.35">
      <c r="A83" s="42">
        <v>4165686</v>
      </c>
      <c r="B83" s="44" t="s">
        <v>330</v>
      </c>
      <c r="C83" s="8" t="s">
        <v>331</v>
      </c>
      <c r="D83" s="47">
        <v>30</v>
      </c>
    </row>
    <row r="84" spans="1:4" ht="16" x14ac:dyDescent="0.35">
      <c r="A84" s="42">
        <v>4183281</v>
      </c>
      <c r="B84" s="44" t="s">
        <v>332</v>
      </c>
      <c r="C84" s="8" t="s">
        <v>333</v>
      </c>
      <c r="D84" s="47">
        <v>0.02</v>
      </c>
    </row>
    <row r="85" spans="1:4" ht="16" x14ac:dyDescent="0.35">
      <c r="A85" s="42">
        <v>4012859</v>
      </c>
      <c r="B85" s="44" t="s">
        <v>334</v>
      </c>
      <c r="C85" s="8" t="s">
        <v>335</v>
      </c>
      <c r="D85" s="47">
        <v>1</v>
      </c>
    </row>
    <row r="86" spans="1:4" ht="16" x14ac:dyDescent="0.35">
      <c r="A86" s="42">
        <v>4185732</v>
      </c>
      <c r="B86" s="44" t="s">
        <v>78</v>
      </c>
      <c r="C86" s="8" t="s">
        <v>210</v>
      </c>
      <c r="D86" s="47">
        <v>0.1</v>
      </c>
    </row>
    <row r="87" spans="1:4" ht="16" x14ac:dyDescent="0.35">
      <c r="A87" s="42">
        <v>4185744</v>
      </c>
      <c r="B87" s="44" t="s">
        <v>336</v>
      </c>
      <c r="C87" s="8" t="s">
        <v>39</v>
      </c>
      <c r="D87" s="47">
        <v>0.05</v>
      </c>
    </row>
    <row r="88" spans="1:4" ht="16" x14ac:dyDescent="0.35">
      <c r="A88" s="42">
        <v>254881</v>
      </c>
      <c r="B88" s="44" t="s">
        <v>337</v>
      </c>
      <c r="C88" s="8" t="s">
        <v>338</v>
      </c>
      <c r="D88" s="47">
        <v>5</v>
      </c>
    </row>
    <row r="89" spans="1:4" ht="16" x14ac:dyDescent="0.35">
      <c r="A89" s="42">
        <v>4093418</v>
      </c>
      <c r="B89" s="44" t="s">
        <v>339</v>
      </c>
      <c r="C89" s="8" t="s">
        <v>340</v>
      </c>
      <c r="D89" s="47">
        <v>1</v>
      </c>
    </row>
    <row r="90" spans="1:4" ht="16" x14ac:dyDescent="0.35">
      <c r="A90" s="42">
        <v>4093417</v>
      </c>
      <c r="B90" s="44" t="s">
        <v>339</v>
      </c>
      <c r="C90" s="8" t="s">
        <v>33</v>
      </c>
      <c r="D90" s="47">
        <v>1</v>
      </c>
    </row>
    <row r="91" spans="1:4" ht="16" x14ac:dyDescent="0.35">
      <c r="A91" s="42">
        <v>4073386</v>
      </c>
      <c r="B91" s="44" t="s">
        <v>341</v>
      </c>
      <c r="C91" s="8" t="s">
        <v>33</v>
      </c>
      <c r="D91" s="47">
        <v>1</v>
      </c>
    </row>
    <row r="92" spans="1:4" ht="16" x14ac:dyDescent="0.35">
      <c r="A92" s="42">
        <v>304992</v>
      </c>
      <c r="B92" s="44" t="s">
        <v>342</v>
      </c>
      <c r="C92" s="8" t="s">
        <v>241</v>
      </c>
      <c r="D92" s="47">
        <v>5</v>
      </c>
    </row>
    <row r="93" spans="1:4" ht="16" x14ac:dyDescent="0.35">
      <c r="A93" s="42">
        <v>4190977</v>
      </c>
      <c r="B93" s="44" t="s">
        <v>343</v>
      </c>
      <c r="C93" s="8" t="s">
        <v>234</v>
      </c>
      <c r="D93" s="47">
        <v>0.1</v>
      </c>
    </row>
    <row r="94" spans="1:4" ht="16" x14ac:dyDescent="0.35">
      <c r="A94" s="42">
        <v>4170977</v>
      </c>
      <c r="B94" s="44" t="s">
        <v>344</v>
      </c>
      <c r="C94" s="8" t="s">
        <v>204</v>
      </c>
      <c r="D94" s="47">
        <v>0.1</v>
      </c>
    </row>
    <row r="95" spans="1:4" ht="16" x14ac:dyDescent="0.35">
      <c r="A95" s="42">
        <v>311461</v>
      </c>
      <c r="B95" s="44" t="s">
        <v>345</v>
      </c>
      <c r="C95" s="8" t="s">
        <v>220</v>
      </c>
      <c r="D95" s="47">
        <v>0.1</v>
      </c>
    </row>
    <row r="96" spans="1:4" ht="16" x14ac:dyDescent="0.35">
      <c r="A96" s="42">
        <v>311464</v>
      </c>
      <c r="B96" s="44" t="s">
        <v>346</v>
      </c>
      <c r="C96" s="8" t="s">
        <v>220</v>
      </c>
      <c r="D96" s="47">
        <v>0.1</v>
      </c>
    </row>
    <row r="97" spans="1:4" ht="16" x14ac:dyDescent="0.35">
      <c r="A97" s="42">
        <v>4172709</v>
      </c>
      <c r="B97" s="44" t="s">
        <v>36</v>
      </c>
      <c r="C97" s="8" t="s">
        <v>198</v>
      </c>
      <c r="D97" s="47">
        <v>0.1</v>
      </c>
    </row>
    <row r="98" spans="1:4" ht="16" x14ac:dyDescent="0.35">
      <c r="A98" s="42">
        <v>293647</v>
      </c>
      <c r="B98" s="44" t="s">
        <v>347</v>
      </c>
      <c r="C98" s="8" t="s">
        <v>203</v>
      </c>
      <c r="D98" s="47">
        <v>0.1</v>
      </c>
    </row>
    <row r="99" spans="1:4" ht="16" x14ac:dyDescent="0.35">
      <c r="A99" s="42">
        <v>283647</v>
      </c>
      <c r="B99" s="44" t="s">
        <v>347</v>
      </c>
      <c r="C99" s="8" t="s">
        <v>31</v>
      </c>
      <c r="D99" s="47">
        <v>0.1</v>
      </c>
    </row>
    <row r="100" spans="1:4" ht="16" x14ac:dyDescent="0.35">
      <c r="A100" s="42">
        <v>283647</v>
      </c>
      <c r="B100" s="44" t="s">
        <v>347</v>
      </c>
      <c r="C100" s="8" t="s">
        <v>31</v>
      </c>
      <c r="D100" s="47">
        <v>0.1</v>
      </c>
    </row>
    <row r="101" spans="1:4" ht="16" x14ac:dyDescent="0.35">
      <c r="A101" s="42">
        <v>314469</v>
      </c>
      <c r="B101" s="44" t="s">
        <v>348</v>
      </c>
      <c r="C101" s="8" t="s">
        <v>203</v>
      </c>
      <c r="D101" s="47">
        <v>0.1</v>
      </c>
    </row>
    <row r="102" spans="1:4" ht="16" x14ac:dyDescent="0.35">
      <c r="A102" s="42">
        <v>4181083</v>
      </c>
      <c r="B102" s="44" t="s">
        <v>349</v>
      </c>
      <c r="C102" s="8" t="s">
        <v>235</v>
      </c>
      <c r="D102" s="47">
        <v>30</v>
      </c>
    </row>
    <row r="103" spans="1:4" ht="16" x14ac:dyDescent="0.35">
      <c r="A103" s="42">
        <v>4060682</v>
      </c>
      <c r="B103" s="44" t="s">
        <v>350</v>
      </c>
      <c r="C103" s="8" t="s">
        <v>351</v>
      </c>
      <c r="D103" s="47">
        <v>20</v>
      </c>
    </row>
    <row r="104" spans="1:4" ht="16" x14ac:dyDescent="0.35">
      <c r="A104" s="42">
        <v>4183277</v>
      </c>
      <c r="B104" s="44" t="s">
        <v>352</v>
      </c>
      <c r="C104" s="8" t="s">
        <v>199</v>
      </c>
      <c r="D104" s="47">
        <v>0.1</v>
      </c>
    </row>
    <row r="105" spans="1:4" ht="16" x14ac:dyDescent="0.35">
      <c r="A105" s="42">
        <v>4012925</v>
      </c>
      <c r="B105" s="44" t="s">
        <v>353</v>
      </c>
      <c r="C105" s="8" t="s">
        <v>203</v>
      </c>
      <c r="D105" s="47">
        <v>0.1</v>
      </c>
    </row>
    <row r="106" spans="1:4" ht="16" x14ac:dyDescent="0.35">
      <c r="A106" s="42">
        <v>4181097</v>
      </c>
      <c r="B106" s="44" t="s">
        <v>354</v>
      </c>
      <c r="C106" s="8" t="s">
        <v>355</v>
      </c>
      <c r="D106" s="47">
        <v>30</v>
      </c>
    </row>
    <row r="107" spans="1:4" ht="16" x14ac:dyDescent="0.35">
      <c r="A107" s="42">
        <v>4181094</v>
      </c>
      <c r="B107" s="44" t="s">
        <v>53</v>
      </c>
      <c r="C107" s="8" t="s">
        <v>224</v>
      </c>
      <c r="D107" s="47">
        <v>30</v>
      </c>
    </row>
    <row r="108" spans="1:4" ht="16" x14ac:dyDescent="0.35">
      <c r="A108" s="42">
        <v>4132137</v>
      </c>
      <c r="B108" s="44" t="s">
        <v>53</v>
      </c>
      <c r="C108" s="8" t="s">
        <v>356</v>
      </c>
      <c r="D108" s="47">
        <v>20</v>
      </c>
    </row>
    <row r="109" spans="1:4" ht="16" x14ac:dyDescent="0.35">
      <c r="A109" s="42">
        <v>4181093</v>
      </c>
      <c r="B109" s="44" t="s">
        <v>357</v>
      </c>
      <c r="C109" s="8" t="s">
        <v>235</v>
      </c>
      <c r="D109" s="47">
        <v>30</v>
      </c>
    </row>
    <row r="110" spans="1:4" ht="16" x14ac:dyDescent="0.35">
      <c r="A110" s="42">
        <v>4107330</v>
      </c>
      <c r="B110" s="44" t="s">
        <v>357</v>
      </c>
      <c r="C110" s="8" t="s">
        <v>351</v>
      </c>
      <c r="D110" s="47">
        <v>20</v>
      </c>
    </row>
    <row r="111" spans="1:4" ht="16" x14ac:dyDescent="0.35">
      <c r="A111" s="42">
        <v>4226245</v>
      </c>
      <c r="B111" s="44" t="s">
        <v>358</v>
      </c>
      <c r="C111" s="8" t="s">
        <v>359</v>
      </c>
      <c r="D111" s="47">
        <v>30</v>
      </c>
    </row>
    <row r="112" spans="1:4" ht="16" x14ac:dyDescent="0.35">
      <c r="A112" s="42">
        <v>4178643</v>
      </c>
      <c r="B112" s="44" t="s">
        <v>228</v>
      </c>
      <c r="C112" s="8" t="s">
        <v>47</v>
      </c>
      <c r="D112" s="47">
        <v>30</v>
      </c>
    </row>
    <row r="113" spans="1:4" ht="16" x14ac:dyDescent="0.35">
      <c r="A113" s="42">
        <v>4137319</v>
      </c>
      <c r="B113" s="44" t="s">
        <v>54</v>
      </c>
      <c r="C113" s="8" t="s">
        <v>351</v>
      </c>
      <c r="D113" s="47">
        <v>20</v>
      </c>
    </row>
    <row r="114" spans="1:4" ht="16" x14ac:dyDescent="0.35">
      <c r="A114" s="42">
        <v>4181092</v>
      </c>
      <c r="B114" s="44" t="s">
        <v>54</v>
      </c>
      <c r="C114" s="8" t="s">
        <v>331</v>
      </c>
      <c r="D114" s="47">
        <v>30</v>
      </c>
    </row>
    <row r="115" spans="1:4" ht="16" x14ac:dyDescent="0.35">
      <c r="A115" s="42">
        <v>254900</v>
      </c>
      <c r="B115" s="44" t="s">
        <v>360</v>
      </c>
      <c r="C115" s="8" t="s">
        <v>361</v>
      </c>
      <c r="D115" s="47">
        <v>20</v>
      </c>
    </row>
    <row r="116" spans="1:4" ht="16" x14ac:dyDescent="0.35">
      <c r="A116" s="42">
        <v>4041103</v>
      </c>
      <c r="B116" s="44" t="s">
        <v>362</v>
      </c>
      <c r="C116" s="8" t="s">
        <v>351</v>
      </c>
      <c r="D116" s="47">
        <v>20</v>
      </c>
    </row>
    <row r="117" spans="1:4" ht="16" x14ac:dyDescent="0.35">
      <c r="A117" s="42">
        <v>4199029</v>
      </c>
      <c r="B117" s="44" t="s">
        <v>363</v>
      </c>
      <c r="C117" s="8" t="s">
        <v>229</v>
      </c>
      <c r="D117" s="47">
        <v>30</v>
      </c>
    </row>
    <row r="118" spans="1:4" ht="16" x14ac:dyDescent="0.35">
      <c r="A118" s="42">
        <v>4132140</v>
      </c>
      <c r="B118" s="44" t="s">
        <v>364</v>
      </c>
      <c r="C118" s="8" t="s">
        <v>209</v>
      </c>
      <c r="D118" s="47">
        <v>0.1</v>
      </c>
    </row>
    <row r="119" spans="1:4" ht="16" x14ac:dyDescent="0.35">
      <c r="A119" s="42">
        <v>4038537</v>
      </c>
      <c r="B119" s="44" t="s">
        <v>365</v>
      </c>
      <c r="C119" s="8" t="s">
        <v>209</v>
      </c>
      <c r="D119" s="47">
        <v>1</v>
      </c>
    </row>
    <row r="120" spans="1:4" ht="16" x14ac:dyDescent="0.35">
      <c r="A120" s="42">
        <v>4012926</v>
      </c>
      <c r="B120" s="44" t="s">
        <v>366</v>
      </c>
      <c r="C120" s="8" t="s">
        <v>203</v>
      </c>
      <c r="D120" s="47">
        <v>0.1</v>
      </c>
    </row>
    <row r="121" spans="1:4" ht="16" x14ac:dyDescent="0.35">
      <c r="A121" s="42">
        <v>254902</v>
      </c>
      <c r="B121" s="44" t="s">
        <v>367</v>
      </c>
      <c r="C121" s="8" t="s">
        <v>361</v>
      </c>
      <c r="D121" s="47">
        <v>20</v>
      </c>
    </row>
    <row r="122" spans="1:4" ht="16" x14ac:dyDescent="0.35">
      <c r="A122" s="42">
        <v>4154786</v>
      </c>
      <c r="B122" s="44" t="s">
        <v>368</v>
      </c>
      <c r="C122" s="8" t="s">
        <v>369</v>
      </c>
      <c r="D122" s="47">
        <v>10</v>
      </c>
    </row>
    <row r="123" spans="1:4" ht="16" x14ac:dyDescent="0.35">
      <c r="A123" s="42">
        <v>4154804</v>
      </c>
      <c r="B123" s="44" t="s">
        <v>370</v>
      </c>
      <c r="C123" s="8" t="s">
        <v>371</v>
      </c>
      <c r="D123" s="47">
        <v>1</v>
      </c>
    </row>
    <row r="124" spans="1:4" ht="16" x14ac:dyDescent="0.35">
      <c r="A124" s="42">
        <v>4040417</v>
      </c>
      <c r="B124" s="44" t="s">
        <v>372</v>
      </c>
      <c r="C124" s="8" t="s">
        <v>277</v>
      </c>
      <c r="D124" s="47">
        <v>0.05</v>
      </c>
    </row>
    <row r="125" spans="1:4" ht="16" x14ac:dyDescent="0.35">
      <c r="A125" s="42">
        <v>4040520</v>
      </c>
      <c r="B125" s="44" t="s">
        <v>372</v>
      </c>
      <c r="C125" s="8" t="s">
        <v>203</v>
      </c>
      <c r="D125" s="47">
        <v>0.1</v>
      </c>
    </row>
    <row r="126" spans="1:4" ht="16" x14ac:dyDescent="0.35">
      <c r="A126" s="42">
        <v>4135830</v>
      </c>
      <c r="B126" s="44" t="s">
        <v>373</v>
      </c>
      <c r="C126" s="8" t="s">
        <v>374</v>
      </c>
      <c r="D126" s="47">
        <v>0.02</v>
      </c>
    </row>
    <row r="127" spans="1:4" ht="16" x14ac:dyDescent="0.35">
      <c r="A127" s="42">
        <v>4012001</v>
      </c>
      <c r="B127" s="44" t="s">
        <v>375</v>
      </c>
      <c r="C127" s="8" t="s">
        <v>209</v>
      </c>
      <c r="D127" s="47">
        <v>1</v>
      </c>
    </row>
    <row r="128" spans="1:4" ht="16" x14ac:dyDescent="0.35">
      <c r="A128" s="42">
        <v>4012000</v>
      </c>
      <c r="B128" s="44" t="s">
        <v>376</v>
      </c>
      <c r="C128" s="8" t="s">
        <v>209</v>
      </c>
      <c r="D128" s="47">
        <v>1</v>
      </c>
    </row>
    <row r="129" spans="1:4" ht="16" x14ac:dyDescent="0.35">
      <c r="A129" s="42">
        <v>341262</v>
      </c>
      <c r="B129" s="44" t="s">
        <v>377</v>
      </c>
      <c r="C129" s="8" t="s">
        <v>378</v>
      </c>
      <c r="D129" s="47">
        <v>0.1</v>
      </c>
    </row>
    <row r="130" spans="1:4" ht="16" x14ac:dyDescent="0.35">
      <c r="A130" s="42">
        <v>4075099</v>
      </c>
      <c r="B130" s="44" t="s">
        <v>379</v>
      </c>
      <c r="C130" s="8" t="s">
        <v>236</v>
      </c>
      <c r="D130" s="47">
        <v>0.05</v>
      </c>
    </row>
    <row r="131" spans="1:4" ht="16" x14ac:dyDescent="0.35">
      <c r="A131" s="42">
        <v>4075102</v>
      </c>
      <c r="B131" s="44" t="s">
        <v>379</v>
      </c>
      <c r="C131" s="8" t="s">
        <v>204</v>
      </c>
      <c r="D131" s="47">
        <v>0.1</v>
      </c>
    </row>
    <row r="132" spans="1:4" ht="16" x14ac:dyDescent="0.35">
      <c r="A132" s="42">
        <v>4144722</v>
      </c>
      <c r="B132" s="44" t="s">
        <v>380</v>
      </c>
      <c r="C132" s="8" t="s">
        <v>198</v>
      </c>
      <c r="D132" s="47">
        <v>0.1</v>
      </c>
    </row>
    <row r="133" spans="1:4" ht="16" x14ac:dyDescent="0.35">
      <c r="A133" s="42">
        <v>4144723</v>
      </c>
      <c r="B133" s="44" t="s">
        <v>200</v>
      </c>
      <c r="C133" s="8" t="s">
        <v>207</v>
      </c>
      <c r="D133" s="47">
        <v>0.05</v>
      </c>
    </row>
    <row r="134" spans="1:4" ht="16" x14ac:dyDescent="0.35">
      <c r="A134" s="42">
        <v>4160929</v>
      </c>
      <c r="B134" s="44" t="s">
        <v>381</v>
      </c>
      <c r="C134" s="8" t="s">
        <v>209</v>
      </c>
      <c r="D134" s="47">
        <v>1</v>
      </c>
    </row>
    <row r="135" spans="1:4" ht="16" x14ac:dyDescent="0.35">
      <c r="A135" s="42">
        <v>4217473</v>
      </c>
      <c r="B135" s="44" t="s">
        <v>382</v>
      </c>
      <c r="C135" s="8" t="s">
        <v>39</v>
      </c>
      <c r="D135" s="47">
        <v>0.05</v>
      </c>
    </row>
    <row r="136" spans="1:4" ht="16" x14ac:dyDescent="0.35">
      <c r="A136" s="42">
        <v>254855</v>
      </c>
      <c r="B136" s="44" t="s">
        <v>383</v>
      </c>
      <c r="C136" s="8" t="s">
        <v>201</v>
      </c>
      <c r="D136" s="47">
        <v>0.05</v>
      </c>
    </row>
    <row r="137" spans="1:4" ht="16" x14ac:dyDescent="0.35">
      <c r="A137" s="42">
        <v>4012860</v>
      </c>
      <c r="B137" s="44" t="s">
        <v>384</v>
      </c>
      <c r="C137" s="8" t="s">
        <v>335</v>
      </c>
      <c r="D137" s="47">
        <v>1</v>
      </c>
    </row>
    <row r="138" spans="1:4" ht="16" x14ac:dyDescent="0.35">
      <c r="A138" s="7">
        <v>4110177</v>
      </c>
      <c r="B138" s="44" t="s">
        <v>385</v>
      </c>
      <c r="C138" s="8" t="s">
        <v>386</v>
      </c>
      <c r="D138" s="47">
        <v>20</v>
      </c>
    </row>
    <row r="139" spans="1:4" ht="16" x14ac:dyDescent="0.35">
      <c r="A139" s="7">
        <v>4057020</v>
      </c>
      <c r="B139" s="44" t="s">
        <v>387</v>
      </c>
      <c r="C139" s="8" t="s">
        <v>388</v>
      </c>
      <c r="D139" s="47">
        <v>10</v>
      </c>
    </row>
    <row r="140" spans="1:4" ht="16" x14ac:dyDescent="0.35">
      <c r="A140" s="7">
        <v>4165679</v>
      </c>
      <c r="B140" s="44" t="s">
        <v>389</v>
      </c>
      <c r="C140" s="8" t="s">
        <v>229</v>
      </c>
      <c r="D140" s="47">
        <v>30</v>
      </c>
    </row>
    <row r="141" spans="1:4" ht="16" x14ac:dyDescent="0.35">
      <c r="A141" s="7">
        <v>4110178</v>
      </c>
      <c r="B141" s="44" t="s">
        <v>390</v>
      </c>
      <c r="C141" s="8" t="s">
        <v>386</v>
      </c>
      <c r="D141" s="47">
        <v>20</v>
      </c>
    </row>
    <row r="142" spans="1:4" ht="16" x14ac:dyDescent="0.35">
      <c r="A142" s="7">
        <v>4112872</v>
      </c>
      <c r="B142" s="44" t="s">
        <v>391</v>
      </c>
      <c r="C142" s="8" t="s">
        <v>386</v>
      </c>
      <c r="D142" s="47">
        <v>20</v>
      </c>
    </row>
    <row r="143" spans="1:4" ht="16" x14ac:dyDescent="0.35">
      <c r="A143" s="7">
        <v>4103943</v>
      </c>
      <c r="B143" s="44" t="s">
        <v>392</v>
      </c>
      <c r="C143" s="8" t="s">
        <v>388</v>
      </c>
      <c r="D143" s="47">
        <v>10</v>
      </c>
    </row>
    <row r="144" spans="1:4" ht="16" x14ac:dyDescent="0.35">
      <c r="A144" s="7">
        <v>4165680</v>
      </c>
      <c r="B144" s="44" t="s">
        <v>393</v>
      </c>
      <c r="C144" s="8" t="s">
        <v>394</v>
      </c>
      <c r="D144" s="47">
        <v>30</v>
      </c>
    </row>
    <row r="145" spans="1:4" ht="16" x14ac:dyDescent="0.35">
      <c r="A145" s="7">
        <v>4057021</v>
      </c>
      <c r="B145" s="44" t="s">
        <v>395</v>
      </c>
      <c r="C145" s="8" t="s">
        <v>388</v>
      </c>
      <c r="D145" s="47">
        <v>10</v>
      </c>
    </row>
    <row r="146" spans="1:4" ht="16" x14ac:dyDescent="0.35">
      <c r="A146" s="7">
        <v>4110179</v>
      </c>
      <c r="B146" s="44" t="s">
        <v>396</v>
      </c>
      <c r="C146" s="8" t="s">
        <v>386</v>
      </c>
      <c r="D146" s="47">
        <v>20</v>
      </c>
    </row>
    <row r="147" spans="1:4" ht="16" x14ac:dyDescent="0.35">
      <c r="A147" s="7">
        <v>4112874</v>
      </c>
      <c r="B147" s="44" t="s">
        <v>397</v>
      </c>
      <c r="C147" s="8" t="s">
        <v>386</v>
      </c>
      <c r="D147" s="47">
        <v>20</v>
      </c>
    </row>
    <row r="148" spans="1:4" ht="16" x14ac:dyDescent="0.35">
      <c r="A148" s="7">
        <v>4102905</v>
      </c>
      <c r="B148" s="44" t="s">
        <v>398</v>
      </c>
      <c r="C148" s="8" t="s">
        <v>388</v>
      </c>
      <c r="D148" s="47">
        <v>10</v>
      </c>
    </row>
    <row r="149" spans="1:4" ht="16" x14ac:dyDescent="0.35">
      <c r="A149" s="7">
        <v>4112876</v>
      </c>
      <c r="B149" s="44" t="s">
        <v>399</v>
      </c>
      <c r="C149" s="8" t="s">
        <v>386</v>
      </c>
      <c r="D149" s="47">
        <v>20</v>
      </c>
    </row>
    <row r="150" spans="1:4" ht="16" x14ac:dyDescent="0.35">
      <c r="A150" s="7">
        <v>4110180</v>
      </c>
      <c r="B150" s="44" t="s">
        <v>400</v>
      </c>
      <c r="C150" s="8" t="s">
        <v>386</v>
      </c>
      <c r="D150" s="47">
        <v>20</v>
      </c>
    </row>
    <row r="151" spans="1:4" ht="16" x14ac:dyDescent="0.35">
      <c r="A151" s="7">
        <v>4125108</v>
      </c>
      <c r="B151" s="44" t="s">
        <v>401</v>
      </c>
      <c r="C151" s="8" t="s">
        <v>402</v>
      </c>
      <c r="D151" s="47">
        <v>20</v>
      </c>
    </row>
    <row r="152" spans="1:4" ht="16" x14ac:dyDescent="0.35">
      <c r="A152" s="7">
        <v>254864</v>
      </c>
      <c r="B152" s="44" t="s">
        <v>403</v>
      </c>
      <c r="C152" s="8" t="s">
        <v>201</v>
      </c>
      <c r="D152" s="47">
        <v>0.05</v>
      </c>
    </row>
    <row r="153" spans="1:4" ht="16" x14ac:dyDescent="0.35">
      <c r="A153" s="7">
        <v>4012840</v>
      </c>
      <c r="B153" s="44" t="s">
        <v>403</v>
      </c>
      <c r="C153" s="8" t="s">
        <v>243</v>
      </c>
      <c r="D153" s="47">
        <v>0.1</v>
      </c>
    </row>
    <row r="154" spans="1:4" ht="16" x14ac:dyDescent="0.35">
      <c r="A154" s="7">
        <v>4013508</v>
      </c>
      <c r="B154" s="44" t="s">
        <v>404</v>
      </c>
      <c r="C154" s="8" t="s">
        <v>209</v>
      </c>
      <c r="D154" s="47">
        <v>1</v>
      </c>
    </row>
    <row r="155" spans="1:4" ht="16" x14ac:dyDescent="0.35">
      <c r="A155" s="7">
        <v>254861</v>
      </c>
      <c r="B155" s="44" t="s">
        <v>405</v>
      </c>
      <c r="C155" s="8" t="s">
        <v>201</v>
      </c>
      <c r="D155" s="47">
        <v>0.05</v>
      </c>
    </row>
    <row r="156" spans="1:4" ht="16" x14ac:dyDescent="0.35">
      <c r="A156" s="7">
        <v>254863</v>
      </c>
      <c r="B156" s="44" t="s">
        <v>405</v>
      </c>
      <c r="C156" s="8" t="s">
        <v>203</v>
      </c>
      <c r="D156" s="47">
        <v>0.1</v>
      </c>
    </row>
    <row r="157" spans="1:4" ht="16" x14ac:dyDescent="0.35">
      <c r="A157" s="7">
        <v>4181200</v>
      </c>
      <c r="B157" s="44" t="s">
        <v>35</v>
      </c>
      <c r="C157" s="8" t="s">
        <v>209</v>
      </c>
      <c r="D157" s="47">
        <v>1</v>
      </c>
    </row>
    <row r="158" spans="1:4" ht="16" x14ac:dyDescent="0.35">
      <c r="A158" s="7">
        <v>4118665</v>
      </c>
      <c r="B158" s="44" t="s">
        <v>77</v>
      </c>
      <c r="C158" s="8" t="s">
        <v>31</v>
      </c>
      <c r="D158" s="47">
        <v>0.1</v>
      </c>
    </row>
    <row r="159" spans="1:4" ht="16" x14ac:dyDescent="0.35">
      <c r="A159" s="7">
        <v>4101763</v>
      </c>
      <c r="B159" s="44" t="s">
        <v>77</v>
      </c>
      <c r="C159" s="8" t="s">
        <v>340</v>
      </c>
      <c r="D159" s="47">
        <v>1</v>
      </c>
    </row>
    <row r="160" spans="1:4" ht="16" x14ac:dyDescent="0.35">
      <c r="A160" s="7">
        <v>4135891</v>
      </c>
      <c r="B160" s="44" t="s">
        <v>406</v>
      </c>
      <c r="C160" s="8" t="s">
        <v>407</v>
      </c>
      <c r="D160" s="47">
        <v>5</v>
      </c>
    </row>
    <row r="161" spans="1:4" ht="16" x14ac:dyDescent="0.35">
      <c r="A161" s="7">
        <v>4217472</v>
      </c>
      <c r="B161" s="44" t="s">
        <v>211</v>
      </c>
      <c r="C161" s="8" t="s">
        <v>205</v>
      </c>
      <c r="D161" s="47">
        <v>0.1</v>
      </c>
    </row>
    <row r="162" spans="1:4" ht="16" x14ac:dyDescent="0.35">
      <c r="A162" s="7">
        <v>4227101</v>
      </c>
      <c r="B162" s="44" t="s">
        <v>38</v>
      </c>
      <c r="C162" s="8" t="s">
        <v>39</v>
      </c>
      <c r="D162" s="47">
        <v>0.05</v>
      </c>
    </row>
    <row r="163" spans="1:4" ht="16" x14ac:dyDescent="0.35">
      <c r="A163" s="7">
        <v>4132139</v>
      </c>
      <c r="B163" s="44" t="s">
        <v>212</v>
      </c>
      <c r="C163" s="8" t="s">
        <v>204</v>
      </c>
      <c r="D163" s="47">
        <v>0.1</v>
      </c>
    </row>
    <row r="164" spans="1:4" ht="16" x14ac:dyDescent="0.35">
      <c r="A164" s="7">
        <v>4158231</v>
      </c>
      <c r="B164" s="44" t="s">
        <v>212</v>
      </c>
      <c r="C164" s="8" t="s">
        <v>236</v>
      </c>
      <c r="D164" s="47">
        <v>0.1</v>
      </c>
    </row>
    <row r="165" spans="1:4" ht="16" x14ac:dyDescent="0.35">
      <c r="A165" s="7">
        <v>4187261</v>
      </c>
      <c r="B165" s="44" t="s">
        <v>408</v>
      </c>
      <c r="C165" s="8" t="s">
        <v>409</v>
      </c>
      <c r="D165" s="47">
        <v>30</v>
      </c>
    </row>
    <row r="166" spans="1:4" ht="16" x14ac:dyDescent="0.35">
      <c r="A166" s="7">
        <v>4181098</v>
      </c>
      <c r="B166" s="44" t="s">
        <v>410</v>
      </c>
      <c r="C166" s="8" t="s">
        <v>355</v>
      </c>
      <c r="D166" s="47">
        <v>30</v>
      </c>
    </row>
    <row r="167" spans="1:4" ht="16" x14ac:dyDescent="0.35">
      <c r="A167" s="7">
        <v>319230</v>
      </c>
      <c r="B167" s="44" t="s">
        <v>411</v>
      </c>
      <c r="C167" s="8" t="s">
        <v>361</v>
      </c>
      <c r="D167" s="47">
        <v>20</v>
      </c>
    </row>
    <row r="168" spans="1:4" ht="16" x14ac:dyDescent="0.35">
      <c r="A168" s="7">
        <v>4098890</v>
      </c>
      <c r="B168" s="44" t="s">
        <v>412</v>
      </c>
      <c r="C168" s="8" t="s">
        <v>413</v>
      </c>
      <c r="D168" s="47">
        <v>10</v>
      </c>
    </row>
    <row r="169" spans="1:4" ht="16" x14ac:dyDescent="0.35">
      <c r="A169" s="7">
        <v>4165670</v>
      </c>
      <c r="B169" s="44" t="s">
        <v>414</v>
      </c>
      <c r="C169" s="8" t="s">
        <v>47</v>
      </c>
      <c r="D169" s="47">
        <v>30</v>
      </c>
    </row>
    <row r="170" spans="1:4" ht="16" x14ac:dyDescent="0.35">
      <c r="A170" s="7">
        <v>4041022</v>
      </c>
      <c r="B170" s="44" t="s">
        <v>415</v>
      </c>
      <c r="C170" s="8" t="s">
        <v>319</v>
      </c>
      <c r="D170" s="47">
        <v>10</v>
      </c>
    </row>
    <row r="171" spans="1:4" ht="16" x14ac:dyDescent="0.35">
      <c r="A171" s="7">
        <v>4165684</v>
      </c>
      <c r="B171" s="44" t="s">
        <v>416</v>
      </c>
      <c r="C171" s="8" t="s">
        <v>417</v>
      </c>
      <c r="D171" s="47">
        <v>30</v>
      </c>
    </row>
    <row r="172" spans="1:4" ht="16" x14ac:dyDescent="0.35">
      <c r="A172" s="7">
        <v>4081655</v>
      </c>
      <c r="B172" s="44" t="s">
        <v>418</v>
      </c>
      <c r="C172" s="8" t="s">
        <v>388</v>
      </c>
      <c r="D172" s="47">
        <v>10</v>
      </c>
    </row>
    <row r="173" spans="1:4" ht="16" x14ac:dyDescent="0.35">
      <c r="A173" s="7">
        <v>4165668</v>
      </c>
      <c r="B173" s="44" t="s">
        <v>419</v>
      </c>
      <c r="C173" s="8" t="s">
        <v>331</v>
      </c>
      <c r="D173" s="47">
        <v>30</v>
      </c>
    </row>
    <row r="174" spans="1:4" ht="16" x14ac:dyDescent="0.35">
      <c r="A174" s="7">
        <v>4135874</v>
      </c>
      <c r="B174" s="44" t="s">
        <v>420</v>
      </c>
      <c r="C174" s="8" t="s">
        <v>203</v>
      </c>
      <c r="D174" s="47">
        <v>0.1</v>
      </c>
    </row>
    <row r="175" spans="1:4" ht="16" x14ac:dyDescent="0.35">
      <c r="A175" s="7">
        <v>360658</v>
      </c>
      <c r="B175" s="44" t="s">
        <v>421</v>
      </c>
      <c r="C175" s="8" t="s">
        <v>209</v>
      </c>
      <c r="D175" s="47">
        <v>1</v>
      </c>
    </row>
    <row r="176" spans="1:4" ht="16" x14ac:dyDescent="0.35">
      <c r="A176" s="7">
        <v>306658</v>
      </c>
      <c r="B176" s="44" t="s">
        <v>421</v>
      </c>
      <c r="C176" s="8" t="s">
        <v>422</v>
      </c>
      <c r="D176" s="47">
        <v>1</v>
      </c>
    </row>
    <row r="177" spans="1:4" ht="16" x14ac:dyDescent="0.35">
      <c r="A177" s="7">
        <v>4075565</v>
      </c>
      <c r="B177" s="44" t="s">
        <v>423</v>
      </c>
      <c r="C177" s="8" t="s">
        <v>204</v>
      </c>
      <c r="D177" s="47">
        <v>0.1</v>
      </c>
    </row>
    <row r="178" spans="1:4" ht="16" x14ac:dyDescent="0.35">
      <c r="A178" s="7">
        <v>4102903</v>
      </c>
      <c r="B178" s="44" t="s">
        <v>423</v>
      </c>
      <c r="C178" s="8" t="s">
        <v>236</v>
      </c>
      <c r="D178" s="47">
        <v>0.05</v>
      </c>
    </row>
    <row r="179" spans="1:4" ht="16" x14ac:dyDescent="0.35">
      <c r="A179" s="7">
        <v>4135831</v>
      </c>
      <c r="B179" s="44" t="s">
        <v>62</v>
      </c>
      <c r="C179" s="8" t="s">
        <v>424</v>
      </c>
      <c r="D179" s="47">
        <v>0.1</v>
      </c>
    </row>
    <row r="180" spans="1:4" ht="16" x14ac:dyDescent="0.35">
      <c r="A180" s="7">
        <v>4135823</v>
      </c>
      <c r="B180" s="44" t="s">
        <v>62</v>
      </c>
      <c r="C180" s="8" t="s">
        <v>201</v>
      </c>
      <c r="D180" s="47">
        <v>0.05</v>
      </c>
    </row>
    <row r="181" spans="1:4" ht="16" x14ac:dyDescent="0.35">
      <c r="A181" s="7">
        <v>311390</v>
      </c>
      <c r="B181" s="44" t="s">
        <v>425</v>
      </c>
      <c r="C181" s="8" t="s">
        <v>277</v>
      </c>
      <c r="D181" s="47">
        <v>0.05</v>
      </c>
    </row>
    <row r="182" spans="1:4" ht="16" x14ac:dyDescent="0.35">
      <c r="A182" s="7">
        <v>4012854</v>
      </c>
      <c r="B182" s="44" t="s">
        <v>425</v>
      </c>
      <c r="C182" s="8" t="s">
        <v>243</v>
      </c>
      <c r="D182" s="47">
        <v>0</v>
      </c>
    </row>
    <row r="183" spans="1:4" ht="16" x14ac:dyDescent="0.35">
      <c r="A183" s="7">
        <v>4183280</v>
      </c>
      <c r="B183" s="44" t="s">
        <v>426</v>
      </c>
      <c r="C183" s="8" t="s">
        <v>198</v>
      </c>
      <c r="D183" s="47">
        <v>0.1</v>
      </c>
    </row>
    <row r="184" spans="1:4" ht="16" x14ac:dyDescent="0.35">
      <c r="A184" s="7">
        <v>254870</v>
      </c>
      <c r="B184" s="44" t="s">
        <v>427</v>
      </c>
      <c r="C184" s="8" t="s">
        <v>203</v>
      </c>
      <c r="D184" s="47">
        <v>0.1</v>
      </c>
    </row>
    <row r="185" spans="1:4" ht="16" x14ac:dyDescent="0.35">
      <c r="A185" s="7">
        <v>4160722</v>
      </c>
      <c r="B185" s="44" t="s">
        <v>63</v>
      </c>
      <c r="C185" s="8" t="s">
        <v>227</v>
      </c>
      <c r="D185" s="47">
        <v>30</v>
      </c>
    </row>
    <row r="186" spans="1:4" ht="16" x14ac:dyDescent="0.35">
      <c r="A186" s="7">
        <v>4170972</v>
      </c>
      <c r="B186" s="44" t="s">
        <v>428</v>
      </c>
      <c r="C186" s="8" t="s">
        <v>235</v>
      </c>
      <c r="D186" s="47">
        <v>30</v>
      </c>
    </row>
    <row r="187" spans="1:4" ht="16" x14ac:dyDescent="0.35">
      <c r="A187" s="7">
        <v>4216815</v>
      </c>
      <c r="B187" s="44" t="s">
        <v>429</v>
      </c>
      <c r="C187" s="8" t="s">
        <v>47</v>
      </c>
      <c r="D187" s="47">
        <v>30</v>
      </c>
    </row>
    <row r="188" spans="1:4" x14ac:dyDescent="0.35">
      <c r="A188" s="7">
        <v>4197750</v>
      </c>
      <c r="B188" s="45" t="s">
        <v>430</v>
      </c>
      <c r="C188" s="8" t="s">
        <v>431</v>
      </c>
      <c r="D188" s="47">
        <v>30</v>
      </c>
    </row>
    <row r="189" spans="1:4" x14ac:dyDescent="0.35">
      <c r="A189" s="105" t="s">
        <v>432</v>
      </c>
      <c r="B189" s="105"/>
      <c r="C189" s="105"/>
    </row>
  </sheetData>
  <mergeCells count="1">
    <mergeCell ref="A189:C18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Sheet6</vt:lpstr>
      <vt:lpstr>Sheet3</vt:lpstr>
      <vt:lpstr>CP-June</vt:lpstr>
      <vt:lpstr>CP data</vt:lpstr>
      <vt:lpstr>Sheet10</vt:lpstr>
      <vt:lpstr>SEED- June</vt:lpstr>
      <vt:lpstr>SE DATA</vt:lpstr>
      <vt:lpstr>Bulk _ctg</vt:lpstr>
      <vt:lpstr>Cp Conv.</vt:lpstr>
      <vt:lpstr>Seed conv.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Twinkel Das (ext) BDCH</dc:creator>
  <cp:lastModifiedBy>Ullah Rezwan BDDA</cp:lastModifiedBy>
  <dcterms:created xsi:type="dcterms:W3CDTF">2025-05-26T12:20:22Z</dcterms:created>
  <dcterms:modified xsi:type="dcterms:W3CDTF">2026-07-11T05:15:46Z</dcterms:modified>
</cp:coreProperties>
</file>